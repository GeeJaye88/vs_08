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areth\Code\VS\vs_lib\vs_07\project\surface excel\"/>
    </mc:Choice>
  </mc:AlternateContent>
  <xr:revisionPtr revIDLastSave="0" documentId="13_ncr:1_{E0647123-7120-4BF9-B3D4-F6DFF0D9E734}" xr6:coauthVersionLast="41" xr6:coauthVersionMax="41" xr10:uidLastSave="{00000000-0000-0000-0000-000000000000}"/>
  <bookViews>
    <workbookView xWindow="3045" yWindow="1320" windowWidth="22635" windowHeight="14355" xr2:uid="{00000000-000D-0000-FFFF-FFFF00000000}"/>
  </bookViews>
  <sheets>
    <sheet name="Surface 06 01" sheetId="15" r:id="rId1"/>
    <sheet name="Surface Shader Good" sheetId="14" r:id="rId2"/>
    <sheet name="Surface Shader" sheetId="13" r:id="rId3"/>
    <sheet name="Shade &amp; Bitdepth" sheetId="12" r:id="rId4"/>
    <sheet name="Four Pass" sheetId="11" r:id="rId5"/>
    <sheet name="Two Pass" sheetId="10" r:id="rId6"/>
    <sheet name=" Single Pass" sheetId="9" r:id="rId7"/>
    <sheet name="Spider with Data" sheetId="3" r:id="rId8"/>
    <sheet name="Surf" sheetId="8" r:id="rId9"/>
    <sheet name="Four" sheetId="7" r:id="rId10"/>
    <sheet name="Shade - 1" sheetId="1" r:id="rId11"/>
    <sheet name="Spider - Original" sheetId="2" r:id="rId12"/>
    <sheet name="Value" sheetId="6" r:id="rId13"/>
    <sheet name="Vertex" sheetId="4" r:id="rId14"/>
    <sheet name="Normal" sheetId="5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4" i="13" l="1"/>
  <c r="O14" i="13"/>
  <c r="J64" i="15" l="1"/>
  <c r="K69" i="15" s="1"/>
  <c r="K70" i="15"/>
  <c r="K72" i="15"/>
  <c r="K71" i="15"/>
  <c r="E18" i="15"/>
  <c r="L42" i="15"/>
  <c r="L41" i="15"/>
  <c r="L40" i="15"/>
  <c r="D26" i="15"/>
  <c r="D29" i="15" s="1"/>
  <c r="E20" i="15" s="1"/>
  <c r="D25" i="15"/>
  <c r="D30" i="15" s="1"/>
  <c r="F20" i="15" s="1"/>
  <c r="F11" i="15"/>
  <c r="L9" i="15" s="1"/>
  <c r="E11" i="15"/>
  <c r="E10" i="15"/>
  <c r="D10" i="15"/>
  <c r="J8" i="15" s="1"/>
  <c r="J9" i="15"/>
  <c r="F9" i="15"/>
  <c r="L7" i="15" s="1"/>
  <c r="E9" i="15"/>
  <c r="L8" i="15"/>
  <c r="E8" i="15"/>
  <c r="D8" i="15"/>
  <c r="J6" i="15" s="1"/>
  <c r="J7" i="15"/>
  <c r="L6" i="15"/>
  <c r="U6" i="14"/>
  <c r="U3" i="14"/>
  <c r="T3" i="14"/>
  <c r="T6" i="14"/>
  <c r="E18" i="14"/>
  <c r="P7" i="14" s="1"/>
  <c r="Q42" i="14"/>
  <c r="Q41" i="14"/>
  <c r="Q40" i="14"/>
  <c r="D29" i="14"/>
  <c r="E20" i="14" s="1"/>
  <c r="D28" i="14"/>
  <c r="D20" i="14" s="1"/>
  <c r="D26" i="14"/>
  <c r="D25" i="14"/>
  <c r="D30" i="14" s="1"/>
  <c r="F20" i="14" s="1"/>
  <c r="F11" i="14"/>
  <c r="E11" i="14"/>
  <c r="E10" i="14"/>
  <c r="D10" i="14"/>
  <c r="O8" i="14" s="1"/>
  <c r="Q9" i="14"/>
  <c r="O9" i="14"/>
  <c r="F9" i="14"/>
  <c r="E9" i="14"/>
  <c r="Q8" i="14"/>
  <c r="E8" i="14"/>
  <c r="D8" i="14"/>
  <c r="Q7" i="14"/>
  <c r="O7" i="14"/>
  <c r="Q6" i="14"/>
  <c r="O6" i="14"/>
  <c r="P53" i="15"/>
  <c r="P52" i="15"/>
  <c r="D36" i="15"/>
  <c r="D38" i="15"/>
  <c r="K6" i="15" l="1"/>
  <c r="M6" i="15" s="1"/>
  <c r="L12" i="15" s="1"/>
  <c r="K9" i="15"/>
  <c r="M9" i="15" s="1"/>
  <c r="L15" i="15" s="1"/>
  <c r="K8" i="15"/>
  <c r="M8" i="15" s="1"/>
  <c r="J14" i="15" s="1"/>
  <c r="K7" i="15"/>
  <c r="M7" i="15" s="1"/>
  <c r="J13" i="15" s="1"/>
  <c r="D28" i="15"/>
  <c r="D20" i="15" s="1"/>
  <c r="P8" i="14"/>
  <c r="R8" i="14" s="1"/>
  <c r="O14" i="14" s="1"/>
  <c r="P9" i="14"/>
  <c r="R9" i="14" s="1"/>
  <c r="P6" i="14"/>
  <c r="R6" i="14" s="1"/>
  <c r="Q12" i="14" s="1"/>
  <c r="R7" i="14"/>
  <c r="Q13" i="14" s="1"/>
  <c r="D30" i="13"/>
  <c r="D14" i="11"/>
  <c r="K14" i="15" l="1"/>
  <c r="K27" i="15" s="1"/>
  <c r="J12" i="15"/>
  <c r="J15" i="15"/>
  <c r="K15" i="15"/>
  <c r="K28" i="15" s="1"/>
  <c r="K12" i="15"/>
  <c r="K25" i="15" s="1"/>
  <c r="L14" i="15"/>
  <c r="J20" i="15" s="1"/>
  <c r="L13" i="15"/>
  <c r="J19" i="15" s="1"/>
  <c r="K13" i="15"/>
  <c r="K26" i="15" s="1"/>
  <c r="Q15" i="14"/>
  <c r="P15" i="14"/>
  <c r="P28" i="14" s="1"/>
  <c r="O15" i="14"/>
  <c r="Q14" i="14"/>
  <c r="O20" i="14" s="1"/>
  <c r="P20" i="14" s="1"/>
  <c r="O13" i="14"/>
  <c r="P14" i="14"/>
  <c r="P13" i="14"/>
  <c r="P12" i="14"/>
  <c r="O19" i="14"/>
  <c r="P19" i="14" s="1"/>
  <c r="O12" i="14"/>
  <c r="O18" i="14" s="1"/>
  <c r="P18" i="14" s="1"/>
  <c r="O25" i="14" s="1"/>
  <c r="O46" i="11"/>
  <c r="N46" i="11"/>
  <c r="AC38" i="11"/>
  <c r="AC37" i="11"/>
  <c r="AB37" i="11"/>
  <c r="AB38" i="11"/>
  <c r="O47" i="11"/>
  <c r="N47" i="11"/>
  <c r="O44" i="11"/>
  <c r="N44" i="11"/>
  <c r="AB35" i="11"/>
  <c r="Q41" i="13"/>
  <c r="Q42" i="13"/>
  <c r="I26" i="11"/>
  <c r="Q40" i="13"/>
  <c r="O7" i="13"/>
  <c r="Q8" i="13"/>
  <c r="O9" i="13"/>
  <c r="Q6" i="13"/>
  <c r="D8" i="13"/>
  <c r="O6" i="13" s="1"/>
  <c r="F11" i="13"/>
  <c r="Q9" i="13" s="1"/>
  <c r="F9" i="13"/>
  <c r="Q7" i="13" s="1"/>
  <c r="E11" i="13"/>
  <c r="P9" i="13" s="1"/>
  <c r="E10" i="13"/>
  <c r="P8" i="13" s="1"/>
  <c r="D10" i="13"/>
  <c r="O8" i="13" s="1"/>
  <c r="D26" i="13"/>
  <c r="D29" i="13" s="1"/>
  <c r="E20" i="13" s="1"/>
  <c r="D25" i="13"/>
  <c r="F20" i="13" s="1"/>
  <c r="E9" i="13"/>
  <c r="P7" i="13" s="1"/>
  <c r="E8" i="13"/>
  <c r="P6" i="13" s="1"/>
  <c r="E7" i="12"/>
  <c r="T29" i="12" s="1"/>
  <c r="E6" i="12"/>
  <c r="L29" i="12" s="1"/>
  <c r="D6" i="12"/>
  <c r="J5" i="12" s="1"/>
  <c r="T5" i="12"/>
  <c r="S5" i="12"/>
  <c r="R5" i="12"/>
  <c r="M22" i="12"/>
  <c r="M29" i="12" s="1"/>
  <c r="K22" i="12"/>
  <c r="S29" i="12" s="1"/>
  <c r="L5" i="12"/>
  <c r="D18" i="12"/>
  <c r="D21" i="12" s="1"/>
  <c r="E12" i="12" s="1"/>
  <c r="L24" i="12" s="1"/>
  <c r="D17" i="12"/>
  <c r="D20" i="12" s="1"/>
  <c r="J16" i="13"/>
  <c r="J14" i="13"/>
  <c r="J15" i="13"/>
  <c r="J13" i="13"/>
  <c r="K18" i="15" l="1"/>
  <c r="L25" i="15" s="1"/>
  <c r="L34" i="15" s="1"/>
  <c r="L43" i="15" s="1"/>
  <c r="J18" i="15"/>
  <c r="K19" i="15"/>
  <c r="L26" i="15" s="1"/>
  <c r="L35" i="15" s="1"/>
  <c r="J21" i="15"/>
  <c r="K21" i="15" s="1"/>
  <c r="K20" i="15"/>
  <c r="O21" i="14"/>
  <c r="P21" i="14" s="1"/>
  <c r="O28" i="14" s="1"/>
  <c r="P43" i="14" s="1"/>
  <c r="P60" i="14" s="1"/>
  <c r="Q27" i="14"/>
  <c r="Q36" i="14" s="1"/>
  <c r="O27" i="14"/>
  <c r="P26" i="14"/>
  <c r="P27" i="14"/>
  <c r="Q25" i="14"/>
  <c r="Q34" i="14" s="1"/>
  <c r="Q43" i="14" s="1"/>
  <c r="P25" i="14"/>
  <c r="P40" i="14" s="1"/>
  <c r="P57" i="14" s="1"/>
  <c r="Q26" i="14"/>
  <c r="Q35" i="14" s="1"/>
  <c r="O26" i="14"/>
  <c r="K13" i="13"/>
  <c r="K14" i="13"/>
  <c r="K15" i="13"/>
  <c r="K16" i="13"/>
  <c r="R8" i="13"/>
  <c r="P14" i="13" s="1"/>
  <c r="P27" i="13" s="1"/>
  <c r="R7" i="13"/>
  <c r="R6" i="13"/>
  <c r="R9" i="13"/>
  <c r="D28" i="13"/>
  <c r="D20" i="13" s="1"/>
  <c r="U29" i="12"/>
  <c r="V29" i="12"/>
  <c r="S32" i="12" s="1"/>
  <c r="S34" i="12" s="1"/>
  <c r="K5" i="12"/>
  <c r="M5" i="12" s="1"/>
  <c r="J8" i="12" s="1"/>
  <c r="L10" i="12" s="1"/>
  <c r="K29" i="12"/>
  <c r="N29" i="12" s="1"/>
  <c r="K32" i="12" s="1"/>
  <c r="L34" i="12" s="1"/>
  <c r="U5" i="12"/>
  <c r="R8" i="12" s="1"/>
  <c r="R10" i="12" s="1"/>
  <c r="D22" i="12"/>
  <c r="F12" i="12" s="1"/>
  <c r="M24" i="12" s="1"/>
  <c r="D12" i="12"/>
  <c r="D7" i="11"/>
  <c r="AC35" i="11"/>
  <c r="AC32" i="11"/>
  <c r="AC29" i="11"/>
  <c r="AC26" i="11"/>
  <c r="AC23" i="11"/>
  <c r="AC17" i="11"/>
  <c r="AC14" i="11"/>
  <c r="AC11" i="11"/>
  <c r="AC8" i="11"/>
  <c r="AB16" i="11"/>
  <c r="AB10" i="11"/>
  <c r="O29" i="11"/>
  <c r="N29" i="11"/>
  <c r="O28" i="11"/>
  <c r="N28" i="11"/>
  <c r="O26" i="11"/>
  <c r="N26" i="11"/>
  <c r="O25" i="11"/>
  <c r="N25" i="11"/>
  <c r="O23" i="11"/>
  <c r="N23" i="11"/>
  <c r="O22" i="11"/>
  <c r="N22" i="11"/>
  <c r="O20" i="11"/>
  <c r="N20" i="11"/>
  <c r="O19" i="11"/>
  <c r="N19" i="11"/>
  <c r="O16" i="11"/>
  <c r="N16" i="11"/>
  <c r="O13" i="11"/>
  <c r="N10" i="11"/>
  <c r="O10" i="11"/>
  <c r="O7" i="11"/>
  <c r="L28" i="15" l="1"/>
  <c r="L37" i="15" s="1"/>
  <c r="J28" i="15"/>
  <c r="J25" i="15"/>
  <c r="J26" i="15"/>
  <c r="L27" i="15"/>
  <c r="L36" i="15" s="1"/>
  <c r="J27" i="15"/>
  <c r="K37" i="15"/>
  <c r="K54" i="15" s="1"/>
  <c r="O34" i="14"/>
  <c r="P37" i="14"/>
  <c r="P54" i="14" s="1"/>
  <c r="O37" i="14"/>
  <c r="O54" i="14" s="1"/>
  <c r="O43" i="14"/>
  <c r="Q60" i="14" s="1"/>
  <c r="Q28" i="14"/>
  <c r="Q37" i="14" s="1"/>
  <c r="O42" i="14"/>
  <c r="O59" i="14" s="1"/>
  <c r="P36" i="14"/>
  <c r="P53" i="14" s="1"/>
  <c r="U7" i="14" s="1"/>
  <c r="P42" i="14"/>
  <c r="P59" i="14" s="1"/>
  <c r="O36" i="14"/>
  <c r="O40" i="14"/>
  <c r="P41" i="14"/>
  <c r="P58" i="14" s="1"/>
  <c r="P35" i="14"/>
  <c r="O41" i="14"/>
  <c r="O35" i="14"/>
  <c r="P34" i="14"/>
  <c r="Q14" i="13"/>
  <c r="P13" i="13"/>
  <c r="P26" i="13" s="1"/>
  <c r="Q13" i="13"/>
  <c r="O13" i="13"/>
  <c r="Q15" i="13"/>
  <c r="P15" i="13"/>
  <c r="P28" i="13" s="1"/>
  <c r="Q12" i="13"/>
  <c r="Q18" i="13" s="1"/>
  <c r="P12" i="13"/>
  <c r="P25" i="13" s="1"/>
  <c r="O15" i="13"/>
  <c r="O12" i="13"/>
  <c r="T34" i="12"/>
  <c r="U34" i="12"/>
  <c r="T10" i="12"/>
  <c r="S10" i="12"/>
  <c r="K24" i="12"/>
  <c r="K34" i="12"/>
  <c r="M34" i="12"/>
  <c r="K10" i="12"/>
  <c r="J10" i="12"/>
  <c r="D39" i="11"/>
  <c r="F29" i="11" s="1"/>
  <c r="D35" i="11"/>
  <c r="D38" i="11" s="1"/>
  <c r="E29" i="11" s="1"/>
  <c r="D34" i="11"/>
  <c r="D37" i="11" s="1"/>
  <c r="D29" i="11" s="1"/>
  <c r="D23" i="11"/>
  <c r="D26" i="11" s="1"/>
  <c r="M22" i="10"/>
  <c r="M21" i="10" s="1"/>
  <c r="M20" i="10"/>
  <c r="M19" i="10" s="1"/>
  <c r="R26" i="10"/>
  <c r="U14" i="13"/>
  <c r="V12" i="13"/>
  <c r="U15" i="13"/>
  <c r="V13" i="13"/>
  <c r="V14" i="13"/>
  <c r="U13" i="13"/>
  <c r="V15" i="13"/>
  <c r="U12" i="13"/>
  <c r="J41" i="15" l="1"/>
  <c r="K41" i="15"/>
  <c r="K58" i="15" s="1"/>
  <c r="K40" i="15"/>
  <c r="K57" i="15" s="1"/>
  <c r="J40" i="15"/>
  <c r="L57" i="15" s="1"/>
  <c r="K36" i="15"/>
  <c r="K53" i="15" s="1"/>
  <c r="J42" i="15"/>
  <c r="K42" i="15"/>
  <c r="K59" i="15" s="1"/>
  <c r="J37" i="15"/>
  <c r="L54" i="15" s="1"/>
  <c r="J67" i="15" s="1"/>
  <c r="L72" i="15" s="1"/>
  <c r="K43" i="15"/>
  <c r="K60" i="15" s="1"/>
  <c r="J43" i="15"/>
  <c r="J34" i="15"/>
  <c r="J35" i="15"/>
  <c r="L52" i="15" s="1"/>
  <c r="K34" i="15"/>
  <c r="K35" i="15"/>
  <c r="K52" i="15" s="1"/>
  <c r="J36" i="15"/>
  <c r="J53" i="15" s="1"/>
  <c r="J71" i="15" s="1"/>
  <c r="L59" i="15"/>
  <c r="L58" i="15"/>
  <c r="J58" i="15"/>
  <c r="Q53" i="14"/>
  <c r="O53" i="14"/>
  <c r="T7" i="14" s="1"/>
  <c r="O51" i="14"/>
  <c r="Q51" i="14"/>
  <c r="Q54" i="14"/>
  <c r="Q59" i="14"/>
  <c r="O60" i="14"/>
  <c r="P52" i="14"/>
  <c r="P51" i="14"/>
  <c r="O18" i="13"/>
  <c r="P18" i="13" s="1"/>
  <c r="Q25" i="13" s="1"/>
  <c r="Q34" i="13" s="1"/>
  <c r="Q43" i="13" s="1"/>
  <c r="O52" i="14"/>
  <c r="Q52" i="14"/>
  <c r="O57" i="14"/>
  <c r="Q57" i="14"/>
  <c r="Q58" i="14"/>
  <c r="O58" i="14"/>
  <c r="O20" i="13"/>
  <c r="P20" i="13" s="1"/>
  <c r="O27" i="13" s="1"/>
  <c r="O42" i="13" s="1"/>
  <c r="Q59" i="13" s="1"/>
  <c r="O21" i="13"/>
  <c r="P21" i="13" s="1"/>
  <c r="Q28" i="13" s="1"/>
  <c r="Q37" i="13" s="1"/>
  <c r="O19" i="13"/>
  <c r="P19" i="13" s="1"/>
  <c r="O26" i="13" s="1"/>
  <c r="S36" i="12"/>
  <c r="R12" i="12"/>
  <c r="R14" i="12" s="1"/>
  <c r="K36" i="12"/>
  <c r="J12" i="12"/>
  <c r="J14" i="12" s="1"/>
  <c r="N38" i="11"/>
  <c r="AB32" i="11"/>
  <c r="AB26" i="11"/>
  <c r="N35" i="11"/>
  <c r="N32" i="11"/>
  <c r="AB29" i="11"/>
  <c r="AB23" i="11"/>
  <c r="N41" i="11"/>
  <c r="AB20" i="11"/>
  <c r="AB19" i="11"/>
  <c r="AB14" i="11"/>
  <c r="AB17" i="11"/>
  <c r="AB8" i="11"/>
  <c r="AB11" i="11"/>
  <c r="N17" i="11"/>
  <c r="N8" i="11"/>
  <c r="N14" i="11"/>
  <c r="N11" i="11"/>
  <c r="F26" i="11"/>
  <c r="E8" i="11"/>
  <c r="E10" i="11" s="1"/>
  <c r="D8" i="11"/>
  <c r="AB7" i="11" s="1"/>
  <c r="I9" i="11"/>
  <c r="I11" i="11"/>
  <c r="D10" i="11"/>
  <c r="AB13" i="11" s="1"/>
  <c r="W26" i="10"/>
  <c r="T47" i="10"/>
  <c r="T50" i="10"/>
  <c r="T34" i="10"/>
  <c r="T31" i="10"/>
  <c r="D38" i="10"/>
  <c r="F28" i="10" s="1"/>
  <c r="N12" i="10"/>
  <c r="N11" i="10"/>
  <c r="D34" i="10"/>
  <c r="D37" i="10" s="1"/>
  <c r="E28" i="10" s="1"/>
  <c r="Q35" i="10" s="1"/>
  <c r="D33" i="10"/>
  <c r="D36" i="10" s="1"/>
  <c r="D28" i="10" s="1"/>
  <c r="P35" i="10" s="1"/>
  <c r="D23" i="10"/>
  <c r="D26" i="10" s="1"/>
  <c r="D7" i="10"/>
  <c r="E8" i="10" s="1"/>
  <c r="M11" i="10" s="1"/>
  <c r="D5" i="10"/>
  <c r="L14" i="10" s="1"/>
  <c r="T51" i="9"/>
  <c r="T49" i="9"/>
  <c r="P58" i="15"/>
  <c r="U54" i="14"/>
  <c r="J16" i="14"/>
  <c r="U59" i="14"/>
  <c r="U60" i="14"/>
  <c r="J14" i="14"/>
  <c r="J15" i="14"/>
  <c r="J13" i="14"/>
  <c r="U53" i="14"/>
  <c r="U58" i="14"/>
  <c r="U52" i="14"/>
  <c r="U51" i="14"/>
  <c r="U57" i="14"/>
  <c r="R43" i="11"/>
  <c r="Q34" i="10"/>
  <c r="D16" i="11"/>
  <c r="R45" i="11"/>
  <c r="J54" i="15" l="1"/>
  <c r="J57" i="15"/>
  <c r="J72" i="15"/>
  <c r="K51" i="15"/>
  <c r="J65" i="15"/>
  <c r="L70" i="15" s="1"/>
  <c r="J51" i="15"/>
  <c r="J69" i="15" s="1"/>
  <c r="O67" i="15" s="1"/>
  <c r="L51" i="15"/>
  <c r="J52" i="15"/>
  <c r="L53" i="15"/>
  <c r="L60" i="15"/>
  <c r="J60" i="15"/>
  <c r="J59" i="15"/>
  <c r="T4" i="14"/>
  <c r="K16" i="14"/>
  <c r="U4" i="14"/>
  <c r="K13" i="14"/>
  <c r="K15" i="14"/>
  <c r="K14" i="14"/>
  <c r="O25" i="13"/>
  <c r="P42" i="13"/>
  <c r="P59" i="13" s="1"/>
  <c r="Q27" i="13"/>
  <c r="Q36" i="13" s="1"/>
  <c r="P36" i="13"/>
  <c r="P53" i="13" s="1"/>
  <c r="O36" i="13"/>
  <c r="Q53" i="13" s="1"/>
  <c r="I37" i="11"/>
  <c r="P35" i="13"/>
  <c r="P52" i="13" s="1"/>
  <c r="O41" i="13"/>
  <c r="Q58" i="13" s="1"/>
  <c r="P41" i="13"/>
  <c r="P58" i="13" s="1"/>
  <c r="O35" i="13"/>
  <c r="O28" i="13"/>
  <c r="Q26" i="13"/>
  <c r="Q35" i="13" s="1"/>
  <c r="K38" i="12"/>
  <c r="K40" i="12" s="1"/>
  <c r="S38" i="12"/>
  <c r="S40" i="12" s="1"/>
  <c r="O11" i="11"/>
  <c r="O41" i="11"/>
  <c r="O35" i="11"/>
  <c r="O38" i="11"/>
  <c r="O32" i="11"/>
  <c r="E14" i="11"/>
  <c r="J10" i="11"/>
  <c r="AC13" i="11"/>
  <c r="AC7" i="11"/>
  <c r="J8" i="11"/>
  <c r="E11" i="11"/>
  <c r="E16" i="11"/>
  <c r="K8" i="11"/>
  <c r="K10" i="11"/>
  <c r="K9" i="11"/>
  <c r="O17" i="11"/>
  <c r="K11" i="11"/>
  <c r="O8" i="11"/>
  <c r="O14" i="11"/>
  <c r="E9" i="11"/>
  <c r="I8" i="11"/>
  <c r="N7" i="11"/>
  <c r="I10" i="11"/>
  <c r="N13" i="11"/>
  <c r="L39" i="10"/>
  <c r="N36" i="10"/>
  <c r="N39" i="10"/>
  <c r="N33" i="10"/>
  <c r="N31" i="10"/>
  <c r="L31" i="10"/>
  <c r="L33" i="10"/>
  <c r="L36" i="10"/>
  <c r="F26" i="10"/>
  <c r="E11" i="10"/>
  <c r="E10" i="10"/>
  <c r="M12" i="10" s="1"/>
  <c r="L4" i="10"/>
  <c r="E9" i="10"/>
  <c r="D10" i="10"/>
  <c r="D8" i="10"/>
  <c r="Y33" i="9"/>
  <c r="Y41" i="9"/>
  <c r="Y38" i="9"/>
  <c r="Y35" i="9"/>
  <c r="AB33" i="9"/>
  <c r="AB38" i="9"/>
  <c r="AB35" i="9"/>
  <c r="D43" i="9"/>
  <c r="D38" i="9"/>
  <c r="D41" i="9" s="1"/>
  <c r="U41" i="9"/>
  <c r="S41" i="9"/>
  <c r="U40" i="9"/>
  <c r="T33" i="9"/>
  <c r="AA73" i="9"/>
  <c r="AA57" i="9"/>
  <c r="R58" i="9"/>
  <c r="R59" i="9" s="1"/>
  <c r="R60" i="9" s="1"/>
  <c r="R61" i="9" s="1"/>
  <c r="R62" i="9" s="1"/>
  <c r="O41" i="9"/>
  <c r="O38" i="9"/>
  <c r="O36" i="9"/>
  <c r="O33" i="9"/>
  <c r="F33" i="9"/>
  <c r="D39" i="9"/>
  <c r="D42" i="9" s="1"/>
  <c r="D28" i="9"/>
  <c r="F31" i="9" s="1"/>
  <c r="D6" i="9"/>
  <c r="D9" i="9" s="1"/>
  <c r="D5" i="9"/>
  <c r="S43" i="9" s="1"/>
  <c r="F18" i="7"/>
  <c r="K15" i="7" s="1"/>
  <c r="D18" i="7"/>
  <c r="I13" i="7" s="1"/>
  <c r="J16" i="7"/>
  <c r="J15" i="7"/>
  <c r="J13" i="7"/>
  <c r="J14" i="7"/>
  <c r="D9" i="7"/>
  <c r="P54" i="15"/>
  <c r="D39" i="15"/>
  <c r="P57" i="15"/>
  <c r="R51" i="15"/>
  <c r="D37" i="15"/>
  <c r="P51" i="15"/>
  <c r="P60" i="15"/>
  <c r="P59" i="15"/>
  <c r="D17" i="11"/>
  <c r="R46" i="11"/>
  <c r="D15" i="11"/>
  <c r="R44" i="11"/>
  <c r="D16" i="10"/>
  <c r="D14" i="10"/>
  <c r="D17" i="10"/>
  <c r="D15" i="10"/>
  <c r="J66" i="15" l="1"/>
  <c r="L71" i="15" s="1"/>
  <c r="J70" i="15"/>
  <c r="O53" i="13"/>
  <c r="I38" i="11"/>
  <c r="I36" i="11"/>
  <c r="Q52" i="13"/>
  <c r="O52" i="13"/>
  <c r="P40" i="13"/>
  <c r="P57" i="13" s="1"/>
  <c r="P34" i="13"/>
  <c r="P51" i="13" s="1"/>
  <c r="O51" i="13"/>
  <c r="O40" i="13"/>
  <c r="O37" i="13"/>
  <c r="P37" i="13"/>
  <c r="P54" i="13" s="1"/>
  <c r="O43" i="13"/>
  <c r="P43" i="13"/>
  <c r="P60" i="13" s="1"/>
  <c r="O59" i="13"/>
  <c r="L8" i="11"/>
  <c r="K14" i="11" s="1"/>
  <c r="E15" i="11"/>
  <c r="E17" i="11"/>
  <c r="J9" i="11"/>
  <c r="AC10" i="11"/>
  <c r="AC16" i="11"/>
  <c r="J11" i="11"/>
  <c r="L10" i="11"/>
  <c r="L7" i="10"/>
  <c r="L20" i="10"/>
  <c r="L22" i="10"/>
  <c r="N4" i="10"/>
  <c r="L30" i="10"/>
  <c r="W27" i="10"/>
  <c r="L8" i="10"/>
  <c r="L11" i="10"/>
  <c r="L12" i="10"/>
  <c r="Q26" i="10"/>
  <c r="E33" i="9"/>
  <c r="O42" i="9" s="1"/>
  <c r="F15" i="9"/>
  <c r="U33" i="9"/>
  <c r="R63" i="9"/>
  <c r="R64" i="9" s="1"/>
  <c r="R65" i="9" s="1"/>
  <c r="R66" i="9" s="1"/>
  <c r="R67" i="9" s="1"/>
  <c r="R68" i="9" s="1"/>
  <c r="R69" i="9" s="1"/>
  <c r="R70" i="9" s="1"/>
  <c r="D7" i="9"/>
  <c r="E7" i="9"/>
  <c r="F14" i="9"/>
  <c r="F16" i="9"/>
  <c r="F13" i="9"/>
  <c r="D33" i="9"/>
  <c r="D31" i="9"/>
  <c r="K13" i="7"/>
  <c r="K16" i="7"/>
  <c r="K14" i="7"/>
  <c r="L13" i="7"/>
  <c r="M13" i="7" s="1"/>
  <c r="I18" i="7" s="1"/>
  <c r="I16" i="7"/>
  <c r="I14" i="7"/>
  <c r="I15" i="7"/>
  <c r="L15" i="7"/>
  <c r="M15" i="7" s="1"/>
  <c r="K20" i="7" s="1"/>
  <c r="D26" i="7"/>
  <c r="D27" i="7" s="1"/>
  <c r="D20" i="7" s="1"/>
  <c r="D25" i="7"/>
  <c r="D28" i="7" s="1"/>
  <c r="E20" i="7" s="1"/>
  <c r="K9" i="7"/>
  <c r="I9" i="7"/>
  <c r="J8" i="7"/>
  <c r="J33" i="9"/>
  <c r="K8" i="7"/>
  <c r="I7" i="7"/>
  <c r="U59" i="13"/>
  <c r="K7" i="7"/>
  <c r="U53" i="13"/>
  <c r="K10" i="7"/>
  <c r="I10" i="7"/>
  <c r="I33" i="9"/>
  <c r="J7" i="7"/>
  <c r="U52" i="13"/>
  <c r="J9" i="7"/>
  <c r="J10" i="7"/>
  <c r="K33" i="9"/>
  <c r="I8" i="7"/>
  <c r="L69" i="15" l="1"/>
  <c r="P67" i="15"/>
  <c r="Q67" i="15" s="1"/>
  <c r="O54" i="13"/>
  <c r="Q54" i="13"/>
  <c r="O60" i="13"/>
  <c r="Q60" i="13"/>
  <c r="Q51" i="13"/>
  <c r="O57" i="13"/>
  <c r="Q57" i="13"/>
  <c r="O58" i="13"/>
  <c r="J16" i="11"/>
  <c r="J28" i="11" s="1"/>
  <c r="C48" i="11"/>
  <c r="L11" i="11"/>
  <c r="K17" i="11" s="1"/>
  <c r="L9" i="11"/>
  <c r="K15" i="11" s="1"/>
  <c r="I14" i="11"/>
  <c r="I20" i="11" s="1"/>
  <c r="J20" i="11" s="1"/>
  <c r="K26" i="11" s="1"/>
  <c r="C46" i="11"/>
  <c r="J14" i="11"/>
  <c r="J26" i="11" s="1"/>
  <c r="I17" i="11"/>
  <c r="K16" i="11"/>
  <c r="I16" i="11"/>
  <c r="N20" i="10"/>
  <c r="L19" i="10" s="1"/>
  <c r="K30" i="10" s="1"/>
  <c r="N22" i="10"/>
  <c r="L21" i="10" s="1"/>
  <c r="V27" i="10" s="1"/>
  <c r="K39" i="10"/>
  <c r="K31" i="10"/>
  <c r="K33" i="10"/>
  <c r="K36" i="10"/>
  <c r="M39" i="10"/>
  <c r="M36" i="10"/>
  <c r="M33" i="10"/>
  <c r="M31" i="10"/>
  <c r="R21" i="9"/>
  <c r="U49" i="9"/>
  <c r="U51" i="9"/>
  <c r="E9" i="9"/>
  <c r="T40" i="9"/>
  <c r="N32" i="9"/>
  <c r="S40" i="9"/>
  <c r="N41" i="9"/>
  <c r="S33" i="9"/>
  <c r="S36" i="9"/>
  <c r="E10" i="9"/>
  <c r="O35" i="9"/>
  <c r="E13" i="9"/>
  <c r="T48" i="9" s="1"/>
  <c r="Y32" i="9" s="1"/>
  <c r="O32" i="9"/>
  <c r="E8" i="9"/>
  <c r="N44" i="9"/>
  <c r="N45" i="9"/>
  <c r="O45" i="9"/>
  <c r="N42" i="9"/>
  <c r="O44" i="9"/>
  <c r="D16" i="9"/>
  <c r="N38" i="9"/>
  <c r="N33" i="9"/>
  <c r="D15" i="9"/>
  <c r="D14" i="9"/>
  <c r="D13" i="9"/>
  <c r="L16" i="7"/>
  <c r="M16" i="7" s="1"/>
  <c r="K18" i="7"/>
  <c r="J18" i="7"/>
  <c r="M18" i="7" s="1"/>
  <c r="L14" i="7"/>
  <c r="M14" i="7" s="1"/>
  <c r="K19" i="7" s="1"/>
  <c r="J20" i="7"/>
  <c r="I20" i="7"/>
  <c r="M20" i="7" s="1"/>
  <c r="D29" i="7"/>
  <c r="F20" i="7" s="1"/>
  <c r="A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D6" i="7"/>
  <c r="D7" i="7" s="1"/>
  <c r="D5" i="7"/>
  <c r="D15" i="7"/>
  <c r="P11" i="1"/>
  <c r="M11" i="1"/>
  <c r="M10" i="1"/>
  <c r="J10" i="1"/>
  <c r="M9" i="1"/>
  <c r="J9" i="1"/>
  <c r="P3" i="1"/>
  <c r="R69" i="15"/>
  <c r="R70" i="15"/>
  <c r="R71" i="15"/>
  <c r="U54" i="13"/>
  <c r="U58" i="13"/>
  <c r="I36" i="9"/>
  <c r="I35" i="9"/>
  <c r="K35" i="9"/>
  <c r="J36" i="9"/>
  <c r="U60" i="13"/>
  <c r="J35" i="9"/>
  <c r="K36" i="9"/>
  <c r="U57" i="13"/>
  <c r="K34" i="9"/>
  <c r="U51" i="13"/>
  <c r="W57" i="13" l="1"/>
  <c r="W51" i="13"/>
  <c r="J15" i="11"/>
  <c r="J27" i="11" s="1"/>
  <c r="J17" i="11"/>
  <c r="J29" i="11" s="1"/>
  <c r="C49" i="11"/>
  <c r="F46" i="11"/>
  <c r="E46" i="11"/>
  <c r="D46" i="11"/>
  <c r="F48" i="11"/>
  <c r="D48" i="11"/>
  <c r="E48" i="11"/>
  <c r="I15" i="11"/>
  <c r="I21" i="11" s="1"/>
  <c r="J21" i="11" s="1"/>
  <c r="K27" i="11" s="1"/>
  <c r="C47" i="11"/>
  <c r="I23" i="11"/>
  <c r="J23" i="11" s="1"/>
  <c r="I29" i="11" s="1"/>
  <c r="I22" i="11"/>
  <c r="J22" i="11" s="1"/>
  <c r="K28" i="11" s="1"/>
  <c r="K43" i="11" s="1"/>
  <c r="K35" i="11"/>
  <c r="K41" i="11"/>
  <c r="V26" i="10"/>
  <c r="M30" i="10"/>
  <c r="Z21" i="9"/>
  <c r="N30" i="10"/>
  <c r="X26" i="10"/>
  <c r="Y26" i="10" s="1"/>
  <c r="Z26" i="10" s="1"/>
  <c r="K34" i="10" s="1"/>
  <c r="Q57" i="9"/>
  <c r="S49" i="9"/>
  <c r="S48" i="9" s="1"/>
  <c r="S51" i="9"/>
  <c r="S50" i="9" s="1"/>
  <c r="S73" i="9" s="1"/>
  <c r="S57" i="9"/>
  <c r="S37" i="9"/>
  <c r="X38" i="9"/>
  <c r="X33" i="9"/>
  <c r="X35" i="9"/>
  <c r="X41" i="9"/>
  <c r="E15" i="9"/>
  <c r="G15" i="9" s="1"/>
  <c r="H15" i="9" s="1"/>
  <c r="T41" i="9"/>
  <c r="S46" i="9"/>
  <c r="T61" i="9"/>
  <c r="T65" i="9"/>
  <c r="T69" i="9"/>
  <c r="T58" i="9"/>
  <c r="T62" i="9"/>
  <c r="T66" i="9"/>
  <c r="T70" i="9"/>
  <c r="T59" i="9"/>
  <c r="T63" i="9"/>
  <c r="T67" i="9"/>
  <c r="T57" i="9"/>
  <c r="T60" i="9"/>
  <c r="T64" i="9"/>
  <c r="T68" i="9"/>
  <c r="E14" i="9"/>
  <c r="E16" i="9"/>
  <c r="G13" i="9"/>
  <c r="H13" i="9" s="1"/>
  <c r="I19" i="7"/>
  <c r="I21" i="7"/>
  <c r="I23" i="7" s="1"/>
  <c r="J21" i="7"/>
  <c r="K21" i="7"/>
  <c r="K23" i="7" s="1"/>
  <c r="J19" i="7"/>
  <c r="M19" i="7" s="1"/>
  <c r="E7" i="7"/>
  <c r="I34" i="9"/>
  <c r="J34" i="9"/>
  <c r="J44" i="11" l="1"/>
  <c r="J61" i="11" s="1"/>
  <c r="D54" i="11"/>
  <c r="D60" i="11" s="1"/>
  <c r="D47" i="11"/>
  <c r="F47" i="11"/>
  <c r="E47" i="11"/>
  <c r="F49" i="11"/>
  <c r="D49" i="11"/>
  <c r="E49" i="11"/>
  <c r="D52" i="11"/>
  <c r="D58" i="11" s="1"/>
  <c r="K29" i="11"/>
  <c r="K38" i="11" s="1"/>
  <c r="I44" i="11"/>
  <c r="I28" i="11"/>
  <c r="I43" i="11" s="1"/>
  <c r="K60" i="11" s="1"/>
  <c r="J38" i="11"/>
  <c r="J55" i="11" s="1"/>
  <c r="AC31" i="11" s="1"/>
  <c r="K37" i="11"/>
  <c r="J35" i="11"/>
  <c r="J52" i="11" s="1"/>
  <c r="I35" i="11"/>
  <c r="K52" i="11" s="1"/>
  <c r="J41" i="11"/>
  <c r="J58" i="11" s="1"/>
  <c r="AC34" i="11" s="1"/>
  <c r="I41" i="11"/>
  <c r="I58" i="11" s="1"/>
  <c r="K42" i="11"/>
  <c r="K36" i="11"/>
  <c r="I27" i="11"/>
  <c r="AA26" i="10"/>
  <c r="X27" i="10"/>
  <c r="Y27" i="10" s="1"/>
  <c r="Z27" i="10" s="1"/>
  <c r="U57" i="9"/>
  <c r="V57" i="9" s="1"/>
  <c r="W57" i="9" s="1"/>
  <c r="X36" i="9" s="1"/>
  <c r="U70" i="9"/>
  <c r="V70" i="9" s="1"/>
  <c r="W70" i="9" s="1"/>
  <c r="U68" i="9"/>
  <c r="V68" i="9" s="1"/>
  <c r="W68" i="9" s="1"/>
  <c r="U66" i="9"/>
  <c r="V66" i="9" s="1"/>
  <c r="W66" i="9" s="1"/>
  <c r="X32" i="9"/>
  <c r="AA32" i="9"/>
  <c r="AA35" i="9"/>
  <c r="AA41" i="9"/>
  <c r="AA38" i="9"/>
  <c r="AA33" i="9"/>
  <c r="G14" i="9"/>
  <c r="H14" i="9" s="1"/>
  <c r="E20" i="9" s="1"/>
  <c r="T50" i="9"/>
  <c r="U60" i="9"/>
  <c r="V60" i="9" s="1"/>
  <c r="W60" i="9" s="1"/>
  <c r="U58" i="9"/>
  <c r="V58" i="9" s="1"/>
  <c r="W58" i="9" s="1"/>
  <c r="U69" i="9"/>
  <c r="V69" i="9" s="1"/>
  <c r="W69" i="9" s="1"/>
  <c r="X68" i="9"/>
  <c r="AF68" i="9" s="1"/>
  <c r="U65" i="9"/>
  <c r="V65" i="9" s="1"/>
  <c r="W65" i="9" s="1"/>
  <c r="U59" i="9"/>
  <c r="V59" i="9" s="1"/>
  <c r="W59" i="9" s="1"/>
  <c r="X70" i="9"/>
  <c r="AF70" i="9" s="1"/>
  <c r="U64" i="9"/>
  <c r="V64" i="9" s="1"/>
  <c r="W64" i="9" s="1"/>
  <c r="U63" i="9"/>
  <c r="V63" i="9" s="1"/>
  <c r="W63" i="9" s="1"/>
  <c r="U62" i="9"/>
  <c r="V62" i="9" s="1"/>
  <c r="W62" i="9" s="1"/>
  <c r="U61" i="9"/>
  <c r="V61" i="9" s="1"/>
  <c r="W61" i="9" s="1"/>
  <c r="U67" i="9"/>
  <c r="V67" i="9" s="1"/>
  <c r="W67" i="9" s="1"/>
  <c r="X57" i="9"/>
  <c r="G16" i="9"/>
  <c r="H16" i="9" s="1"/>
  <c r="F19" i="9"/>
  <c r="D19" i="9"/>
  <c r="N39" i="9" s="1"/>
  <c r="E19" i="9"/>
  <c r="O39" i="9" s="1"/>
  <c r="F21" i="9"/>
  <c r="D21" i="9"/>
  <c r="E21" i="9"/>
  <c r="M21" i="7"/>
  <c r="J23" i="7"/>
  <c r="L23" i="7" s="1"/>
  <c r="M23" i="7" s="1"/>
  <c r="J24" i="7" s="1"/>
  <c r="I24" i="7"/>
  <c r="E9" i="7"/>
  <c r="E10" i="7"/>
  <c r="E8" i="7"/>
  <c r="F15" i="1"/>
  <c r="E15" i="1"/>
  <c r="D15" i="1"/>
  <c r="D8" i="1"/>
  <c r="E9" i="1" s="1"/>
  <c r="D5" i="1"/>
  <c r="C66" i="6"/>
  <c r="D66" i="6"/>
  <c r="E66" i="6"/>
  <c r="F66" i="6"/>
  <c r="G66" i="6" s="1"/>
  <c r="H66" i="6" s="1"/>
  <c r="I66" i="6" s="1"/>
  <c r="J66" i="6" s="1"/>
  <c r="K66" i="6" s="1"/>
  <c r="L66" i="6" s="1"/>
  <c r="M66" i="6" s="1"/>
  <c r="N66" i="6" s="1"/>
  <c r="O66" i="6" s="1"/>
  <c r="P66" i="6" s="1"/>
  <c r="Q66" i="6" s="1"/>
  <c r="R66" i="6" s="1"/>
  <c r="S66" i="6" s="1"/>
  <c r="T66" i="6" s="1"/>
  <c r="U66" i="6" s="1"/>
  <c r="V66" i="6" s="1"/>
  <c r="W66" i="6" s="1"/>
  <c r="X66" i="6" s="1"/>
  <c r="Y66" i="6" s="1"/>
  <c r="Z66" i="6" s="1"/>
  <c r="AA66" i="6" s="1"/>
  <c r="AB66" i="6" s="1"/>
  <c r="AC66" i="6" s="1"/>
  <c r="AD66" i="6" s="1"/>
  <c r="AE66" i="6" s="1"/>
  <c r="AF66" i="6" s="1"/>
  <c r="AG66" i="6" s="1"/>
  <c r="AH66" i="6" s="1"/>
  <c r="AI66" i="6" s="1"/>
  <c r="AJ66" i="6" s="1"/>
  <c r="AK66" i="6" s="1"/>
  <c r="AL66" i="6" s="1"/>
  <c r="AM66" i="6" s="1"/>
  <c r="AN66" i="6" s="1"/>
  <c r="AO66" i="6" s="1"/>
  <c r="AP66" i="6" s="1"/>
  <c r="AQ66" i="6" s="1"/>
  <c r="AR66" i="6" s="1"/>
  <c r="AS66" i="6" s="1"/>
  <c r="AT66" i="6" s="1"/>
  <c r="AU66" i="6" s="1"/>
  <c r="AV66" i="6" s="1"/>
  <c r="AW66" i="6" s="1"/>
  <c r="AX66" i="6" s="1"/>
  <c r="AY66" i="6" s="1"/>
  <c r="AZ66" i="6" s="1"/>
  <c r="BA66" i="6" s="1"/>
  <c r="BB66" i="6" s="1"/>
  <c r="BC66" i="6" s="1"/>
  <c r="BD66" i="6" s="1"/>
  <c r="BE66" i="6" s="1"/>
  <c r="BF66" i="6" s="1"/>
  <c r="BG66" i="6" s="1"/>
  <c r="BH66" i="6" s="1"/>
  <c r="BI66" i="6" s="1"/>
  <c r="BJ66" i="6" s="1"/>
  <c r="BK66" i="6" s="1"/>
  <c r="BL66" i="6" s="1"/>
  <c r="B66" i="6"/>
  <c r="D7" i="1"/>
  <c r="F10" i="1"/>
  <c r="E8" i="3"/>
  <c r="AE49" i="3"/>
  <c r="Y24" i="3"/>
  <c r="Y25" i="3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AB49" i="3"/>
  <c r="AB50" i="3"/>
  <c r="AE50" i="3"/>
  <c r="Z68" i="9"/>
  <c r="Z57" i="9"/>
  <c r="Q30" i="10"/>
  <c r="Z70" i="9"/>
  <c r="D23" i="1"/>
  <c r="D21" i="1"/>
  <c r="D18" i="1"/>
  <c r="D17" i="1"/>
  <c r="D19" i="1"/>
  <c r="D22" i="1"/>
  <c r="E19" i="1"/>
  <c r="AB34" i="11" l="1"/>
  <c r="N43" i="11"/>
  <c r="D55" i="11"/>
  <c r="D61" i="11" s="1"/>
  <c r="D53" i="11"/>
  <c r="D59" i="11" s="1"/>
  <c r="K44" i="11"/>
  <c r="K61" i="11" s="1"/>
  <c r="J37" i="11"/>
  <c r="J54" i="11" s="1"/>
  <c r="AC28" i="11" s="1"/>
  <c r="K54" i="11"/>
  <c r="J43" i="11"/>
  <c r="J60" i="11" s="1"/>
  <c r="O31" i="11"/>
  <c r="AC22" i="11"/>
  <c r="I60" i="11"/>
  <c r="K58" i="11"/>
  <c r="O43" i="11" s="1"/>
  <c r="I61" i="11"/>
  <c r="I52" i="11"/>
  <c r="I42" i="11"/>
  <c r="K59" i="11" s="1"/>
  <c r="J42" i="11"/>
  <c r="J59" i="11" s="1"/>
  <c r="I53" i="11"/>
  <c r="J36" i="11"/>
  <c r="J53" i="11" s="1"/>
  <c r="AC25" i="11" s="1"/>
  <c r="K55" i="11"/>
  <c r="I55" i="11"/>
  <c r="AB31" i="11" s="1"/>
  <c r="W47" i="10"/>
  <c r="W31" i="10"/>
  <c r="V31" i="10"/>
  <c r="AA47" i="10"/>
  <c r="Z47" i="10"/>
  <c r="M34" i="10"/>
  <c r="AA31" i="10"/>
  <c r="L40" i="10" s="1"/>
  <c r="V47" i="10"/>
  <c r="Z31" i="10"/>
  <c r="K40" i="10" s="1"/>
  <c r="L37" i="10"/>
  <c r="AA27" i="10"/>
  <c r="N34" i="10" s="1"/>
  <c r="L34" i="10"/>
  <c r="X66" i="9"/>
  <c r="AF66" i="9" s="1"/>
  <c r="T77" i="9"/>
  <c r="T81" i="9"/>
  <c r="T74" i="9"/>
  <c r="T78" i="9"/>
  <c r="T82" i="9"/>
  <c r="T86" i="9"/>
  <c r="T75" i="9"/>
  <c r="T79" i="9"/>
  <c r="T83" i="9"/>
  <c r="T73" i="9"/>
  <c r="T76" i="9"/>
  <c r="T80" i="9"/>
  <c r="T84" i="9"/>
  <c r="T85" i="9"/>
  <c r="AB32" i="9"/>
  <c r="AE57" i="9"/>
  <c r="X42" i="9" s="1"/>
  <c r="Y36" i="9"/>
  <c r="D20" i="9"/>
  <c r="F20" i="9"/>
  <c r="AC68" i="9"/>
  <c r="X58" i="9"/>
  <c r="AF58" i="9" s="1"/>
  <c r="U73" i="9"/>
  <c r="V73" i="9" s="1"/>
  <c r="W73" i="9" s="1"/>
  <c r="AA36" i="9" s="1"/>
  <c r="X63" i="9"/>
  <c r="AF63" i="9" s="1"/>
  <c r="AC57" i="9"/>
  <c r="Y39" i="9" s="1"/>
  <c r="X67" i="9"/>
  <c r="AC67" i="9" s="1"/>
  <c r="AB57" i="9"/>
  <c r="X39" i="9" s="1"/>
  <c r="AC70" i="9"/>
  <c r="X62" i="9"/>
  <c r="AC62" i="9" s="1"/>
  <c r="X64" i="9"/>
  <c r="AE64" i="9" s="1"/>
  <c r="X65" i="9"/>
  <c r="AF65" i="9" s="1"/>
  <c r="X60" i="9"/>
  <c r="AB60" i="9" s="1"/>
  <c r="AE68" i="9"/>
  <c r="AB70" i="9"/>
  <c r="AF57" i="9"/>
  <c r="AB68" i="9"/>
  <c r="AE70" i="9"/>
  <c r="X61" i="9"/>
  <c r="AB61" i="9" s="1"/>
  <c r="X69" i="9"/>
  <c r="AB69" i="9" s="1"/>
  <c r="X59" i="9"/>
  <c r="AE59" i="9" s="1"/>
  <c r="J40" i="9"/>
  <c r="D22" i="9"/>
  <c r="F22" i="9"/>
  <c r="E22" i="9"/>
  <c r="J38" i="9"/>
  <c r="K24" i="7"/>
  <c r="R10" i="1"/>
  <c r="J5" i="1"/>
  <c r="E57" i="1"/>
  <c r="E56" i="1"/>
  <c r="E53" i="1"/>
  <c r="E54" i="1"/>
  <c r="D57" i="1"/>
  <c r="D56" i="1"/>
  <c r="D54" i="1"/>
  <c r="D53" i="1"/>
  <c r="E32" i="1"/>
  <c r="E41" i="1"/>
  <c r="E33" i="1"/>
  <c r="E38" i="1"/>
  <c r="D9" i="1"/>
  <c r="D10" i="1"/>
  <c r="D35" i="1" s="1"/>
  <c r="E10" i="1"/>
  <c r="M26" i="3"/>
  <c r="M25" i="3"/>
  <c r="M18" i="3"/>
  <c r="M17" i="3"/>
  <c r="O12" i="3"/>
  <c r="M7" i="3"/>
  <c r="E12" i="3"/>
  <c r="G12" i="3"/>
  <c r="G29" i="3"/>
  <c r="F29" i="3"/>
  <c r="E29" i="3"/>
  <c r="A13" i="6"/>
  <c r="AO51" i="6"/>
  <c r="BL40" i="6"/>
  <c r="BK61" i="6"/>
  <c r="AZ59" i="6"/>
  <c r="BH59" i="6"/>
  <c r="A62" i="6"/>
  <c r="AU51" i="6"/>
  <c r="P40" i="6"/>
  <c r="AW60" i="6"/>
  <c r="M64" i="6"/>
  <c r="AA53" i="6"/>
  <c r="P61" i="6"/>
  <c r="A58" i="6"/>
  <c r="C61" i="6"/>
  <c r="AP46" i="6"/>
  <c r="N64" i="6"/>
  <c r="AU58" i="6"/>
  <c r="L63" i="6"/>
  <c r="W49" i="6"/>
  <c r="Q58" i="6"/>
  <c r="A52" i="6"/>
  <c r="BL58" i="6"/>
  <c r="AA43" i="6"/>
  <c r="I59" i="6"/>
  <c r="AP59" i="6"/>
  <c r="BI57" i="6"/>
  <c r="R42" i="6"/>
  <c r="U61" i="6"/>
  <c r="AK58" i="6"/>
  <c r="O58" i="6"/>
  <c r="I53" i="6"/>
  <c r="AC64" i="6"/>
  <c r="D61" i="6"/>
  <c r="BC49" i="6"/>
  <c r="T50" i="6"/>
  <c r="AK63" i="6"/>
  <c r="M55" i="6"/>
  <c r="AE59" i="6"/>
  <c r="BI46" i="6"/>
  <c r="X59" i="6"/>
  <c r="P62" i="6"/>
  <c r="U60" i="6"/>
  <c r="A11" i="6"/>
  <c r="BA62" i="6"/>
  <c r="V59" i="6"/>
  <c r="Z34" i="6"/>
  <c r="AZ45" i="6"/>
  <c r="T58" i="6"/>
  <c r="O61" i="6"/>
  <c r="N58" i="6"/>
  <c r="AC62" i="6"/>
  <c r="AD52" i="6"/>
  <c r="AR50" i="6"/>
  <c r="A44" i="6"/>
  <c r="A60" i="6"/>
  <c r="AP64" i="6"/>
  <c r="X50" i="6"/>
  <c r="F59" i="6"/>
  <c r="AR62" i="6"/>
  <c r="AJ50" i="6"/>
  <c r="D44" i="6"/>
  <c r="AC53" i="6"/>
  <c r="AS60" i="6"/>
  <c r="BH62" i="6"/>
  <c r="AM61" i="6"/>
  <c r="H64" i="6"/>
  <c r="R48" i="6"/>
  <c r="O57" i="6"/>
  <c r="O53" i="6"/>
  <c r="C59" i="6"/>
  <c r="A26" i="6"/>
  <c r="K53" i="6"/>
  <c r="BD63" i="6"/>
  <c r="BC57" i="6"/>
  <c r="BC60" i="6"/>
  <c r="S57" i="6"/>
  <c r="AX42" i="6"/>
  <c r="U24" i="6"/>
  <c r="AC43" i="6"/>
  <c r="K50" i="6"/>
  <c r="BB49" i="6"/>
  <c r="BF51" i="6"/>
  <c r="U42" i="6"/>
  <c r="BE48" i="6"/>
  <c r="AD53" i="6"/>
  <c r="AT51" i="6"/>
  <c r="X38" i="6"/>
  <c r="M41" i="6"/>
  <c r="BG39" i="6"/>
  <c r="I46" i="6"/>
  <c r="P37" i="6"/>
  <c r="H36" i="6"/>
  <c r="AR48" i="6"/>
  <c r="AO46" i="6"/>
  <c r="P54" i="6"/>
  <c r="AI55" i="6"/>
  <c r="M59" i="6"/>
  <c r="BH50" i="6"/>
  <c r="AR63" i="6"/>
  <c r="A63" i="6"/>
  <c r="BG64" i="6"/>
  <c r="AP60" i="6"/>
  <c r="AM58" i="6"/>
  <c r="BK64" i="6"/>
  <c r="BH61" i="6"/>
  <c r="AO59" i="6"/>
  <c r="J56" i="6"/>
  <c r="AG63" i="6"/>
  <c r="AE62" i="6"/>
  <c r="BH36" i="6"/>
  <c r="T63" i="6"/>
  <c r="F39" i="6"/>
  <c r="AR60" i="6"/>
  <c r="H60" i="6"/>
  <c r="AS41" i="6"/>
  <c r="AH34" i="6"/>
  <c r="B58" i="6"/>
  <c r="AY53" i="6"/>
  <c r="X48" i="6"/>
  <c r="BB33" i="6"/>
  <c r="R57" i="6"/>
  <c r="BI56" i="6"/>
  <c r="AL50" i="6"/>
  <c r="AY48" i="6"/>
  <c r="BL55" i="6"/>
  <c r="AF60" i="6"/>
  <c r="AU64" i="6"/>
  <c r="A12" i="6"/>
  <c r="J64" i="6"/>
  <c r="M60" i="6"/>
  <c r="A9" i="6"/>
  <c r="AA61" i="6"/>
  <c r="AI63" i="6"/>
  <c r="B51" i="6"/>
  <c r="AB63" i="6"/>
  <c r="AY57" i="6"/>
  <c r="AI64" i="6"/>
  <c r="BA45" i="6"/>
  <c r="AI61" i="6"/>
  <c r="I51" i="6"/>
  <c r="AC58" i="6"/>
  <c r="AN44" i="6"/>
  <c r="AA62" i="6"/>
  <c r="S43" i="6"/>
  <c r="V58" i="6"/>
  <c r="A25" i="6"/>
  <c r="AG59" i="6"/>
  <c r="E47" i="6"/>
  <c r="AK55" i="6"/>
  <c r="AJ40" i="6"/>
  <c r="I55" i="6"/>
  <c r="N60" i="6"/>
  <c r="F52" i="6"/>
  <c r="Z59" i="6"/>
  <c r="AZ63" i="6"/>
  <c r="AS64" i="6"/>
  <c r="AG57" i="6"/>
  <c r="BA58" i="6"/>
  <c r="BG35" i="6"/>
  <c r="Z48" i="6"/>
  <c r="AK61" i="6"/>
  <c r="N56" i="6"/>
  <c r="AM46" i="6"/>
  <c r="A39" i="6"/>
  <c r="T44" i="6"/>
  <c r="AE61" i="6"/>
  <c r="AY58" i="6"/>
  <c r="AC60" i="6"/>
  <c r="A10" i="6"/>
  <c r="G60" i="6"/>
  <c r="A15" i="6"/>
  <c r="E59" i="6"/>
  <c r="N48" i="6"/>
  <c r="AD60" i="6"/>
  <c r="AM53" i="6"/>
  <c r="AB59" i="6"/>
  <c r="A64" i="6"/>
  <c r="BK53" i="6"/>
  <c r="AO62" i="6"/>
  <c r="BG53" i="6"/>
  <c r="X27" i="6"/>
  <c r="U47" i="6"/>
  <c r="AE53" i="6"/>
  <c r="A57" i="6"/>
  <c r="B60" i="6"/>
  <c r="BE60" i="6"/>
  <c r="AV62" i="6"/>
  <c r="AH57" i="6"/>
  <c r="AU52" i="6"/>
  <c r="Y60" i="6"/>
  <c r="W62" i="6"/>
  <c r="AK47" i="6"/>
  <c r="AC47" i="6"/>
  <c r="A7" i="6"/>
  <c r="Q20" i="6"/>
  <c r="AV59" i="6"/>
  <c r="U59" i="6"/>
  <c r="N59" i="6"/>
  <c r="BL61" i="6"/>
  <c r="AP56" i="6"/>
  <c r="AZ46" i="6"/>
  <c r="BE51" i="6"/>
  <c r="AL62" i="6"/>
  <c r="BL57" i="6"/>
  <c r="Y49" i="6"/>
  <c r="AW52" i="6"/>
  <c r="AC49" i="6"/>
  <c r="I49" i="6"/>
  <c r="AW34" i="6"/>
  <c r="AN42" i="6"/>
  <c r="L48" i="6"/>
  <c r="AK64" i="6"/>
  <c r="P50" i="6"/>
  <c r="D23" i="6"/>
  <c r="V38" i="6"/>
  <c r="E37" i="6"/>
  <c r="P46" i="6"/>
  <c r="AI37" i="6"/>
  <c r="BG30" i="6"/>
  <c r="AR64" i="6"/>
  <c r="AX49" i="6"/>
  <c r="AN54" i="6"/>
  <c r="V52" i="6"/>
  <c r="BD58" i="6"/>
  <c r="B63" i="6"/>
  <c r="D60" i="6"/>
  <c r="A43" i="6"/>
  <c r="BJ63" i="6"/>
  <c r="BF56" i="6"/>
  <c r="A35" i="6"/>
  <c r="C64" i="6"/>
  <c r="BG60" i="6"/>
  <c r="AZ50" i="6"/>
  <c r="AE60" i="6"/>
  <c r="M63" i="6"/>
  <c r="K62" i="6"/>
  <c r="Y47" i="6"/>
  <c r="AN60" i="6"/>
  <c r="Y39" i="6"/>
  <c r="Q45" i="6"/>
  <c r="BK43" i="6"/>
  <c r="BK35" i="6"/>
  <c r="Q38" i="6"/>
  <c r="L40" i="6"/>
  <c r="AV52" i="6"/>
  <c r="AP47" i="6"/>
  <c r="AH48" i="6"/>
  <c r="AJ56" i="6"/>
  <c r="P56" i="6"/>
  <c r="BD41" i="6"/>
  <c r="A53" i="6"/>
  <c r="AN62" i="6"/>
  <c r="F46" i="6"/>
  <c r="AB50" i="6"/>
  <c r="AQ61" i="6"/>
  <c r="AW41" i="6"/>
  <c r="AN59" i="6"/>
  <c r="AL61" i="6"/>
  <c r="AP48" i="6"/>
  <c r="BJ59" i="6"/>
  <c r="AG64" i="6"/>
  <c r="AJ60" i="6"/>
  <c r="J52" i="6"/>
  <c r="T64" i="6"/>
  <c r="AQ60" i="6"/>
  <c r="O63" i="6"/>
  <c r="AH64" i="6"/>
  <c r="BE64" i="6"/>
  <c r="AF63" i="6"/>
  <c r="AI59" i="6"/>
  <c r="F48" i="6"/>
  <c r="A33" i="6"/>
  <c r="M37" i="6"/>
  <c r="M61" i="6"/>
  <c r="AC59" i="6"/>
  <c r="B48" i="6"/>
  <c r="Y58" i="6"/>
  <c r="AP63" i="6"/>
  <c r="BI64" i="6"/>
  <c r="AL59" i="6"/>
  <c r="AJ61" i="6"/>
  <c r="AY56" i="6"/>
  <c r="AW64" i="6"/>
  <c r="AZ60" i="6"/>
  <c r="K60" i="6"/>
  <c r="U64" i="6"/>
  <c r="A20" i="6"/>
  <c r="AD56" i="6"/>
  <c r="AH63" i="6"/>
  <c r="Y48" i="6"/>
  <c r="AR59" i="6"/>
  <c r="A61" i="6"/>
  <c r="BG61" i="6"/>
  <c r="A31" i="6"/>
  <c r="AK59" i="6"/>
  <c r="S60" i="6"/>
  <c r="G63" i="6"/>
  <c r="BJ33" i="6"/>
  <c r="AQ58" i="6"/>
  <c r="A3" i="6"/>
  <c r="BF60" i="6"/>
  <c r="AD63" i="6"/>
  <c r="BI55" i="6"/>
  <c r="AV54" i="6"/>
  <c r="F62" i="6"/>
  <c r="BA57" i="6"/>
  <c r="A8" i="6"/>
  <c r="AF58" i="6"/>
  <c r="G49" i="6"/>
  <c r="BL62" i="6"/>
  <c r="BB61" i="6"/>
  <c r="BI60" i="6"/>
  <c r="R21" i="6"/>
  <c r="BG59" i="6"/>
  <c r="AX52" i="6"/>
  <c r="A56" i="6"/>
  <c r="Z63" i="6"/>
  <c r="J38" i="6"/>
  <c r="AJ62" i="6"/>
  <c r="W26" i="6"/>
  <c r="BK62" i="6"/>
  <c r="AX54" i="6"/>
  <c r="AH60" i="6"/>
  <c r="B64" i="6"/>
  <c r="BJ61" i="6"/>
  <c r="AW53" i="6"/>
  <c r="BA64" i="6"/>
  <c r="BH58" i="6"/>
  <c r="W53" i="6"/>
  <c r="BB53" i="6"/>
  <c r="Q61" i="6"/>
  <c r="AU48" i="6"/>
  <c r="AA48" i="6"/>
  <c r="B61" i="6"/>
  <c r="BK59" i="6"/>
  <c r="AD47" i="6"/>
  <c r="J53" i="6"/>
  <c r="BE28" i="6"/>
  <c r="AF50" i="6"/>
  <c r="AE35" i="6"/>
  <c r="J34" i="6"/>
  <c r="AA58" i="6"/>
  <c r="AH42" i="6"/>
  <c r="O17" i="6"/>
  <c r="E48" i="6"/>
  <c r="W48" i="6"/>
  <c r="X62" i="6"/>
  <c r="A6" i="6"/>
  <c r="AV46" i="6"/>
  <c r="AX61" i="6"/>
  <c r="Y63" i="6"/>
  <c r="AL60" i="6"/>
  <c r="AN64" i="6"/>
  <c r="G64" i="6"/>
  <c r="BE55" i="6"/>
  <c r="AJ58" i="6"/>
  <c r="AM63" i="6"/>
  <c r="L61" i="6"/>
  <c r="AV40" i="6"/>
  <c r="BC62" i="6"/>
  <c r="AH58" i="6"/>
  <c r="A22" i="6"/>
  <c r="J42" i="6"/>
  <c r="AA39" i="6"/>
  <c r="Z42" i="6"/>
  <c r="I41" i="6"/>
  <c r="AS20" i="6"/>
  <c r="AJ38" i="6"/>
  <c r="U37" i="6"/>
  <c r="R59" i="6"/>
  <c r="AZ51" i="6"/>
  <c r="R61" i="6"/>
  <c r="BB55" i="6"/>
  <c r="AH55" i="6"/>
  <c r="L42" i="6"/>
  <c r="BA51" i="6"/>
  <c r="AK54" i="6"/>
  <c r="AD33" i="6"/>
  <c r="BD64" i="6"/>
  <c r="A46" i="6"/>
  <c r="AU57" i="6"/>
  <c r="BD59" i="6"/>
  <c r="AU61" i="6"/>
  <c r="T59" i="6"/>
  <c r="AC52" i="6"/>
  <c r="AV63" i="6"/>
  <c r="AY59" i="6"/>
  <c r="AU53" i="6"/>
  <c r="S62" i="6"/>
  <c r="Q62" i="6"/>
  <c r="Z52" i="6"/>
  <c r="AM60" i="6"/>
  <c r="X47" i="6"/>
  <c r="AU62" i="6"/>
  <c r="AX58" i="6"/>
  <c r="BJ64" i="6"/>
  <c r="A2" i="6"/>
  <c r="L50" i="6"/>
  <c r="V48" i="6"/>
  <c r="B56" i="6"/>
  <c r="Q46" i="6"/>
  <c r="Z56" i="6"/>
  <c r="BI58" i="6"/>
  <c r="BE59" i="6"/>
  <c r="W60" i="6"/>
  <c r="BA47" i="6"/>
  <c r="S22" i="6"/>
  <c r="A29" i="6"/>
  <c r="AU60" i="6"/>
  <c r="C57" i="6"/>
  <c r="AY62" i="6"/>
  <c r="O39" i="6"/>
  <c r="AE57" i="6"/>
  <c r="S64" i="6"/>
  <c r="S49" i="6"/>
  <c r="E63" i="6"/>
  <c r="AQ47" i="6"/>
  <c r="K61" i="6"/>
  <c r="AC32" i="6"/>
  <c r="I60" i="6"/>
  <c r="H61" i="6"/>
  <c r="W63" i="6"/>
  <c r="AY64" i="6"/>
  <c r="T61" i="6"/>
  <c r="AY22" i="6"/>
  <c r="J60" i="6"/>
  <c r="AK62" i="6"/>
  <c r="H59" i="6"/>
  <c r="BG57" i="6"/>
  <c r="V62" i="6"/>
  <c r="AR61" i="6"/>
  <c r="U45" i="6"/>
  <c r="H57" i="6"/>
  <c r="E45" i="6"/>
  <c r="A34" i="6"/>
  <c r="R56" i="6"/>
  <c r="N61" i="6"/>
  <c r="AZ54" i="6"/>
  <c r="AB62" i="6"/>
  <c r="K54" i="6"/>
  <c r="BD40" i="6"/>
  <c r="Q63" i="6"/>
  <c r="A24" i="6"/>
  <c r="AG62" i="6"/>
  <c r="AN27" i="6"/>
  <c r="E58" i="6"/>
  <c r="AT64" i="6"/>
  <c r="AQ62" i="6"/>
  <c r="A1" i="6"/>
  <c r="AB54" i="6"/>
  <c r="AS63" i="6"/>
  <c r="AP61" i="6"/>
  <c r="BD61" i="6"/>
  <c r="AW58" i="6"/>
  <c r="AN58" i="6"/>
  <c r="E61" i="6"/>
  <c r="J43" i="6"/>
  <c r="Y28" i="6"/>
  <c r="AT63" i="6"/>
  <c r="V53" i="6"/>
  <c r="AI51" i="6"/>
  <c r="AI57" i="6"/>
  <c r="V61" i="6"/>
  <c r="AB52" i="6"/>
  <c r="E38" i="6"/>
  <c r="AP58" i="6"/>
  <c r="BH57" i="6"/>
  <c r="M32" i="6"/>
  <c r="BG56" i="6"/>
  <c r="BL50" i="6"/>
  <c r="K35" i="6"/>
  <c r="W47" i="6"/>
  <c r="BB29" i="6"/>
  <c r="Q56" i="6"/>
  <c r="AL64" i="6"/>
  <c r="AF54" i="6"/>
  <c r="BL63" i="6"/>
  <c r="AY55" i="6"/>
  <c r="BF34" i="6"/>
  <c r="BJ60" i="6"/>
  <c r="BG58" i="6"/>
  <c r="AT50" i="6"/>
  <c r="AT59" i="6"/>
  <c r="BI59" i="6"/>
  <c r="AA57" i="6"/>
  <c r="AS49" i="6"/>
  <c r="G53" i="6"/>
  <c r="B42" i="6"/>
  <c r="A45" i="6"/>
  <c r="AU43" i="6"/>
  <c r="AJ54" i="6"/>
  <c r="AI39" i="6"/>
  <c r="R38" i="6"/>
  <c r="C53" i="6"/>
  <c r="Y50" i="6"/>
  <c r="O50" i="6"/>
  <c r="R60" i="6"/>
  <c r="BE33" i="6"/>
  <c r="AF62" i="6"/>
  <c r="N63" i="6"/>
  <c r="AC55" i="6"/>
  <c r="BG62" i="6"/>
  <c r="Y51" i="6"/>
  <c r="BF61" i="6"/>
  <c r="AC51" i="6"/>
  <c r="A17" i="6"/>
  <c r="B35" i="6"/>
  <c r="BJ57" i="6"/>
  <c r="BA50" i="6"/>
  <c r="AQ49" i="6"/>
  <c r="AF46" i="6"/>
  <c r="BE52" i="6"/>
  <c r="X45" i="6"/>
  <c r="BK60" i="6"/>
  <c r="AE45" i="6"/>
  <c r="AA47" i="6"/>
  <c r="G47" i="6"/>
  <c r="BA28" i="6"/>
  <c r="AL40" i="6"/>
  <c r="AC45" i="6"/>
  <c r="H51" i="6"/>
  <c r="AC54" i="6"/>
  <c r="N16" i="6"/>
  <c r="AJ45" i="6"/>
  <c r="AZ58" i="6"/>
  <c r="S54" i="6"/>
  <c r="A55" i="6"/>
  <c r="AJ47" i="6"/>
  <c r="V47" i="6"/>
  <c r="AU39" i="6"/>
  <c r="AZ31" i="6"/>
  <c r="S52" i="6"/>
  <c r="U39" i="6"/>
  <c r="BC27" i="6"/>
  <c r="AB57" i="6"/>
  <c r="BI53" i="6"/>
  <c r="AL39" i="6"/>
  <c r="K43" i="6"/>
  <c r="AL53" i="6"/>
  <c r="V49" i="6"/>
  <c r="BE63" i="6"/>
  <c r="AP34" i="6"/>
  <c r="AS51" i="6"/>
  <c r="BC63" i="6"/>
  <c r="AT60" i="6"/>
  <c r="BB62" i="6"/>
  <c r="AS59" i="6"/>
  <c r="BB56" i="6"/>
  <c r="BI37" i="6"/>
  <c r="AA60" i="6"/>
  <c r="AE52" i="6"/>
  <c r="AJ64" i="6"/>
  <c r="N57" i="6"/>
  <c r="P60" i="6"/>
  <c r="Z47" i="6"/>
  <c r="BJ58" i="6"/>
  <c r="I52" i="6"/>
  <c r="H56" i="6"/>
  <c r="AJ23" i="6"/>
  <c r="BF59" i="6"/>
  <c r="U56" i="6"/>
  <c r="S58" i="6"/>
  <c r="AQ53" i="6"/>
  <c r="N46" i="6"/>
  <c r="AX25" i="6"/>
  <c r="P55" i="6"/>
  <c r="BG54" i="6"/>
  <c r="AE46" i="6"/>
  <c r="AY39" i="6"/>
  <c r="BJ53" i="6"/>
  <c r="BB25" i="6"/>
  <c r="BJ44" i="6"/>
  <c r="BG52" i="6"/>
  <c r="D45" i="6"/>
  <c r="S53" i="6"/>
  <c r="AY35" i="6"/>
  <c r="BG47" i="6"/>
  <c r="U57" i="6"/>
  <c r="L49" i="6"/>
  <c r="AI60" i="6"/>
  <c r="BB58" i="6"/>
  <c r="U43" i="6"/>
  <c r="N34" i="6"/>
  <c r="AA36" i="6"/>
  <c r="J61" i="6"/>
  <c r="C43" i="6"/>
  <c r="A5" i="6"/>
  <c r="AC46" i="6"/>
  <c r="BB63" i="6"/>
  <c r="AZ61" i="6"/>
  <c r="BE57" i="6"/>
  <c r="G50" i="6"/>
  <c r="AK57" i="6"/>
  <c r="BE42" i="6"/>
  <c r="T56" i="6"/>
  <c r="O35" i="6"/>
  <c r="AF52" i="6"/>
  <c r="AZ37" i="6"/>
  <c r="O51" i="6"/>
  <c r="J63" i="6"/>
  <c r="AV64" i="6"/>
  <c r="BH55" i="6"/>
  <c r="AJ48" i="6"/>
  <c r="AW46" i="6"/>
  <c r="BK54" i="6"/>
  <c r="AF36" i="6"/>
  <c r="BB60" i="6"/>
  <c r="AY54" i="6"/>
  <c r="AD50" i="6"/>
  <c r="J50" i="6"/>
  <c r="AX35" i="6"/>
  <c r="AO43" i="6"/>
  <c r="AA64" i="6"/>
  <c r="BL54" i="6"/>
  <c r="AR47" i="6"/>
  <c r="AX47" i="6"/>
  <c r="BL49" i="6"/>
  <c r="B38" i="6"/>
  <c r="I42" i="6"/>
  <c r="D37" i="6"/>
  <c r="AE49" i="6"/>
  <c r="AB58" i="6"/>
  <c r="AM30" i="6"/>
  <c r="BJ47" i="6"/>
  <c r="A23" i="6"/>
  <c r="BA60" i="6"/>
  <c r="A28" i="6"/>
  <c r="AW62" i="6"/>
  <c r="AX64" i="6"/>
  <c r="BB59" i="6"/>
  <c r="AW63" i="6"/>
  <c r="BA61" i="6"/>
  <c r="AR58" i="6"/>
  <c r="D52" i="6"/>
  <c r="AI56" i="6"/>
  <c r="Q60" i="6"/>
  <c r="AL58" i="6"/>
  <c r="AA30" i="6"/>
  <c r="AD51" i="6"/>
  <c r="C63" i="6"/>
  <c r="M56" i="6"/>
  <c r="AS48" i="6"/>
  <c r="AS46" i="6"/>
  <c r="S46" i="6"/>
  <c r="BH64" i="6"/>
  <c r="AM57" i="6"/>
  <c r="N38" i="6"/>
  <c r="Z50" i="6"/>
  <c r="C36" i="6"/>
  <c r="BH46" i="6"/>
  <c r="AG41" i="6"/>
  <c r="AP54" i="6"/>
  <c r="BC52" i="6"/>
  <c r="C58" i="6"/>
  <c r="BB46" i="6"/>
  <c r="AZ27" i="6"/>
  <c r="W54" i="6"/>
  <c r="O56" i="6"/>
  <c r="BJ51" i="6"/>
  <c r="AP38" i="6"/>
  <c r="AO48" i="6"/>
  <c r="AH25" i="6"/>
  <c r="P53" i="6"/>
  <c r="BE39" i="6"/>
  <c r="AU22" i="6"/>
  <c r="BE34" i="6"/>
  <c r="BE50" i="6"/>
  <c r="AI44" i="6"/>
  <c r="Y55" i="6"/>
  <c r="AF61" i="6"/>
  <c r="A48" i="6"/>
  <c r="BD54" i="6"/>
  <c r="A27" i="6"/>
  <c r="AI49" i="6"/>
  <c r="BI63" i="6"/>
  <c r="G56" i="6"/>
  <c r="O54" i="6"/>
  <c r="BB38" i="6"/>
  <c r="BI52" i="6"/>
  <c r="AX55" i="6"/>
  <c r="J49" i="6"/>
  <c r="BD49" i="6"/>
  <c r="BD47" i="6"/>
  <c r="AS50" i="6"/>
  <c r="AK60" i="6"/>
  <c r="AV50" i="6"/>
  <c r="AR56" i="6"/>
  <c r="BE54" i="6"/>
  <c r="AI43" i="6"/>
  <c r="W39" i="6"/>
  <c r="W43" i="6"/>
  <c r="BE61" i="6"/>
  <c r="AH54" i="6"/>
  <c r="N54" i="6"/>
  <c r="BB39" i="6"/>
  <c r="AE22" i="6"/>
  <c r="AE48" i="6"/>
  <c r="BF64" i="6"/>
  <c r="AZ55" i="6"/>
  <c r="BD27" i="6"/>
  <c r="AE26" i="6"/>
  <c r="L31" i="6"/>
  <c r="AV38" i="6"/>
  <c r="AM47" i="6"/>
  <c r="BL46" i="6"/>
  <c r="BC54" i="6"/>
  <c r="AL56" i="6"/>
  <c r="E42" i="6"/>
  <c r="AM38" i="6"/>
  <c r="R47" i="6"/>
  <c r="AB43" i="6"/>
  <c r="K64" i="6"/>
  <c r="S35" i="6"/>
  <c r="P63" i="6"/>
  <c r="E54" i="6"/>
  <c r="O62" i="6"/>
  <c r="D53" i="6"/>
  <c r="X54" i="6"/>
  <c r="AA52" i="6"/>
  <c r="A51" i="6"/>
  <c r="Q52" i="6"/>
  <c r="V64" i="6"/>
  <c r="AH21" i="6"/>
  <c r="AJ63" i="6"/>
  <c r="AO57" i="6"/>
  <c r="A4" i="6"/>
  <c r="H41" i="6"/>
  <c r="I37" i="6"/>
  <c r="O55" i="6"/>
  <c r="BC40" i="6"/>
  <c r="AI26" i="6"/>
  <c r="R54" i="6"/>
  <c r="AR46" i="6"/>
  <c r="K55" i="6"/>
  <c r="R62" i="6"/>
  <c r="AV49" i="6"/>
  <c r="AB49" i="6"/>
  <c r="BJ38" i="6"/>
  <c r="BL60" i="6"/>
  <c r="AR55" i="6"/>
  <c r="D48" i="6"/>
  <c r="BI49" i="6"/>
  <c r="Q64" i="6"/>
  <c r="D58" i="6"/>
  <c r="AD34" i="6"/>
  <c r="R46" i="6"/>
  <c r="W61" i="6"/>
  <c r="B52" i="6"/>
  <c r="M57" i="6"/>
  <c r="AD61" i="6"/>
  <c r="G61" i="6"/>
  <c r="U51" i="6"/>
  <c r="BD46" i="6"/>
  <c r="Q47" i="6"/>
  <c r="X63" i="6"/>
  <c r="R63" i="6"/>
  <c r="AZ56" i="6"/>
  <c r="W58" i="6"/>
  <c r="AN52" i="6"/>
  <c r="B57" i="6"/>
  <c r="F38" i="6"/>
  <c r="N53" i="6"/>
  <c r="AW20" i="6"/>
  <c r="BH51" i="6"/>
  <c r="AW54" i="6"/>
  <c r="W46" i="6"/>
  <c r="L64" i="6"/>
  <c r="R49" i="6"/>
  <c r="AE47" i="6"/>
  <c r="N62" i="6"/>
  <c r="N42" i="6"/>
  <c r="AR49" i="6"/>
  <c r="AP52" i="6"/>
  <c r="K30" i="6"/>
  <c r="F25" i="6"/>
  <c r="BF43" i="6"/>
  <c r="N35" i="6"/>
  <c r="Y41" i="6"/>
  <c r="Y45" i="6"/>
  <c r="BG63" i="6"/>
  <c r="G55" i="6"/>
  <c r="AM37" i="6"/>
  <c r="AN38" i="6"/>
  <c r="BI15" i="6"/>
  <c r="U48" i="6"/>
  <c r="AN50" i="6"/>
  <c r="BI61" i="6"/>
  <c r="AE43" i="6"/>
  <c r="BA41" i="6"/>
  <c r="AQ42" i="6"/>
  <c r="P18" i="6"/>
  <c r="N25" i="6"/>
  <c r="Q55" i="6"/>
  <c r="AG56" i="6"/>
  <c r="AM49" i="6"/>
  <c r="AB51" i="6"/>
  <c r="W64" i="6"/>
  <c r="AA50" i="6"/>
  <c r="A54" i="6"/>
  <c r="S39" i="6"/>
  <c r="AY52" i="6"/>
  <c r="I39" i="6"/>
  <c r="AH51" i="6"/>
  <c r="G51" i="6"/>
  <c r="AT47" i="6"/>
  <c r="AQ35" i="6"/>
  <c r="Y46" i="6"/>
  <c r="AE56" i="6"/>
  <c r="I48" i="6"/>
  <c r="BC35" i="6"/>
  <c r="BG44" i="6"/>
  <c r="O36" i="6"/>
  <c r="G26" i="6"/>
  <c r="AP62" i="6"/>
  <c r="AV47" i="6"/>
  <c r="AS37" i="6"/>
  <c r="AZ53" i="6"/>
  <c r="AF53" i="6"/>
  <c r="J40" i="6"/>
  <c r="BE58" i="6"/>
  <c r="O49" i="6"/>
  <c r="L56" i="6"/>
  <c r="AQ50" i="6"/>
  <c r="AK28" i="6"/>
  <c r="J59" i="6"/>
  <c r="B39" i="6"/>
  <c r="U36" i="6"/>
  <c r="BC30" i="6"/>
  <c r="AM50" i="6"/>
  <c r="AB53" i="6"/>
  <c r="AK41" i="6"/>
  <c r="C37" i="6"/>
  <c r="BH48" i="6"/>
  <c r="Y43" i="6"/>
  <c r="L62" i="6"/>
  <c r="X64" i="6"/>
  <c r="L54" i="6"/>
  <c r="S59" i="6"/>
  <c r="H50" i="6"/>
  <c r="M58" i="6"/>
  <c r="AO47" i="6"/>
  <c r="AA49" i="6"/>
  <c r="D63" i="6"/>
  <c r="Q57" i="6"/>
  <c r="H34" i="6"/>
  <c r="C52" i="6"/>
  <c r="AE39" i="6"/>
  <c r="L52" i="6"/>
  <c r="AQ45" i="6"/>
  <c r="T62" i="6"/>
  <c r="BB64" i="6"/>
  <c r="BA54" i="6"/>
  <c r="AG54" i="6"/>
  <c r="K41" i="6"/>
  <c r="BC64" i="6"/>
  <c r="AJ53" i="6"/>
  <c r="J29" i="6"/>
  <c r="K44" i="6"/>
  <c r="BB52" i="6"/>
  <c r="AY49" i="6"/>
  <c r="X55" i="6"/>
  <c r="AK53" i="6"/>
  <c r="BF63" i="6"/>
  <c r="BJ54" i="6"/>
  <c r="AM40" i="6"/>
  <c r="AO49" i="6"/>
  <c r="F55" i="6"/>
  <c r="BK48" i="6"/>
  <c r="F49" i="6"/>
  <c r="H54" i="6"/>
  <c r="S55" i="6"/>
  <c r="BD36" i="6"/>
  <c r="L45" i="6"/>
  <c r="BA55" i="6"/>
  <c r="T54" i="6"/>
  <c r="F64" i="6"/>
  <c r="AF55" i="6"/>
  <c r="D62" i="6"/>
  <c r="AE54" i="6"/>
  <c r="L58" i="6"/>
  <c r="AQ48" i="6"/>
  <c r="BC56" i="6"/>
  <c r="M43" i="6"/>
  <c r="AL55" i="6"/>
  <c r="AM35" i="6"/>
  <c r="AX51" i="6"/>
  <c r="A30" i="6"/>
  <c r="AG50" i="6"/>
  <c r="E49" i="6"/>
  <c r="M52" i="6"/>
  <c r="AZ47" i="6"/>
  <c r="BB47" i="6"/>
  <c r="S40" i="6"/>
  <c r="BC46" i="6"/>
  <c r="AL52" i="6"/>
  <c r="BD55" i="6"/>
  <c r="F54" i="6"/>
  <c r="K14" i="6"/>
  <c r="AJ57" i="6"/>
  <c r="N44" i="6"/>
  <c r="AG35" i="6"/>
  <c r="AQ63" i="6"/>
  <c r="AW48" i="6"/>
  <c r="AG47" i="6"/>
  <c r="BL37" i="6"/>
  <c r="AW55" i="6"/>
  <c r="AM44" i="6"/>
  <c r="Y40" i="6"/>
  <c r="BC48" i="6"/>
  <c r="AQ54" i="6"/>
  <c r="BH44" i="6"/>
  <c r="AB44" i="6"/>
  <c r="X42" i="6"/>
  <c r="AP49" i="6"/>
  <c r="AJ27" i="6"/>
  <c r="Z58" i="6"/>
  <c r="BH63" i="6"/>
  <c r="AS62" i="6"/>
  <c r="BC58" i="6"/>
  <c r="AH59" i="6"/>
  <c r="K57" i="6"/>
  <c r="AT61" i="6"/>
  <c r="AO63" i="6"/>
  <c r="AT21" i="6"/>
  <c r="BF53" i="6"/>
  <c r="AL25" i="6"/>
  <c r="BG49" i="6"/>
  <c r="AB42" i="6"/>
  <c r="BA48" i="6"/>
  <c r="T41" i="6"/>
  <c r="Z49" i="6"/>
  <c r="AA41" i="6"/>
  <c r="O34" i="6"/>
  <c r="BF29" i="6"/>
  <c r="O45" i="6"/>
  <c r="AH36" i="6"/>
  <c r="AN57" i="6"/>
  <c r="D47" i="6"/>
  <c r="J46" i="6"/>
  <c r="P58" i="6"/>
  <c r="AR54" i="6"/>
  <c r="BJ62" i="6"/>
  <c r="AG45" i="6"/>
  <c r="U62" i="6"/>
  <c r="BB34" i="6"/>
  <c r="AQ44" i="6"/>
  <c r="W50" i="6"/>
  <c r="F63" i="6"/>
  <c r="K49" i="6"/>
  <c r="L34" i="6"/>
  <c r="AY23" i="6"/>
  <c r="BE45" i="6"/>
  <c r="BE49" i="6"/>
  <c r="AH35" i="6"/>
  <c r="T40" i="6"/>
  <c r="BD52" i="6"/>
  <c r="AN48" i="6"/>
  <c r="AO56" i="6"/>
  <c r="AW47" i="6"/>
  <c r="A59" i="6"/>
  <c r="AZ64" i="6"/>
  <c r="AD64" i="6"/>
  <c r="AY63" i="6"/>
  <c r="AC63" i="6"/>
  <c r="O64" i="6"/>
  <c r="U58" i="6"/>
  <c r="A37" i="6"/>
  <c r="L36" i="6"/>
  <c r="I47" i="6"/>
  <c r="BH40" i="6"/>
  <c r="AO64" i="6"/>
  <c r="AS47" i="6"/>
  <c r="AJ59" i="6"/>
  <c r="AE55" i="6"/>
  <c r="S63" i="6"/>
  <c r="S61" i="6"/>
  <c r="O60" i="6"/>
  <c r="M48" i="6"/>
  <c r="BH54" i="6"/>
  <c r="AG51" i="6"/>
  <c r="AZ57" i="6"/>
  <c r="AD44" i="6"/>
  <c r="L51" i="6"/>
  <c r="BC50" i="6"/>
  <c r="BH53" i="6"/>
  <c r="V43" i="6"/>
  <c r="BF49" i="6"/>
  <c r="Q54" i="6"/>
  <c r="BF40" i="6"/>
  <c r="R35" i="6"/>
  <c r="L59" i="6"/>
  <c r="A14" i="6"/>
  <c r="AO60" i="6"/>
  <c r="AT38" i="6"/>
  <c r="AY36" i="6"/>
  <c r="I62" i="6"/>
  <c r="AE51" i="6"/>
  <c r="L55" i="6"/>
  <c r="V42" i="6"/>
  <c r="AD55" i="6"/>
  <c r="AT53" i="6"/>
  <c r="BG26" i="6"/>
  <c r="AG46" i="6"/>
  <c r="I61" i="6"/>
  <c r="O48" i="6"/>
  <c r="BC22" i="6"/>
  <c r="V57" i="6"/>
  <c r="BD48" i="6"/>
  <c r="AG34" i="6"/>
  <c r="BK39" i="6"/>
  <c r="AZ48" i="6"/>
  <c r="G39" i="6"/>
  <c r="AK52" i="6"/>
  <c r="AW56" i="6"/>
  <c r="AS56" i="6"/>
  <c r="F50" i="6"/>
  <c r="B54" i="6"/>
  <c r="K45" i="6"/>
  <c r="AX57" i="6"/>
  <c r="BI34" i="6"/>
  <c r="BK30" i="6"/>
  <c r="AX59" i="6"/>
  <c r="AF47" i="6"/>
  <c r="AQ55" i="6"/>
  <c r="H49" i="6"/>
  <c r="Q31" i="6"/>
  <c r="BD37" i="6"/>
  <c r="BH30" i="6"/>
  <c r="BJ26" i="6"/>
  <c r="BK29" i="6"/>
  <c r="X46" i="6"/>
  <c r="Z46" i="6"/>
  <c r="V33" i="6"/>
  <c r="BL15" i="6"/>
  <c r="H43" i="6"/>
  <c r="AR15" i="6"/>
  <c r="R24" i="6"/>
  <c r="AU14" i="6"/>
  <c r="BF36" i="6"/>
  <c r="S48" i="6"/>
  <c r="BH43" i="6"/>
  <c r="C19" i="6"/>
  <c r="C38" i="6"/>
  <c r="AT18" i="6"/>
  <c r="I16" i="6"/>
  <c r="BB50" i="6"/>
  <c r="BA46" i="6"/>
  <c r="AH43" i="6"/>
  <c r="N28" i="6"/>
  <c r="B25" i="6"/>
  <c r="BE27" i="6"/>
  <c r="BD20" i="6"/>
  <c r="BH26" i="6"/>
  <c r="M15" i="6"/>
  <c r="T60" i="6"/>
  <c r="E62" i="6"/>
  <c r="M53" i="6"/>
  <c r="H48" i="6"/>
  <c r="AW50" i="6"/>
  <c r="I63" i="6"/>
  <c r="J62" i="6"/>
  <c r="BF50" i="6"/>
  <c r="W45" i="6"/>
  <c r="AC38" i="6"/>
  <c r="AL42" i="6"/>
  <c r="AX53" i="6"/>
  <c r="J21" i="6"/>
  <c r="O37" i="6"/>
  <c r="AS57" i="6"/>
  <c r="BJ42" i="6"/>
  <c r="AT33" i="6"/>
  <c r="T23" i="6"/>
  <c r="AR23" i="6"/>
  <c r="AG37" i="6"/>
  <c r="AX36" i="6"/>
  <c r="BA25" i="6"/>
  <c r="AI62" i="6"/>
  <c r="AF40" i="6"/>
  <c r="V63" i="6"/>
  <c r="BC44" i="6"/>
  <c r="AO40" i="6"/>
  <c r="W52" i="6"/>
  <c r="AD45" i="6"/>
  <c r="AE58" i="6"/>
  <c r="BL34" i="6"/>
  <c r="N33" i="6"/>
  <c r="AZ44" i="6"/>
  <c r="AX27" i="6"/>
  <c r="T34" i="6"/>
  <c r="AD27" i="6"/>
  <c r="BJ25" i="6"/>
  <c r="AG26" i="6"/>
  <c r="BA24" i="6"/>
  <c r="W40" i="6"/>
  <c r="AD39" i="6"/>
  <c r="L26" i="6"/>
  <c r="R44" i="6"/>
  <c r="BC25" i="6"/>
  <c r="BK32" i="6"/>
  <c r="BF24" i="6"/>
  <c r="C44" i="6"/>
  <c r="AV58" i="6"/>
  <c r="BC45" i="6"/>
  <c r="G21" i="6"/>
  <c r="AC35" i="6"/>
  <c r="AX20" i="6"/>
  <c r="BA22" i="6"/>
  <c r="AT25" i="6"/>
  <c r="AK46" i="6"/>
  <c r="AM54" i="6"/>
  <c r="AU24" i="6"/>
  <c r="AT46" i="6"/>
  <c r="AA24" i="6"/>
  <c r="AH41" i="6"/>
  <c r="AD23" i="6"/>
  <c r="AL10" i="6"/>
  <c r="O23" i="6"/>
  <c r="Z54" i="6"/>
  <c r="A21" i="6"/>
  <c r="R64" i="6"/>
  <c r="AN63" i="6"/>
  <c r="P64" i="6"/>
  <c r="Z57" i="6"/>
  <c r="AV53" i="6"/>
  <c r="Y37" i="6"/>
  <c r="K51" i="6"/>
  <c r="C47" i="6"/>
  <c r="BD60" i="6"/>
  <c r="P49" i="6"/>
  <c r="AX34" i="6"/>
  <c r="N47" i="6"/>
  <c r="U41" i="6"/>
  <c r="C51" i="6"/>
  <c r="BC53" i="6"/>
  <c r="AD48" i="6"/>
  <c r="Q53" i="6"/>
  <c r="K48" i="6"/>
  <c r="BK58" i="6"/>
  <c r="R53" i="6"/>
  <c r="S41" i="6"/>
  <c r="R13" i="6"/>
  <c r="X34" i="6"/>
  <c r="AC56" i="6"/>
  <c r="BK55" i="6"/>
  <c r="AN41" i="6"/>
  <c r="AS53" i="6"/>
  <c r="AA59" i="6"/>
  <c r="AD57" i="6"/>
  <c r="AQ22" i="6"/>
  <c r="D64" i="6"/>
  <c r="G44" i="6"/>
  <c r="R25" i="6"/>
  <c r="BL48" i="6"/>
  <c r="M35" i="6"/>
  <c r="B17" i="6"/>
  <c r="I44" i="6"/>
  <c r="AS16" i="6"/>
  <c r="T26" i="6"/>
  <c r="AV15" i="6"/>
  <c r="AV55" i="6"/>
  <c r="AC34" i="6"/>
  <c r="AS33" i="6"/>
  <c r="BJ15" i="6"/>
  <c r="AL30" i="6"/>
  <c r="AP15" i="6"/>
  <c r="L32" i="6"/>
  <c r="BJ46" i="6"/>
  <c r="BJ50" i="6"/>
  <c r="J44" i="6"/>
  <c r="G27" i="6"/>
  <c r="BD12" i="6"/>
  <c r="AG25" i="6"/>
  <c r="J57" i="6"/>
  <c r="U25" i="6"/>
  <c r="T42" i="6"/>
  <c r="AA56" i="6"/>
  <c r="AA22" i="6"/>
  <c r="AD13" i="6"/>
  <c r="F41" i="6"/>
  <c r="M12" i="6"/>
  <c r="F20" i="6"/>
  <c r="BG7" i="6"/>
  <c r="AY45" i="6"/>
  <c r="AV61" i="6"/>
  <c r="Z61" i="6"/>
  <c r="N9" i="6"/>
  <c r="AM41" i="6"/>
  <c r="AC50" i="6"/>
  <c r="AD54" i="6"/>
  <c r="P47" i="6"/>
  <c r="AI36" i="6"/>
  <c r="BL52" i="6"/>
  <c r="BG31" i="6"/>
  <c r="B21" i="6"/>
  <c r="B46" i="6"/>
  <c r="AY60" i="6"/>
  <c r="BF30" i="6"/>
  <c r="B50" i="6"/>
  <c r="H40" i="6"/>
  <c r="BK17" i="6"/>
  <c r="AO53" i="6"/>
  <c r="G48" i="6"/>
  <c r="P36" i="6"/>
  <c r="BC51" i="6"/>
  <c r="D56" i="6"/>
  <c r="AO52" i="6"/>
  <c r="AF57" i="6"/>
  <c r="T53" i="6"/>
  <c r="BA39" i="6"/>
  <c r="E57" i="6"/>
  <c r="L46" i="6"/>
  <c r="BH32" i="6"/>
  <c r="I57" i="6"/>
  <c r="AX46" i="6"/>
  <c r="AA44" i="6"/>
  <c r="AF41" i="6"/>
  <c r="M27" i="6"/>
  <c r="T46" i="6"/>
  <c r="BD26" i="6"/>
  <c r="AN14" i="6"/>
  <c r="BG25" i="6"/>
  <c r="P38" i="6"/>
  <c r="V51" i="6"/>
  <c r="BI44" i="6"/>
  <c r="D20" i="6"/>
  <c r="D39" i="6"/>
  <c r="AU19" i="6"/>
  <c r="K18" i="6"/>
  <c r="AX18" i="6"/>
  <c r="AX62" i="6"/>
  <c r="BB43" i="6"/>
  <c r="J41" i="6"/>
  <c r="BJ14" i="6"/>
  <c r="AX33" i="6"/>
  <c r="AP14" i="6"/>
  <c r="BC38" i="6"/>
  <c r="I50" i="6"/>
  <c r="AY26" i="6"/>
  <c r="Z35" i="6"/>
  <c r="J24" i="6"/>
  <c r="N40" i="6"/>
  <c r="BA23" i="6"/>
  <c r="BG28" i="6"/>
  <c r="BD22" i="6"/>
  <c r="L57" i="6"/>
  <c r="AX56" i="6"/>
  <c r="AP44" i="6"/>
  <c r="H58" i="6"/>
  <c r="AI53" i="6"/>
  <c r="BE43" i="6"/>
  <c r="AO32" i="6"/>
  <c r="C60" i="6"/>
  <c r="F42" i="6"/>
  <c r="AV27" i="6"/>
  <c r="D38" i="6"/>
  <c r="AR31" i="6"/>
  <c r="M62" i="6"/>
  <c r="BA52" i="6"/>
  <c r="A50" i="6"/>
  <c r="AY40" i="6"/>
  <c r="AL37" i="6"/>
  <c r="AW37" i="6"/>
  <c r="AA42" i="6"/>
  <c r="AK49" i="6"/>
  <c r="R55" i="6"/>
  <c r="BG41" i="6"/>
  <c r="V39" i="6"/>
  <c r="BI38" i="6"/>
  <c r="AM51" i="6"/>
  <c r="F47" i="6"/>
  <c r="R51" i="6"/>
  <c r="E39" i="6"/>
  <c r="AU49" i="6"/>
  <c r="AT35" i="6"/>
  <c r="BD23" i="6"/>
  <c r="BK16" i="6"/>
  <c r="AM31" i="6"/>
  <c r="AQ16" i="6"/>
  <c r="AC33" i="6"/>
  <c r="V40" i="6"/>
  <c r="AB55" i="6"/>
  <c r="AO20" i="6"/>
  <c r="BA30" i="6"/>
  <c r="AJ55" i="6"/>
  <c r="AG30" i="6"/>
  <c r="C41" i="6"/>
  <c r="AJ29" i="6"/>
  <c r="AX29" i="6"/>
  <c r="AP50" i="6"/>
  <c r="AA35" i="6"/>
  <c r="AV25" i="6"/>
  <c r="AX50" i="6"/>
  <c r="AB25" i="6"/>
  <c r="AJ43" i="6"/>
  <c r="AE24" i="6"/>
  <c r="AN47" i="6"/>
  <c r="AG24" i="6"/>
  <c r="K31" i="6"/>
  <c r="V13" i="6"/>
  <c r="AJ28" i="6"/>
  <c r="E12" i="6"/>
  <c r="Y29" i="6"/>
  <c r="AA20" i="6"/>
  <c r="AZ39" i="6"/>
  <c r="A16" i="6"/>
  <c r="AS55" i="6"/>
  <c r="F58" i="6"/>
  <c r="AG60" i="6"/>
  <c r="AZ62" i="6"/>
  <c r="G40" i="6"/>
  <c r="AP42" i="6"/>
  <c r="BG48" i="6"/>
  <c r="U38" i="6"/>
  <c r="Q41" i="6"/>
  <c r="BF52" i="6"/>
  <c r="BF55" i="6"/>
  <c r="AL54" i="6"/>
  <c r="V56" i="6"/>
  <c r="AI52" i="6"/>
  <c r="Q37" i="6"/>
  <c r="BK49" i="6"/>
  <c r="AF48" i="6"/>
  <c r="BD34" i="6"/>
  <c r="M47" i="6"/>
  <c r="AZ42" i="6"/>
  <c r="AU55" i="6"/>
  <c r="BG51" i="6"/>
  <c r="AJ37" i="6"/>
  <c r="BK52" i="6"/>
  <c r="AT42" i="6"/>
  <c r="AV56" i="6"/>
  <c r="BF48" i="6"/>
  <c r="AM62" i="6"/>
  <c r="AW38" i="6"/>
  <c r="R40" i="6"/>
  <c r="BD53" i="6"/>
  <c r="BJ45" i="6"/>
  <c r="Z9" i="6"/>
  <c r="E40" i="6"/>
  <c r="AA7" i="6"/>
  <c r="M20" i="6"/>
  <c r="N49" i="6"/>
  <c r="C55" i="6"/>
  <c r="AA45" i="6"/>
  <c r="X28" i="6"/>
  <c r="BE13" i="6"/>
  <c r="AH26" i="6"/>
  <c r="AS58" i="6"/>
  <c r="AL26" i="6"/>
  <c r="C40" i="6"/>
  <c r="Q50" i="6"/>
  <c r="AZ38" i="6"/>
  <c r="AW21" i="6"/>
  <c r="AU8" i="6"/>
  <c r="AC21" i="6"/>
  <c r="AT55" i="6"/>
  <c r="AF20" i="6"/>
  <c r="AK35" i="6"/>
  <c r="BC43" i="6"/>
  <c r="BG42" i="6"/>
  <c r="B18" i="6"/>
  <c r="B37" i="6"/>
  <c r="AS17" i="6"/>
  <c r="BH23" i="6"/>
  <c r="AV16" i="6"/>
  <c r="BC37" i="6"/>
  <c r="AG49" i="6"/>
  <c r="N50" i="6"/>
  <c r="AM43" i="6"/>
  <c r="AN51" i="6"/>
  <c r="BG36" i="6"/>
  <c r="AP29" i="6"/>
  <c r="AM56" i="6"/>
  <c r="BC59" i="6"/>
  <c r="N36" i="6"/>
  <c r="BB44" i="6"/>
  <c r="A38" i="6"/>
  <c r="AL49" i="6"/>
  <c r="Z51" i="6"/>
  <c r="A36" i="6"/>
  <c r="AW35" i="6"/>
  <c r="X40" i="6"/>
  <c r="H42" i="6"/>
  <c r="BE29" i="6"/>
  <c r="A42" i="6"/>
  <c r="AX48" i="6"/>
  <c r="AT49" i="6"/>
  <c r="U50" i="6"/>
  <c r="AS44" i="6"/>
  <c r="BK47" i="6"/>
  <c r="AJ34" i="6"/>
  <c r="BI50" i="6"/>
  <c r="BC41" i="6"/>
  <c r="BI47" i="6"/>
  <c r="AS24" i="6"/>
  <c r="BB31" i="6"/>
  <c r="AT48" i="6"/>
  <c r="AH31" i="6"/>
  <c r="G45" i="6"/>
  <c r="AK30" i="6"/>
  <c r="AL34" i="6"/>
  <c r="AI47" i="6"/>
  <c r="E41" i="6"/>
  <c r="P30" i="6"/>
  <c r="BB35" i="6"/>
  <c r="BG29" i="6"/>
  <c r="BH24" i="6"/>
  <c r="BJ28" i="6"/>
  <c r="M54" i="6"/>
  <c r="S36" i="6"/>
  <c r="AB37" i="6"/>
  <c r="K25" i="6"/>
  <c r="P42" i="6"/>
  <c r="BB24" i="6"/>
  <c r="BI30" i="6"/>
  <c r="R36" i="6"/>
  <c r="T47" i="6"/>
  <c r="BB48" i="6"/>
  <c r="AY28" i="6"/>
  <c r="AB47" i="6"/>
  <c r="AE28" i="6"/>
  <c r="AR34" i="6"/>
  <c r="AH27" i="6"/>
  <c r="AQ7" i="6"/>
  <c r="BK57" i="6"/>
  <c r="AO58" i="6"/>
  <c r="G57" i="6"/>
  <c r="AU50" i="6"/>
  <c r="BA56" i="6"/>
  <c r="B62" i="6"/>
  <c r="AT62" i="6"/>
  <c r="L60" i="6"/>
  <c r="T38" i="6"/>
  <c r="BF44" i="6"/>
  <c r="E53" i="6"/>
  <c r="AP43" i="6"/>
  <c r="AH56" i="6"/>
  <c r="AY30" i="6"/>
  <c r="D54" i="6"/>
  <c r="AM59" i="6"/>
  <c r="AQ39" i="6"/>
  <c r="AC37" i="6"/>
  <c r="AD35" i="6"/>
  <c r="AH52" i="6"/>
  <c r="AZ41" i="6"/>
  <c r="W38" i="6"/>
  <c r="X41" i="6"/>
  <c r="N51" i="6"/>
  <c r="A19" i="6"/>
  <c r="AO39" i="6"/>
  <c r="N21" i="6"/>
  <c r="Y42" i="6"/>
  <c r="AE40" i="6"/>
  <c r="AH61" i="6"/>
  <c r="AQ41" i="6"/>
  <c r="G35" i="6"/>
  <c r="BJ16" i="6"/>
  <c r="AO29" i="6"/>
  <c r="R9" i="6"/>
  <c r="AI27" i="6"/>
  <c r="BJ52" i="6"/>
  <c r="H28" i="6"/>
  <c r="BA33" i="6"/>
  <c r="AT54" i="6"/>
  <c r="AC61" i="6"/>
  <c r="AW26" i="6"/>
  <c r="BB54" i="6"/>
  <c r="AC26" i="6"/>
  <c r="AL45" i="6"/>
  <c r="AF25" i="6"/>
  <c r="BA59" i="6"/>
  <c r="BH49" i="6"/>
  <c r="Q19" i="6"/>
  <c r="AR21" i="6"/>
  <c r="E50" i="6"/>
  <c r="X21" i="6"/>
  <c r="AB35" i="6"/>
  <c r="BB51" i="6"/>
  <c r="BF46" i="6"/>
  <c r="BD42" i="6"/>
  <c r="AK25" i="6"/>
  <c r="BC11" i="6"/>
  <c r="AF24" i="6"/>
  <c r="B49" i="6"/>
  <c r="D24" i="6"/>
  <c r="AJ18" i="6"/>
  <c r="AV35" i="6"/>
  <c r="AB16" i="6"/>
  <c r="BE47" i="6"/>
  <c r="Y59" i="6"/>
  <c r="BF58" i="6"/>
  <c r="T51" i="6"/>
  <c r="AF59" i="6"/>
  <c r="J23" i="6"/>
  <c r="Z60" i="6"/>
  <c r="AF56" i="6"/>
  <c r="AM55" i="6"/>
  <c r="H47" i="6"/>
  <c r="P44" i="6"/>
  <c r="AP57" i="6"/>
  <c r="Q12" i="6"/>
  <c r="BA42" i="6"/>
  <c r="AV23" i="6"/>
  <c r="K52" i="6"/>
  <c r="BG55" i="6"/>
  <c r="BE37" i="6"/>
  <c r="AT57" i="6"/>
  <c r="H52" i="6"/>
  <c r="C22" i="6"/>
  <c r="AB46" i="6"/>
  <c r="AQ59" i="6"/>
  <c r="AE36" i="6"/>
  <c r="P34" i="6"/>
  <c r="M49" i="6"/>
  <c r="J47" i="6"/>
  <c r="BI62" i="6"/>
  <c r="AC41" i="6"/>
  <c r="Q39" i="6"/>
  <c r="AR42" i="6"/>
  <c r="T27" i="6"/>
  <c r="Y52" i="6"/>
  <c r="AR45" i="6"/>
  <c r="BC26" i="6"/>
  <c r="W41" i="6"/>
  <c r="T24" i="6"/>
  <c r="BB10" i="6"/>
  <c r="AE23" i="6"/>
  <c r="AB56" i="6"/>
  <c r="AH22" i="6"/>
  <c r="G46" i="6"/>
  <c r="BL53" i="6"/>
  <c r="AA46" i="6"/>
  <c r="AS22" i="6"/>
  <c r="I54" i="6"/>
  <c r="Y22" i="6"/>
  <c r="AD37" i="6"/>
  <c r="AB21" i="6"/>
  <c r="AN55" i="6"/>
  <c r="Y56" i="6"/>
  <c r="P57" i="6"/>
  <c r="S33" i="6"/>
  <c r="BH41" i="6"/>
  <c r="BJ32" i="6"/>
  <c r="C31" i="6"/>
  <c r="BJ35" i="6"/>
  <c r="AO45" i="6"/>
  <c r="S37" i="6"/>
  <c r="K47" i="6"/>
  <c r="AW61" i="6"/>
  <c r="D40" i="6"/>
  <c r="O52" i="6"/>
  <c r="AM26" i="6"/>
  <c r="AV45" i="6"/>
  <c r="Q35" i="6"/>
  <c r="T55" i="6"/>
  <c r="P14" i="6"/>
  <c r="AX39" i="6"/>
  <c r="AT19" i="6"/>
  <c r="AL29" i="6"/>
  <c r="AO14" i="6"/>
  <c r="L53" i="6"/>
  <c r="BF39" i="6"/>
  <c r="BL28" i="6"/>
  <c r="AB31" i="6"/>
  <c r="AZ4" i="6"/>
  <c r="Y34" i="6"/>
  <c r="AG55" i="6"/>
  <c r="E34" i="6"/>
  <c r="AS38" i="6"/>
  <c r="H33" i="6"/>
  <c r="J48" i="6"/>
  <c r="AY32" i="6"/>
  <c r="BF10" i="6"/>
  <c r="AI15" i="6"/>
  <c r="AA26" i="6"/>
  <c r="Q7" i="6"/>
  <c r="AH10" i="6"/>
  <c r="C15" i="6"/>
  <c r="V35" i="6"/>
  <c r="AQ29" i="6"/>
  <c r="AB24" i="6"/>
  <c r="AI18" i="6"/>
  <c r="AP45" i="6"/>
  <c r="O18" i="6"/>
  <c r="W29" i="6"/>
  <c r="R17" i="6"/>
  <c r="Y44" i="6"/>
  <c r="BJ18" i="6"/>
  <c r="N29" i="6"/>
  <c r="F3" i="6"/>
  <c r="BI1" i="6"/>
  <c r="BI17" i="6"/>
  <c r="L27" i="6"/>
  <c r="D49" i="6"/>
  <c r="H21" i="6"/>
  <c r="BG34" i="6"/>
  <c r="AO23" i="6"/>
  <c r="M39" i="6"/>
  <c r="U23" i="6"/>
  <c r="BF27" i="6"/>
  <c r="X22" i="6"/>
  <c r="K37" i="6"/>
  <c r="D22" i="6"/>
  <c r="BG22" i="6"/>
  <c r="AI6" i="6"/>
  <c r="AY3" i="6"/>
  <c r="AU42" i="6"/>
  <c r="AW19" i="6"/>
  <c r="U12" i="6"/>
  <c r="T28" i="6"/>
  <c r="BF57" i="6"/>
  <c r="AL43" i="6"/>
  <c r="AF23" i="6"/>
  <c r="W57" i="6"/>
  <c r="Z55" i="6"/>
  <c r="BK45" i="6"/>
  <c r="AY47" i="6"/>
  <c r="AJ22" i="6"/>
  <c r="A47" i="6"/>
  <c r="AD59" i="6"/>
  <c r="D50" i="6"/>
  <c r="AY46" i="6"/>
  <c r="M50" i="6"/>
  <c r="AR43" i="6"/>
  <c r="AI30" i="6"/>
  <c r="AO61" i="6"/>
  <c r="AS61" i="6"/>
  <c r="AV60" i="6"/>
  <c r="X39" i="6"/>
  <c r="AB45" i="6"/>
  <c r="BL56" i="6"/>
  <c r="AO42" i="6"/>
  <c r="AW57" i="6"/>
  <c r="AN61" i="6"/>
  <c r="G59" i="6"/>
  <c r="AU26" i="6"/>
  <c r="P59" i="6"/>
  <c r="M51" i="6"/>
  <c r="AY50" i="6"/>
  <c r="BD50" i="6"/>
  <c r="AH39" i="6"/>
  <c r="AK36" i="6"/>
  <c r="BL45" i="6"/>
  <c r="Z41" i="6"/>
  <c r="BK56" i="6"/>
  <c r="AP21" i="6"/>
  <c r="AX21" i="6"/>
  <c r="AI50" i="6"/>
  <c r="AT23" i="6"/>
  <c r="AZ23" i="6"/>
  <c r="Z23" i="6"/>
  <c r="AF39" i="6"/>
  <c r="AC22" i="6"/>
  <c r="O10" i="6"/>
  <c r="AP40" i="6"/>
  <c r="P23" i="6"/>
  <c r="H22" i="6"/>
  <c r="BB36" i="6"/>
  <c r="AY21" i="6"/>
  <c r="BC24" i="6"/>
  <c r="BB20" i="6"/>
  <c r="BF35" i="6"/>
  <c r="AN56" i="6"/>
  <c r="BG37" i="6"/>
  <c r="D19" i="6"/>
  <c r="O46" i="6"/>
  <c r="AU18" i="6"/>
  <c r="X30" i="6"/>
  <c r="BD57" i="6"/>
  <c r="X44" i="6"/>
  <c r="H62" i="6"/>
  <c r="BJ55" i="6"/>
  <c r="AR52" i="6"/>
  <c r="U52" i="6"/>
  <c r="BD38" i="6"/>
  <c r="AG42" i="6"/>
  <c r="AA54" i="6"/>
  <c r="AZ24" i="6"/>
  <c r="AY41" i="6"/>
  <c r="T14" i="6"/>
  <c r="AJ35" i="6"/>
  <c r="B33" i="6"/>
  <c r="AB32" i="6"/>
  <c r="AP30" i="6"/>
  <c r="BI28" i="6"/>
  <c r="AN32" i="6"/>
  <c r="BB21" i="6"/>
  <c r="BD43" i="6"/>
  <c r="AX43" i="6"/>
  <c r="AY33" i="6"/>
  <c r="BI42" i="6"/>
  <c r="AE33" i="6"/>
  <c r="D32" i="6"/>
  <c r="AH32" i="6"/>
  <c r="AA40" i="6"/>
  <c r="N32" i="6"/>
  <c r="AN53" i="6"/>
  <c r="AZ9" i="6"/>
  <c r="AO15" i="6"/>
  <c r="R7" i="6"/>
  <c r="AL51" i="6"/>
  <c r="AJ9" i="6"/>
  <c r="BC42" i="6"/>
  <c r="AB15" i="6"/>
  <c r="BL31" i="6"/>
  <c r="AG18" i="6"/>
  <c r="I33" i="6"/>
  <c r="M18" i="6"/>
  <c r="BE24" i="6"/>
  <c r="P17" i="6"/>
  <c r="BC31" i="6"/>
  <c r="AY25" i="6"/>
  <c r="J20" i="6"/>
  <c r="Q42" i="6"/>
  <c r="H1" i="6"/>
  <c r="AX24" i="6"/>
  <c r="H18" i="6"/>
  <c r="I35" i="6"/>
  <c r="AH20" i="6"/>
  <c r="U22" i="6"/>
  <c r="AG17" i="6"/>
  <c r="AG36" i="6"/>
  <c r="M17" i="6"/>
  <c r="N45" i="6"/>
  <c r="P16" i="6"/>
  <c r="P35" i="6"/>
  <c r="BH35" i="6"/>
  <c r="D4" i="6"/>
  <c r="AW51" i="6"/>
  <c r="T7" i="6"/>
  <c r="AH33" i="6"/>
  <c r="BH33" i="6"/>
  <c r="V46" i="6"/>
  <c r="AH62" i="6"/>
  <c r="W44" i="6"/>
  <c r="AZ49" i="6"/>
  <c r="AV37" i="6"/>
  <c r="W35" i="6"/>
  <c r="AV18" i="6"/>
  <c r="BF42" i="6"/>
  <c r="BK51" i="6"/>
  <c r="F37" i="6"/>
  <c r="D35" i="6"/>
  <c r="C14" i="6"/>
  <c r="BK38" i="6"/>
  <c r="Z29" i="6"/>
  <c r="AA51" i="6"/>
  <c r="K59" i="6"/>
  <c r="H44" i="6"/>
  <c r="AX60" i="6"/>
  <c r="Z53" i="6"/>
  <c r="AU59" i="6"/>
  <c r="L44" i="6"/>
  <c r="AW45" i="6"/>
  <c r="BF47" i="6"/>
  <c r="BB26" i="6"/>
  <c r="Y54" i="6"/>
  <c r="S56" i="6"/>
  <c r="BH42" i="6"/>
  <c r="Z43" i="6"/>
  <c r="BK40" i="6"/>
  <c r="AO37" i="6"/>
  <c r="J51" i="6"/>
  <c r="V55" i="6"/>
  <c r="AK48" i="6"/>
  <c r="X49" i="6"/>
  <c r="AH46" i="6"/>
  <c r="AF34" i="6"/>
  <c r="W56" i="6"/>
  <c r="BB40" i="6"/>
  <c r="BD28" i="6"/>
  <c r="AL38" i="6"/>
  <c r="I45" i="6"/>
  <c r="AT44" i="6"/>
  <c r="X31" i="6"/>
  <c r="I23" i="6"/>
  <c r="L38" i="6"/>
  <c r="AZ22" i="6"/>
  <c r="BE26" i="6"/>
  <c r="BC21" i="6"/>
  <c r="C49" i="6"/>
  <c r="H45" i="6"/>
  <c r="M44" i="6"/>
  <c r="BK15" i="6"/>
  <c r="BK34" i="6"/>
  <c r="AQ15" i="6"/>
  <c r="BE40" i="6"/>
  <c r="AT14" i="6"/>
  <c r="AI58" i="6"/>
  <c r="AG38" i="6"/>
  <c r="BF33" i="6"/>
  <c r="B19" i="6"/>
  <c r="AO33" i="6"/>
  <c r="AS18" i="6"/>
  <c r="BH27" i="6"/>
  <c r="BL41" i="6"/>
  <c r="BF62" i="6"/>
  <c r="Y64" i="6"/>
  <c r="BK63" i="6"/>
  <c r="BI51" i="6"/>
  <c r="AX22" i="6"/>
  <c r="AS43" i="6"/>
  <c r="U63" i="6"/>
  <c r="AU17" i="6"/>
  <c r="T49" i="6"/>
  <c r="AG15" i="6"/>
  <c r="AZ19" i="6"/>
  <c r="C20" i="6"/>
  <c r="AW18" i="6"/>
  <c r="BI14" i="6"/>
  <c r="Z33" i="6"/>
  <c r="R32" i="6"/>
  <c r="BI31" i="6"/>
  <c r="BL30" i="6"/>
  <c r="BE15" i="6"/>
  <c r="AD26" i="6"/>
  <c r="AJ19" i="6"/>
  <c r="BE20" i="6"/>
  <c r="P19" i="6"/>
  <c r="Y31" i="6"/>
  <c r="S18" i="6"/>
  <c r="Z45" i="6"/>
  <c r="BG14" i="6"/>
  <c r="BC34" i="6"/>
  <c r="G4" i="6"/>
  <c r="BK8" i="6"/>
  <c r="N13" i="6"/>
  <c r="V34" i="6"/>
  <c r="AT15" i="6"/>
  <c r="V30" i="6"/>
  <c r="Z15" i="6"/>
  <c r="X33" i="6"/>
  <c r="AB61" i="6"/>
  <c r="D33" i="6"/>
  <c r="AO34" i="6"/>
  <c r="G32" i="6"/>
  <c r="E55" i="6"/>
  <c r="AX31" i="6"/>
  <c r="AG9" i="6"/>
  <c r="AN11" i="6"/>
  <c r="E5" i="6"/>
  <c r="BE3" i="6"/>
  <c r="M9" i="6"/>
  <c r="AC12" i="6"/>
  <c r="AW32" i="6"/>
  <c r="Z14" i="6"/>
  <c r="E25" i="6"/>
  <c r="W11" i="6"/>
  <c r="BK23" i="6"/>
  <c r="AR40" i="6"/>
  <c r="S23" i="6"/>
  <c r="F10" i="6"/>
  <c r="AT22" i="6"/>
  <c r="J19" i="6"/>
  <c r="AN19" i="6"/>
  <c r="U44" i="6"/>
  <c r="AN3" i="6"/>
  <c r="AO18" i="6"/>
  <c r="H19" i="6"/>
  <c r="BK22" i="6"/>
  <c r="BL44" i="6"/>
  <c r="AQ46" i="6"/>
  <c r="S50" i="6"/>
  <c r="T36" i="6"/>
  <c r="AG20" i="6"/>
  <c r="AR36" i="6"/>
  <c r="BL36" i="6"/>
  <c r="Z44" i="6"/>
  <c r="AT52" i="6"/>
  <c r="V25" i="6"/>
  <c r="O59" i="6"/>
  <c r="Z40" i="6"/>
  <c r="R39" i="6"/>
  <c r="D34" i="6"/>
  <c r="AN40" i="6"/>
  <c r="BE46" i="6"/>
  <c r="AU46" i="6"/>
  <c r="AU36" i="6"/>
  <c r="F43" i="6"/>
  <c r="K39" i="6"/>
  <c r="AH38" i="6"/>
  <c r="H63" i="6"/>
  <c r="AV51" i="6"/>
  <c r="X53" i="6"/>
  <c r="AT45" i="6"/>
  <c r="AH50" i="6"/>
  <c r="BE35" i="6"/>
  <c r="B55" i="6"/>
  <c r="BC47" i="6"/>
  <c r="BD31" i="6"/>
  <c r="BH60" i="6"/>
  <c r="BC39" i="6"/>
  <c r="C56" i="6"/>
  <c r="AG48" i="6"/>
  <c r="AS52" i="6"/>
  <c r="AN31" i="6"/>
  <c r="G34" i="6"/>
  <c r="AS32" i="6"/>
  <c r="R29" i="6"/>
  <c r="BL16" i="6"/>
  <c r="BL35" i="6"/>
  <c r="AR16" i="6"/>
  <c r="L43" i="6"/>
  <c r="AJ41" i="6"/>
  <c r="U54" i="6"/>
  <c r="F40" i="6"/>
  <c r="C23" i="6"/>
  <c r="BA9" i="6"/>
  <c r="AD22" i="6"/>
  <c r="T48" i="6"/>
  <c r="AG21" i="6"/>
  <c r="BG45" i="6"/>
  <c r="AO55" i="6"/>
  <c r="BA32" i="6"/>
  <c r="BD33" i="6"/>
  <c r="AQ57" i="6"/>
  <c r="AJ33" i="6"/>
  <c r="AQ36" i="6"/>
  <c r="AM32" i="6"/>
  <c r="AT58" i="6"/>
  <c r="AK42" i="6"/>
  <c r="P52" i="6"/>
  <c r="AW24" i="6"/>
  <c r="T57" i="6"/>
  <c r="AU35" i="6"/>
  <c r="V29" i="6"/>
  <c r="BF38" i="6"/>
  <c r="X61" i="6"/>
  <c r="BJ39" i="6"/>
  <c r="B29" i="6"/>
  <c r="V60" i="6"/>
  <c r="AL21" i="6"/>
  <c r="AR51" i="6"/>
  <c r="AK29" i="6"/>
  <c r="AJ52" i="6"/>
  <c r="BL17" i="6"/>
  <c r="AR17" i="6"/>
  <c r="AU16" i="6"/>
  <c r="AR30" i="6"/>
  <c r="AY34" i="6"/>
  <c r="AH19" i="6"/>
  <c r="AE17" i="6"/>
  <c r="N19" i="6"/>
  <c r="BJ29" i="6"/>
  <c r="Q18" i="6"/>
  <c r="BD32" i="6"/>
  <c r="BC29" i="6"/>
  <c r="Q22" i="6"/>
  <c r="AK24" i="6"/>
  <c r="AC2" i="6"/>
  <c r="BB28" i="6"/>
  <c r="AV21" i="6"/>
  <c r="AI54" i="6"/>
  <c r="Q30" i="6"/>
  <c r="B40" i="6"/>
  <c r="AX32" i="6"/>
  <c r="BG40" i="6"/>
  <c r="AD32" i="6"/>
  <c r="B30" i="6"/>
  <c r="AG31" i="6"/>
  <c r="Y38" i="6"/>
  <c r="M31" i="6"/>
  <c r="BB42" i="6"/>
  <c r="AS8" i="6"/>
  <c r="N31" i="6"/>
  <c r="N3" i="6"/>
  <c r="AT34" i="6"/>
  <c r="Q8" i="6"/>
  <c r="M21" i="6"/>
  <c r="AR53" i="6"/>
  <c r="O24" i="6"/>
  <c r="AM39" i="6"/>
  <c r="BF23" i="6"/>
  <c r="AG40" i="6"/>
  <c r="BI22" i="6"/>
  <c r="J55" i="6"/>
  <c r="AO22" i="6"/>
  <c r="AT56" i="6"/>
  <c r="BL7" i="6"/>
  <c r="O44" i="6"/>
  <c r="AY15" i="6"/>
  <c r="E64" i="6"/>
  <c r="X7" i="6"/>
  <c r="BA40" i="6"/>
  <c r="D59" i="6"/>
  <c r="AK39" i="6"/>
  <c r="J54" i="6"/>
  <c r="B59" i="6"/>
  <c r="AP41" i="6"/>
  <c r="D36" i="6"/>
  <c r="F61" i="6"/>
  <c r="AD38" i="6"/>
  <c r="AP25" i="6"/>
  <c r="Q59" i="6"/>
  <c r="BG8" i="6"/>
  <c r="D41" i="6"/>
  <c r="AV34" i="6"/>
  <c r="AY37" i="6"/>
  <c r="AF51" i="6"/>
  <c r="AU63" i="6"/>
  <c r="AK19" i="6"/>
  <c r="T18" i="6"/>
  <c r="AF14" i="6"/>
  <c r="R31" i="6"/>
  <c r="C7" i="6"/>
  <c r="AF15" i="6"/>
  <c r="AM42" i="6"/>
  <c r="L15" i="6"/>
  <c r="Q23" i="6"/>
  <c r="O14" i="6"/>
  <c r="V41" i="6"/>
  <c r="BE14" i="6"/>
  <c r="AD30" i="6"/>
  <c r="F8" i="6"/>
  <c r="AM7" i="6"/>
  <c r="F13" i="6"/>
  <c r="BI29" i="6"/>
  <c r="AO13" i="6"/>
  <c r="R26" i="6"/>
  <c r="AD62" i="6"/>
  <c r="T29" i="6"/>
  <c r="AD49" i="6"/>
  <c r="BK28" i="6"/>
  <c r="F36" i="6"/>
  <c r="C28" i="6"/>
  <c r="Z38" i="6"/>
  <c r="AT27" i="6"/>
  <c r="AQ12" i="6"/>
  <c r="AJ11" i="6"/>
  <c r="AS25" i="6"/>
  <c r="AX45" i="6"/>
  <c r="AA12" i="6"/>
  <c r="Y12" i="6"/>
  <c r="Y33" i="6"/>
  <c r="AC18" i="6"/>
  <c r="N20" i="6"/>
  <c r="AG5" i="6"/>
  <c r="BH18" i="6"/>
  <c r="BJ34" i="6"/>
  <c r="I15" i="6"/>
  <c r="BA63" i="6"/>
  <c r="B13" i="6"/>
  <c r="AK13" i="6"/>
  <c r="AM19" i="6"/>
  <c r="M36" i="6"/>
  <c r="AS6" i="6"/>
  <c r="Q13" i="6"/>
  <c r="G19" i="6"/>
  <c r="AS39" i="6"/>
  <c r="F60" i="6"/>
  <c r="BG50" i="6"/>
  <c r="U55" i="6"/>
  <c r="N55" i="6"/>
  <c r="X57" i="6"/>
  <c r="AB14" i="6"/>
  <c r="AR44" i="6"/>
  <c r="AQ51" i="6"/>
  <c r="L18" i="6"/>
  <c r="BJ9" i="6"/>
  <c r="AW12" i="6"/>
  <c r="C33" i="6"/>
  <c r="O29" i="6"/>
  <c r="I43" i="6"/>
  <c r="BC32" i="6"/>
  <c r="AI32" i="6"/>
  <c r="AL31" i="6"/>
  <c r="W31" i="6"/>
  <c r="L23" i="6"/>
  <c r="AQ25" i="6"/>
  <c r="Q43" i="6"/>
  <c r="W25" i="6"/>
  <c r="BJ31" i="6"/>
  <c r="Z24" i="6"/>
  <c r="AT40" i="6"/>
  <c r="F24" i="6"/>
  <c r="AP36" i="6"/>
  <c r="AU9" i="6"/>
  <c r="AD9" i="6"/>
  <c r="F35" i="6"/>
  <c r="BI35" i="6"/>
  <c r="AX17" i="6"/>
  <c r="AU34" i="6"/>
  <c r="AA15" i="6"/>
  <c r="V26" i="6"/>
  <c r="X12" i="6"/>
  <c r="BL24" i="6"/>
  <c r="F53" i="6"/>
  <c r="AJ24" i="6"/>
  <c r="G11" i="6"/>
  <c r="AU23" i="6"/>
  <c r="BB9" i="6"/>
  <c r="AY17" i="6"/>
  <c r="AS15" i="6"/>
  <c r="AO4" i="6"/>
  <c r="AX6" i="6"/>
  <c r="AW15" i="6"/>
  <c r="BB41" i="6"/>
  <c r="AA14" i="6"/>
  <c r="BF25" i="6"/>
  <c r="AF17" i="6"/>
  <c r="H32" i="6"/>
  <c r="L17" i="6"/>
  <c r="AF18" i="6"/>
  <c r="O16" i="6"/>
  <c r="BB30" i="6"/>
  <c r="AU21" i="6"/>
  <c r="BC33" i="6"/>
  <c r="M38" i="6"/>
  <c r="AW7" i="6"/>
  <c r="AT20" i="6"/>
  <c r="W33" i="6"/>
  <c r="AZ40" i="6"/>
  <c r="AO19" i="6"/>
  <c r="AC44" i="6"/>
  <c r="AP33" i="6"/>
  <c r="E20" i="6"/>
  <c r="AQ20" i="6"/>
  <c r="V21" i="6"/>
  <c r="BB23" i="6"/>
  <c r="BK42" i="6"/>
  <c r="AE42" i="6"/>
  <c r="Q21" i="6"/>
  <c r="M19" i="6"/>
  <c r="AR11" i="6"/>
  <c r="BI27" i="6"/>
  <c r="T11" i="6"/>
  <c r="Q1" i="6"/>
  <c r="AF38" i="6"/>
  <c r="Z39" i="6"/>
  <c r="G43" i="6"/>
  <c r="N23" i="6"/>
  <c r="K56" i="6"/>
  <c r="BE22" i="6"/>
  <c r="AE38" i="6"/>
  <c r="BH21" i="6"/>
  <c r="F51" i="6"/>
  <c r="AN21" i="6"/>
  <c r="Z62" i="6"/>
  <c r="AV4" i="6"/>
  <c r="AH44" i="6"/>
  <c r="L8" i="6"/>
  <c r="R58" i="6"/>
  <c r="O3" i="6"/>
  <c r="AQ64" i="6"/>
  <c r="BA1" i="6"/>
  <c r="J11" i="6"/>
  <c r="M13" i="6"/>
  <c r="AP22" i="6"/>
  <c r="AP31" i="6"/>
  <c r="AC28" i="6"/>
  <c r="BL6" i="6"/>
  <c r="BK13" i="6"/>
  <c r="BF21" i="6"/>
  <c r="X1" i="6"/>
  <c r="BA38" i="6"/>
  <c r="AH49" i="6"/>
  <c r="M46" i="6"/>
  <c r="G42" i="6"/>
  <c r="AY7" i="6"/>
  <c r="AE34" i="6"/>
  <c r="AU30" i="6"/>
  <c r="BB7" i="6"/>
  <c r="U34" i="6"/>
  <c r="BC20" i="6"/>
  <c r="AM17" i="6"/>
  <c r="BD8" i="6"/>
  <c r="H55" i="6"/>
  <c r="T31" i="6"/>
  <c r="AP11" i="6"/>
  <c r="Z11" i="6"/>
  <c r="AD17" i="6"/>
  <c r="E36" i="6"/>
  <c r="AK5" i="6"/>
  <c r="AN23" i="6"/>
  <c r="O20" i="6"/>
  <c r="AI34" i="6"/>
  <c r="R19" i="6"/>
  <c r="P11" i="6"/>
  <c r="C3" i="6"/>
  <c r="S24" i="6"/>
  <c r="AO50" i="6"/>
  <c r="AX3" i="6"/>
  <c r="BF32" i="6"/>
  <c r="AX23" i="6"/>
  <c r="AM48" i="6"/>
  <c r="AN24" i="6"/>
  <c r="Z25" i="6"/>
  <c r="AB33" i="6"/>
  <c r="I56" i="6"/>
  <c r="BE5" i="6"/>
  <c r="AP55" i="6"/>
  <c r="AD24" i="6"/>
  <c r="AK50" i="6"/>
  <c r="AY8" i="6"/>
  <c r="AK31" i="6"/>
  <c r="Z1" i="6"/>
  <c r="AL46" i="6"/>
  <c r="AI40" i="6"/>
  <c r="AV19" i="6"/>
  <c r="BD44" i="6"/>
  <c r="R22" i="6"/>
  <c r="BL20" i="6"/>
  <c r="AJ15" i="6"/>
  <c r="D15" i="6"/>
  <c r="AL20" i="6"/>
  <c r="AH16" i="6"/>
  <c r="J7" i="6"/>
  <c r="AW49" i="6"/>
  <c r="BI20" i="6"/>
  <c r="AX44" i="6"/>
  <c r="AJ26" i="6"/>
  <c r="X32" i="6"/>
  <c r="BG33" i="6"/>
  <c r="AV30" i="6"/>
  <c r="BC36" i="6"/>
  <c r="AB30" i="6"/>
  <c r="BI25" i="6"/>
  <c r="AE29" i="6"/>
  <c r="S34" i="6"/>
  <c r="K29" i="6"/>
  <c r="AP39" i="6"/>
  <c r="AA3" i="6"/>
  <c r="F23" i="6"/>
  <c r="AK3" i="6"/>
  <c r="AO38" i="6"/>
  <c r="Z2" i="6"/>
  <c r="W30" i="6"/>
  <c r="H6" i="6"/>
  <c r="R50" i="6"/>
  <c r="V11" i="6"/>
  <c r="AT30" i="6"/>
  <c r="AJ10" i="6"/>
  <c r="AS9" i="6"/>
  <c r="AN39" i="6"/>
  <c r="AU54" i="6"/>
  <c r="AW39" i="6"/>
  <c r="H39" i="6"/>
  <c r="BJ56" i="6"/>
  <c r="AC36" i="6"/>
  <c r="D55" i="6"/>
  <c r="B53" i="6"/>
  <c r="I40" i="6"/>
  <c r="BB37" i="6"/>
  <c r="W28" i="6"/>
  <c r="BB27" i="6"/>
  <c r="AB11" i="6"/>
  <c r="AW1" i="6"/>
  <c r="D6" i="6"/>
  <c r="Y61" i="6"/>
  <c r="BK46" i="6"/>
  <c r="V9" i="6"/>
  <c r="AW59" i="6"/>
  <c r="X51" i="6"/>
  <c r="AF29" i="6"/>
  <c r="BK36" i="6"/>
  <c r="AU6" i="6"/>
  <c r="AL47" i="6"/>
  <c r="AW17" i="6"/>
  <c r="AN26" i="6"/>
  <c r="M33" i="6"/>
  <c r="AD15" i="6"/>
  <c r="F30" i="6"/>
  <c r="J15" i="6"/>
  <c r="AA31" i="6"/>
  <c r="M14" i="6"/>
  <c r="AZ28" i="6"/>
  <c r="AN15" i="6"/>
  <c r="AY29" i="6"/>
  <c r="AN46" i="6"/>
  <c r="G5" i="6"/>
  <c r="AM14" i="6"/>
  <c r="S29" i="6"/>
  <c r="BA53" i="6"/>
  <c r="M26" i="6"/>
  <c r="F45" i="6"/>
  <c r="AT28" i="6"/>
  <c r="F29" i="6"/>
  <c r="Z28" i="6"/>
  <c r="BE21" i="6"/>
  <c r="AC27" i="6"/>
  <c r="BH14" i="6"/>
  <c r="I27" i="6"/>
  <c r="BL23" i="6"/>
  <c r="AX12" i="6"/>
  <c r="AN30" i="6"/>
  <c r="AA2" i="6"/>
  <c r="BL18" i="6"/>
  <c r="AY43" i="6"/>
  <c r="T33" i="6"/>
  <c r="AP35" i="6"/>
  <c r="BE19" i="6"/>
  <c r="AV36" i="6"/>
  <c r="AN18" i="6"/>
  <c r="AB27" i="6"/>
  <c r="AZ14" i="6"/>
  <c r="AE44" i="6"/>
  <c r="AV11" i="6"/>
  <c r="V54" i="6"/>
  <c r="BB11" i="6"/>
  <c r="G22" i="6"/>
  <c r="AL12" i="6"/>
  <c r="T52" i="6"/>
  <c r="BE23" i="6"/>
  <c r="AW36" i="6"/>
  <c r="AG53" i="6"/>
  <c r="U46" i="6"/>
  <c r="AF37" i="6"/>
  <c r="C35" i="6"/>
  <c r="G41" i="6"/>
  <c r="AF49" i="6"/>
  <c r="E32" i="6"/>
  <c r="AS34" i="6"/>
  <c r="AE3" i="6"/>
  <c r="BJ48" i="6"/>
  <c r="BJ43" i="6"/>
  <c r="BF54" i="6"/>
  <c r="J33" i="6"/>
  <c r="K63" i="6"/>
  <c r="C18" i="6"/>
  <c r="AT17" i="6"/>
  <c r="AW16" i="6"/>
  <c r="N27" i="6"/>
  <c r="Y26" i="6"/>
  <c r="AI19" i="6"/>
  <c r="AI38" i="6"/>
  <c r="O19" i="6"/>
  <c r="J17" i="6"/>
  <c r="R18" i="6"/>
  <c r="R37" i="6"/>
  <c r="H38" i="6"/>
  <c r="V22" i="6"/>
  <c r="B4" i="6"/>
  <c r="AZ10" i="6"/>
  <c r="Y35" i="6"/>
  <c r="BA21" i="6"/>
  <c r="AK9" i="6"/>
  <c r="N22" i="6"/>
  <c r="BI45" i="6"/>
  <c r="P25" i="6"/>
  <c r="AV48" i="6"/>
  <c r="BG24" i="6"/>
  <c r="AI42" i="6"/>
  <c r="BJ23" i="6"/>
  <c r="AI35" i="6"/>
  <c r="AP23" i="6"/>
  <c r="X8" i="6"/>
  <c r="AW9" i="6"/>
  <c r="W55" i="6"/>
  <c r="AV14" i="6"/>
  <c r="BC7" i="6"/>
  <c r="AS14" i="6"/>
  <c r="U29" i="6"/>
  <c r="Y14" i="6"/>
  <c r="W32" i="6"/>
  <c r="W59" i="6"/>
  <c r="C32" i="6"/>
  <c r="B20" i="6"/>
  <c r="F31" i="6"/>
  <c r="AK56" i="6"/>
  <c r="AW30" i="6"/>
  <c r="AF7" i="6"/>
  <c r="AL19" i="6"/>
  <c r="AY31" i="6"/>
  <c r="AX5" i="6"/>
  <c r="BC6" i="6"/>
  <c r="F19" i="6"/>
  <c r="F33" i="6"/>
  <c r="S17" i="6"/>
  <c r="T35" i="6"/>
  <c r="T37" i="6"/>
  <c r="AY18" i="6"/>
  <c r="W20" i="6"/>
  <c r="AM21" i="6"/>
  <c r="V20" i="6"/>
  <c r="K8" i="6"/>
  <c r="AU15" i="6"/>
  <c r="AV7" i="6"/>
  <c r="AF4" i="6"/>
  <c r="O38" i="6"/>
  <c r="AX37" i="6"/>
  <c r="D28" i="6"/>
  <c r="AX26" i="6"/>
  <c r="AV2" i="6"/>
  <c r="O28" i="6"/>
  <c r="AD29" i="6"/>
  <c r="AN22" i="6"/>
  <c r="AE37" i="6"/>
  <c r="T22" i="6"/>
  <c r="BD25" i="6"/>
  <c r="W21" i="6"/>
  <c r="BA35" i="6"/>
  <c r="C21" i="6"/>
  <c r="B45" i="6"/>
  <c r="G3" i="6"/>
  <c r="X16" i="6"/>
  <c r="AM34" i="6"/>
  <c r="AG44" i="6"/>
  <c r="F2" i="6"/>
  <c r="AX41" i="6"/>
  <c r="W2" i="6"/>
  <c r="BK41" i="6"/>
  <c r="Q11" i="6"/>
  <c r="AH24" i="6"/>
  <c r="U53" i="6"/>
  <c r="R8" i="6"/>
  <c r="AT1" i="6"/>
  <c r="AX14" i="6"/>
  <c r="BE4" i="6"/>
  <c r="X2" i="6"/>
  <c r="M45" i="6"/>
  <c r="F56" i="6"/>
  <c r="BH37" i="6"/>
  <c r="Q48" i="6"/>
  <c r="AK15" i="6"/>
  <c r="K15" i="6"/>
  <c r="AA23" i="6"/>
  <c r="Y21" i="6"/>
  <c r="AT39" i="6"/>
  <c r="AA34" i="6"/>
  <c r="BG46" i="6"/>
  <c r="AB40" i="6"/>
  <c r="S28" i="6"/>
  <c r="B27" i="6"/>
  <c r="BA13" i="6"/>
  <c r="AG13" i="6"/>
  <c r="AB17" i="6"/>
  <c r="J16" i="6"/>
  <c r="BE62" i="6"/>
  <c r="BD14" i="6"/>
  <c r="AW42" i="6"/>
  <c r="I34" i="6"/>
  <c r="C62" i="6"/>
  <c r="AZ33" i="6"/>
  <c r="P12" i="6"/>
  <c r="AK17" i="6"/>
  <c r="F34" i="6"/>
  <c r="BI2" i="6"/>
  <c r="BG11" i="6"/>
  <c r="E17" i="6"/>
  <c r="E8" i="6"/>
  <c r="C11" i="6"/>
  <c r="I18" i="6"/>
  <c r="AM18" i="6"/>
  <c r="T43" i="6"/>
  <c r="H3" i="6"/>
  <c r="E10" i="6"/>
  <c r="AT12" i="6"/>
  <c r="BI12" i="6"/>
  <c r="J10" i="6"/>
  <c r="AR4" i="6"/>
  <c r="BL14" i="6"/>
  <c r="BH52" i="6"/>
  <c r="BD62" i="6"/>
  <c r="AJ36" i="6"/>
  <c r="AF31" i="6"/>
  <c r="U9" i="6"/>
  <c r="P7" i="6"/>
  <c r="Q40" i="6"/>
  <c r="AD43" i="6"/>
  <c r="AZ34" i="6"/>
  <c r="S30" i="6"/>
  <c r="W16" i="6"/>
  <c r="L25" i="6"/>
  <c r="Y27" i="6"/>
  <c r="H26" i="6"/>
  <c r="C54" i="6"/>
  <c r="AS31" i="6"/>
  <c r="X20" i="6"/>
  <c r="AG16" i="6"/>
  <c r="AN43" i="6"/>
  <c r="M16" i="6"/>
  <c r="S25" i="6"/>
  <c r="P15" i="6"/>
  <c r="W42" i="6"/>
  <c r="BI18" i="6"/>
  <c r="AF32" i="6"/>
  <c r="D1" i="6"/>
  <c r="Q10" i="6"/>
  <c r="BH17" i="6"/>
  <c r="BK31" i="6"/>
  <c r="BB8" i="6"/>
  <c r="Q29" i="6"/>
  <c r="BJ1" i="6"/>
  <c r="BF37" i="6"/>
  <c r="AN5" i="6"/>
  <c r="E13" i="6"/>
  <c r="BH15" i="6"/>
  <c r="N8" i="6"/>
  <c r="Y62" i="6"/>
  <c r="V37" i="6"/>
  <c r="Z32" i="6"/>
  <c r="AT29" i="6"/>
  <c r="M22" i="6"/>
  <c r="BG20" i="6"/>
  <c r="BD13" i="6"/>
  <c r="AN13" i="6"/>
  <c r="AD14" i="6"/>
  <c r="W10" i="6"/>
  <c r="W51" i="6"/>
  <c r="AU41" i="6"/>
  <c r="AK40" i="6"/>
  <c r="T39" i="6"/>
  <c r="S7" i="6"/>
  <c r="AU40" i="6"/>
  <c r="A49" i="6"/>
  <c r="AA37" i="6"/>
  <c r="BA43" i="6"/>
  <c r="B34" i="6"/>
  <c r="AY20" i="6"/>
  <c r="AF45" i="6"/>
  <c r="AJ4" i="6"/>
  <c r="U30" i="6"/>
  <c r="AH53" i="6"/>
  <c r="BL29" i="6"/>
  <c r="BL38" i="6"/>
  <c r="D29" i="6"/>
  <c r="AC48" i="6"/>
  <c r="AU28" i="6"/>
  <c r="AR13" i="6"/>
  <c r="AH15" i="6"/>
  <c r="AU27" i="6"/>
  <c r="AQ56" i="6"/>
  <c r="AB13" i="6"/>
  <c r="B15" i="6"/>
  <c r="AW43" i="6"/>
  <c r="AM25" i="6"/>
  <c r="AE32" i="6"/>
  <c r="AE14" i="6"/>
  <c r="AL41" i="6"/>
  <c r="J14" i="6"/>
  <c r="O21" i="6"/>
  <c r="AA10" i="6"/>
  <c r="U40" i="6"/>
  <c r="AK45" i="6"/>
  <c r="AB28" i="6"/>
  <c r="E7" i="6"/>
  <c r="AQ3" i="6"/>
  <c r="D51" i="6"/>
  <c r="BG27" i="6"/>
  <c r="AB41" i="6"/>
  <c r="AT32" i="6"/>
  <c r="AH30" i="6"/>
  <c r="AI17" i="6"/>
  <c r="AJ31" i="6"/>
  <c r="R16" i="6"/>
  <c r="X18" i="6"/>
  <c r="B6" i="6"/>
  <c r="BI24" i="6"/>
  <c r="BL19" i="6"/>
  <c r="BG38" i="6"/>
  <c r="I6" i="6"/>
  <c r="J6" i="6"/>
  <c r="L33" i="6"/>
  <c r="AA38" i="6"/>
  <c r="AM11" i="6"/>
  <c r="P24" i="6"/>
  <c r="AB48" i="6"/>
  <c r="AD58" i="6"/>
  <c r="BI43" i="6"/>
  <c r="AP53" i="6"/>
  <c r="O43" i="6"/>
  <c r="AQ30" i="6"/>
  <c r="P51" i="6"/>
  <c r="E46" i="6"/>
  <c r="BF16" i="6"/>
  <c r="BL64" i="6"/>
  <c r="AH6" i="6"/>
  <c r="BI54" i="6"/>
  <c r="BF28" i="6"/>
  <c r="AW28" i="6"/>
  <c r="AA63" i="6"/>
  <c r="U28" i="6"/>
  <c r="AV17" i="6"/>
  <c r="AE10" i="6"/>
  <c r="AM27" i="6"/>
  <c r="Y13" i="6"/>
  <c r="B26" i="6"/>
  <c r="X58" i="6"/>
  <c r="F26" i="6"/>
  <c r="H12" i="6"/>
  <c r="AV24" i="6"/>
  <c r="G15" i="6"/>
  <c r="AQ21" i="6"/>
  <c r="C30" i="6"/>
  <c r="AP5" i="6"/>
  <c r="AL14" i="6"/>
  <c r="K21" i="6"/>
  <c r="H53" i="6"/>
  <c r="I22" i="6"/>
  <c r="BI36" i="6"/>
  <c r="AP24" i="6"/>
  <c r="O41" i="6"/>
  <c r="V24" i="6"/>
  <c r="BH29" i="6"/>
  <c r="Y23" i="6"/>
  <c r="AR38" i="6"/>
  <c r="E23" i="6"/>
  <c r="AL33" i="6"/>
  <c r="AK8" i="6"/>
  <c r="Y16" i="6"/>
  <c r="V36" i="6"/>
  <c r="D31" i="6"/>
  <c r="AE50" i="6"/>
  <c r="P29" i="6"/>
  <c r="AT36" i="6"/>
  <c r="AW31" i="6"/>
  <c r="BE38" i="6"/>
  <c r="AC31" i="6"/>
  <c r="BK27" i="6"/>
  <c r="AF30" i="6"/>
  <c r="W36" i="6"/>
  <c r="L30" i="6"/>
  <c r="AT43" i="6"/>
  <c r="AT6" i="6"/>
  <c r="J27" i="6"/>
  <c r="M7" i="6"/>
  <c r="AS42" i="6"/>
  <c r="AY19" i="6"/>
  <c r="AS28" i="6"/>
  <c r="AG61" i="6"/>
  <c r="D57" i="6"/>
  <c r="BC17" i="6"/>
  <c r="BK14" i="6"/>
  <c r="BB16" i="6"/>
  <c r="J36" i="6"/>
  <c r="AB34" i="6"/>
  <c r="AI3" i="6"/>
  <c r="AK20" i="6"/>
  <c r="BH20" i="6"/>
  <c r="BG17" i="6"/>
  <c r="AR7" i="6"/>
  <c r="AD18" i="6"/>
  <c r="C10" i="6"/>
  <c r="K19" i="6"/>
  <c r="AP18" i="6"/>
  <c r="AK23" i="6"/>
  <c r="AI7" i="6"/>
  <c r="AF16" i="6"/>
  <c r="AF35" i="6"/>
  <c r="L16" i="6"/>
  <c r="BF41" i="6"/>
  <c r="O15" i="6"/>
  <c r="K34" i="6"/>
  <c r="AI31" i="6"/>
  <c r="AA32" i="6"/>
  <c r="E52" i="6"/>
  <c r="W3" i="6"/>
  <c r="AG29" i="6"/>
  <c r="BF31" i="6"/>
  <c r="C50" i="6"/>
  <c r="AD40" i="6"/>
  <c r="BH45" i="6"/>
  <c r="Y25" i="6"/>
  <c r="AI5" i="6"/>
  <c r="BB12" i="6"/>
  <c r="O11" i="6"/>
  <c r="D25" i="6"/>
  <c r="E3" i="6"/>
  <c r="BD11" i="6"/>
  <c r="K32" i="6"/>
  <c r="AF1" i="6"/>
  <c r="AB36" i="6"/>
  <c r="AM64" i="6"/>
  <c r="AB23" i="6"/>
  <c r="Z13" i="6"/>
  <c r="K42" i="6"/>
  <c r="BD39" i="6"/>
  <c r="Y30" i="6"/>
  <c r="BD29" i="6"/>
  <c r="L21" i="6"/>
  <c r="BD18" i="6"/>
  <c r="BC12" i="6"/>
  <c r="AN12" i="6"/>
  <c r="AD42" i="6"/>
  <c r="BC55" i="6"/>
  <c r="AQ23" i="6"/>
  <c r="BE44" i="6"/>
  <c r="Q24" i="6"/>
  <c r="BA15" i="6"/>
  <c r="BK44" i="6"/>
  <c r="AJ14" i="6"/>
  <c r="AD16" i="6"/>
  <c r="AI33" i="6"/>
  <c r="AC42" i="6"/>
  <c r="O33" i="6"/>
  <c r="AS45" i="6"/>
  <c r="BA10" i="6"/>
  <c r="AP26" i="6"/>
  <c r="M8" i="6"/>
  <c r="AK37" i="6"/>
  <c r="AK10" i="6"/>
  <c r="AU56" i="6"/>
  <c r="AD3" i="6"/>
  <c r="E51" i="6"/>
  <c r="AM6" i="6"/>
  <c r="G36" i="6"/>
  <c r="BA18" i="6"/>
  <c r="AJ20" i="6"/>
  <c r="L2" i="6"/>
  <c r="U8" i="6"/>
  <c r="BH47" i="6"/>
  <c r="BI3" i="6"/>
  <c r="BE32" i="6"/>
  <c r="BI41" i="6"/>
  <c r="AL16" i="6"/>
  <c r="AQ14" i="6"/>
  <c r="A41" i="6"/>
  <c r="BI21" i="6"/>
  <c r="AR20" i="6"/>
  <c r="AL1" i="6"/>
  <c r="AU33" i="6"/>
  <c r="R20" i="6"/>
  <c r="Q15" i="6"/>
  <c r="F22" i="6"/>
  <c r="D43" i="6"/>
  <c r="AR18" i="6"/>
  <c r="B44" i="6"/>
  <c r="BL42" i="6"/>
  <c r="L11" i="6"/>
  <c r="BA20" i="6"/>
  <c r="AE16" i="6"/>
  <c r="G31" i="6"/>
  <c r="K16" i="6"/>
  <c r="AR32" i="6"/>
  <c r="N15" i="6"/>
  <c r="BA29" i="6"/>
  <c r="AR19" i="6"/>
  <c r="BA31" i="6"/>
  <c r="C34" i="6"/>
  <c r="AB6" i="6"/>
  <c r="AQ18" i="6"/>
  <c r="U31" i="6"/>
  <c r="AP9" i="6"/>
  <c r="E22" i="6"/>
  <c r="S20" i="6"/>
  <c r="T25" i="6"/>
  <c r="AS54" i="6"/>
  <c r="AE4" i="6"/>
  <c r="X35" i="6"/>
  <c r="I58" i="6"/>
  <c r="AK38" i="6"/>
  <c r="BA49" i="6"/>
  <c r="BL27" i="6"/>
  <c r="BA36" i="6"/>
  <c r="G52" i="6"/>
  <c r="B47" i="6"/>
  <c r="M24" i="6"/>
  <c r="K22" i="6"/>
  <c r="AV31" i="6"/>
  <c r="AQ26" i="6"/>
  <c r="AG6" i="6"/>
  <c r="AL24" i="6"/>
  <c r="K10" i="6"/>
  <c r="AV57" i="6"/>
  <c r="AC20" i="6"/>
  <c r="AN33" i="6"/>
  <c r="AZ29" i="6"/>
  <c r="AI28" i="6"/>
  <c r="AV20" i="6"/>
  <c r="AB20" i="6"/>
  <c r="K17" i="6"/>
  <c r="AO24" i="6"/>
  <c r="F44" i="6"/>
  <c r="AU29" i="6"/>
  <c r="BA34" i="6"/>
  <c r="AA29" i="6"/>
  <c r="BG23" i="6"/>
  <c r="AD28" i="6"/>
  <c r="D27" i="6"/>
  <c r="J28" i="6"/>
  <c r="AL35" i="6"/>
  <c r="AY13" i="6"/>
  <c r="U15" i="6"/>
  <c r="AD5" i="6"/>
  <c r="AK34" i="6"/>
  <c r="B32" i="6"/>
  <c r="AY38" i="6"/>
  <c r="AE19" i="6"/>
  <c r="AQ31" i="6"/>
  <c r="AC14" i="6"/>
  <c r="E29" i="6"/>
  <c r="G14" i="6"/>
  <c r="J30" i="6"/>
  <c r="S10" i="6"/>
  <c r="AY27" i="6"/>
  <c r="BF9" i="6"/>
  <c r="AW27" i="6"/>
  <c r="AJ42" i="6"/>
  <c r="AW3" i="6"/>
  <c r="BF6" i="6"/>
  <c r="Q27" i="6"/>
  <c r="BF45" i="6"/>
  <c r="AE18" i="6"/>
  <c r="G38" i="6"/>
  <c r="X11" i="6"/>
  <c r="AR27" i="6"/>
  <c r="G10" i="6"/>
  <c r="AZ35" i="6"/>
  <c r="AG1" i="6"/>
  <c r="AM22" i="6"/>
  <c r="V23" i="6"/>
  <c r="U26" i="6"/>
  <c r="BI32" i="6"/>
  <c r="L5" i="6"/>
  <c r="T21" i="6"/>
  <c r="AZ25" i="6"/>
  <c r="AQ43" i="6"/>
  <c r="A18" i="6"/>
  <c r="R52" i="6"/>
  <c r="BH56" i="6"/>
  <c r="B43" i="6"/>
  <c r="AZ36" i="6"/>
  <c r="AD21" i="6"/>
  <c r="BB57" i="6"/>
  <c r="AX40" i="6"/>
  <c r="B36" i="6"/>
  <c r="AY44" i="6"/>
  <c r="BG43" i="6"/>
  <c r="E33" i="6"/>
  <c r="AN45" i="6"/>
  <c r="BF22" i="6"/>
  <c r="AL36" i="6"/>
  <c r="J45" i="6"/>
  <c r="V28" i="6"/>
  <c r="X37" i="6"/>
  <c r="AA16" i="6"/>
  <c r="Q26" i="6"/>
  <c r="AZ52" i="6"/>
  <c r="BH25" i="6"/>
  <c r="AK44" i="6"/>
  <c r="BK24" i="6"/>
  <c r="AU47" i="6"/>
  <c r="AQ24" i="6"/>
  <c r="AN9" i="6"/>
  <c r="K11" i="6"/>
  <c r="AY61" i="6"/>
  <c r="D30" i="6"/>
  <c r="X9" i="6"/>
  <c r="AX10" i="6"/>
  <c r="AD36" i="6"/>
  <c r="AI21" i="6"/>
  <c r="W24" i="6"/>
  <c r="AH18" i="6"/>
  <c r="AH37" i="6"/>
  <c r="N18" i="6"/>
  <c r="H15" i="6"/>
  <c r="Q17" i="6"/>
  <c r="Q36" i="6"/>
  <c r="E44" i="6"/>
  <c r="T20" i="6"/>
  <c r="E60" i="6"/>
  <c r="AA9" i="6"/>
  <c r="C42" i="6"/>
  <c r="AB18" i="6"/>
  <c r="H31" i="6"/>
  <c r="AP28" i="6"/>
  <c r="Z22" i="6"/>
  <c r="AH17" i="6"/>
  <c r="AO44" i="6"/>
  <c r="N17" i="6"/>
  <c r="U27" i="6"/>
  <c r="Q16" i="6"/>
  <c r="X43" i="6"/>
  <c r="BF14" i="6"/>
  <c r="F21" i="6"/>
  <c r="E2" i="6"/>
  <c r="S12" i="6"/>
  <c r="J13" i="6"/>
  <c r="AC15" i="6"/>
  <c r="O6" i="6"/>
  <c r="BI19" i="6"/>
  <c r="J58" i="6"/>
  <c r="Z64" i="6"/>
  <c r="AJ8" i="6"/>
  <c r="AJ51" i="6"/>
  <c r="S27" i="6"/>
  <c r="S21" i="6"/>
  <c r="U19" i="6"/>
  <c r="N30" i="6"/>
  <c r="AD19" i="6"/>
  <c r="AP51" i="6"/>
  <c r="AX9" i="6"/>
  <c r="K7" i="6"/>
  <c r="Z30" i="6"/>
  <c r="AN28" i="6"/>
  <c r="AU25" i="6"/>
  <c r="O25" i="6"/>
  <c r="H11" i="6"/>
  <c r="AI23" i="6"/>
  <c r="V10" i="6"/>
  <c r="BJ22" i="6"/>
  <c r="X52" i="6"/>
  <c r="B22" i="6"/>
  <c r="E9" i="6"/>
  <c r="AS21" i="6"/>
  <c r="H17" i="6"/>
  <c r="AL17" i="6"/>
  <c r="S42" i="6"/>
  <c r="AM2" i="6"/>
  <c r="AM16" i="6"/>
  <c r="F17" i="6"/>
  <c r="AI13" i="6"/>
  <c r="W15" i="6"/>
  <c r="J18" i="6"/>
  <c r="AT24" i="6"/>
  <c r="G37" i="6"/>
  <c r="P2" i="6"/>
  <c r="D16" i="6"/>
  <c r="N11" i="6"/>
  <c r="F28" i="6"/>
  <c r="BA19" i="6"/>
  <c r="BK3" i="6"/>
  <c r="W17" i="6"/>
  <c r="AU45" i="6"/>
  <c r="AE63" i="6"/>
  <c r="V44" i="6"/>
  <c r="I12" i="6"/>
  <c r="AE15" i="6"/>
  <c r="N14" i="6"/>
  <c r="AN36" i="6"/>
  <c r="AL48" i="6"/>
  <c r="C48" i="6"/>
  <c r="AO28" i="6"/>
  <c r="L39" i="6"/>
  <c r="Q25" i="6"/>
  <c r="BJ27" i="6"/>
  <c r="AS26" i="6"/>
  <c r="G23" i="6"/>
  <c r="K24" i="6"/>
  <c r="AF28" i="6"/>
  <c r="AF11" i="6"/>
  <c r="O26" i="6"/>
  <c r="B2" i="6"/>
  <c r="AA33" i="6"/>
  <c r="T19" i="6"/>
  <c r="AT16" i="6"/>
  <c r="BK18" i="6"/>
  <c r="BE36" i="6"/>
  <c r="H5" i="6"/>
  <c r="AU11" i="6"/>
  <c r="BJ17" i="6"/>
  <c r="Y36" i="6"/>
  <c r="BC4" i="6"/>
  <c r="AG32" i="6"/>
  <c r="Q2" i="6"/>
  <c r="C46" i="6"/>
  <c r="I5" i="6"/>
  <c r="Z18" i="6"/>
  <c r="AQ38" i="6"/>
  <c r="BB18" i="6"/>
  <c r="AL27" i="6"/>
  <c r="BD10" i="6"/>
  <c r="BK10" i="6"/>
  <c r="AP37" i="6"/>
  <c r="BE56" i="6"/>
  <c r="E24" i="6"/>
  <c r="L47" i="6"/>
  <c r="BE53" i="6"/>
  <c r="AC16" i="6"/>
  <c r="BA37" i="6"/>
  <c r="F15" i="6"/>
  <c r="AK14" i="6"/>
  <c r="AJ32" i="6"/>
  <c r="AZ21" i="6"/>
  <c r="BI40" i="6"/>
  <c r="AC40" i="6"/>
  <c r="AS27" i="6"/>
  <c r="AB26" i="6"/>
  <c r="AW11" i="6"/>
  <c r="AX19" i="6"/>
  <c r="D11" i="6"/>
  <c r="V31" i="6"/>
  <c r="AL57" i="6"/>
  <c r="B31" i="6"/>
  <c r="E43" i="6"/>
  <c r="E30" i="6"/>
  <c r="AG52" i="6"/>
  <c r="AV29" i="6"/>
  <c r="AU3" i="6"/>
  <c r="AJ17" i="6"/>
  <c r="AW29" i="6"/>
  <c r="AU2" i="6"/>
  <c r="AD2" i="6"/>
  <c r="D17" i="6"/>
  <c r="BD5" i="6"/>
  <c r="AV9" i="6"/>
  <c r="BH12" i="6"/>
  <c r="AL18" i="6"/>
  <c r="L35" i="6"/>
  <c r="BK4" i="6"/>
  <c r="W4" i="6"/>
  <c r="BD51" i="6"/>
  <c r="G62" i="6"/>
  <c r="X23" i="6"/>
  <c r="P22" i="6"/>
  <c r="AF27" i="6"/>
  <c r="BD21" i="6"/>
  <c r="AM20" i="6"/>
  <c r="AT2" i="6"/>
  <c r="AF19" i="6"/>
  <c r="I14" i="6"/>
  <c r="AD31" i="6"/>
  <c r="AB29" i="6"/>
  <c r="AC30" i="6"/>
  <c r="B16" i="6"/>
  <c r="Z26" i="6"/>
  <c r="BE25" i="6"/>
  <c r="AC17" i="6"/>
  <c r="I29" i="6"/>
  <c r="AE13" i="6"/>
  <c r="B41" i="6"/>
  <c r="BA5" i="6"/>
  <c r="AJ39" i="6"/>
  <c r="P20" i="6"/>
  <c r="L19" i="6"/>
  <c r="S19" i="6"/>
  <c r="S38" i="6"/>
  <c r="AR37" i="6"/>
  <c r="X24" i="6"/>
  <c r="C5" i="6"/>
  <c r="J12" i="6"/>
  <c r="Y32" i="6"/>
  <c r="BC23" i="6"/>
  <c r="AX4" i="6"/>
  <c r="I21" i="6"/>
  <c r="AR41" i="6"/>
  <c r="AW2" i="6"/>
  <c r="AW8" i="6"/>
  <c r="BA16" i="6"/>
  <c r="BC15" i="6"/>
  <c r="AK27" i="6"/>
  <c r="AL5" i="6"/>
  <c r="BJ40" i="6"/>
  <c r="AL11" i="6"/>
  <c r="AB19" i="6"/>
  <c r="AP17" i="6"/>
  <c r="AZ30" i="6"/>
  <c r="S26" i="6"/>
  <c r="AU5" i="6"/>
  <c r="T30" i="6"/>
  <c r="R10" i="6"/>
  <c r="AM24" i="6"/>
  <c r="BC28" i="6"/>
  <c r="AI10" i="6"/>
  <c r="AT31" i="6"/>
  <c r="G7" i="6"/>
  <c r="BH7" i="6"/>
  <c r="C8" i="6"/>
  <c r="BG32" i="6"/>
  <c r="AG11" i="6"/>
  <c r="V15" i="6"/>
  <c r="BF13" i="6"/>
  <c r="AP20" i="6"/>
  <c r="AC24" i="6"/>
  <c r="J5" i="6"/>
  <c r="AE11" i="6"/>
  <c r="BI5" i="6"/>
  <c r="E19" i="6"/>
  <c r="AP13" i="6"/>
  <c r="AS10" i="6"/>
  <c r="E27" i="6"/>
  <c r="Y3" i="6"/>
  <c r="AT7" i="6"/>
  <c r="P3" i="6"/>
  <c r="AZ1" i="6"/>
  <c r="K13" i="6"/>
  <c r="AZ8" i="6"/>
  <c r="R6" i="6"/>
  <c r="AZ32" i="6"/>
  <c r="H2" i="6"/>
  <c r="AV44" i="6"/>
  <c r="AV5" i="6"/>
  <c r="AW5" i="6"/>
  <c r="U7" i="6"/>
  <c r="G8" i="6"/>
  <c r="D12" i="6"/>
  <c r="BG15" i="6"/>
  <c r="AD4" i="6"/>
  <c r="AP10" i="6"/>
  <c r="T1" i="6"/>
  <c r="AK1" i="6"/>
  <c r="BI7" i="6"/>
  <c r="AN29" i="6"/>
  <c r="B1" i="6"/>
  <c r="AD1" i="6"/>
  <c r="AB12" i="6"/>
  <c r="Q51" i="6"/>
  <c r="AO1" i="6"/>
  <c r="Z65" i="9"/>
  <c r="R11" i="6"/>
  <c r="AB7" i="6"/>
  <c r="AF44" i="6"/>
  <c r="AI48" i="6"/>
  <c r="BF26" i="6"/>
  <c r="AH2" i="6"/>
  <c r="BD15" i="6"/>
  <c r="AD12" i="6"/>
  <c r="AV39" i="6"/>
  <c r="V1" i="6"/>
  <c r="BK37" i="6"/>
  <c r="P10" i="6"/>
  <c r="AD20" i="6"/>
  <c r="N43" i="6"/>
  <c r="BJ49" i="6"/>
  <c r="Q49" i="6"/>
  <c r="U13" i="6"/>
  <c r="R1" i="6"/>
  <c r="BL3" i="6"/>
  <c r="AZ15" i="6"/>
  <c r="I20" i="6"/>
  <c r="AS1" i="6"/>
  <c r="BF2" i="6"/>
  <c r="BC2" i="6"/>
  <c r="U33" i="6"/>
  <c r="I3" i="6"/>
  <c r="BJ41" i="6"/>
  <c r="AP7" i="6"/>
  <c r="Y18" i="6"/>
  <c r="J26" i="6"/>
  <c r="AM13" i="6"/>
  <c r="BD19" i="6"/>
  <c r="J4" i="6"/>
  <c r="T8" i="6"/>
  <c r="AI24" i="6"/>
  <c r="BC9" i="6"/>
  <c r="G12" i="6"/>
  <c r="AA13" i="6"/>
  <c r="AN35" i="6"/>
  <c r="K40" i="6"/>
  <c r="I28" i="6"/>
  <c r="AA27" i="6"/>
  <c r="AJ6" i="6"/>
  <c r="L14" i="6"/>
  <c r="AL15" i="6"/>
  <c r="H29" i="6"/>
  <c r="BD6" i="6"/>
  <c r="BH11" i="6"/>
  <c r="L28" i="6"/>
  <c r="AJ5" i="6"/>
  <c r="K38" i="6"/>
  <c r="N39" i="6"/>
  <c r="AT3" i="6"/>
  <c r="AH13" i="6"/>
  <c r="M28" i="6"/>
  <c r="R15" i="6"/>
  <c r="C25" i="6"/>
  <c r="T15" i="6"/>
  <c r="AJ21" i="6"/>
  <c r="Z62" i="9"/>
  <c r="U4" i="6"/>
  <c r="P6" i="6"/>
  <c r="AB2" i="6"/>
  <c r="AK12" i="6"/>
  <c r="I7" i="6"/>
  <c r="BK33" i="6"/>
  <c r="V17" i="6"/>
  <c r="BK25" i="6"/>
  <c r="P26" i="6"/>
  <c r="BE8" i="6"/>
  <c r="BL9" i="6"/>
  <c r="BK1" i="6"/>
  <c r="Y24" i="6"/>
  <c r="AN6" i="6"/>
  <c r="BL43" i="6"/>
  <c r="E1" i="6"/>
  <c r="V14" i="6"/>
  <c r="AG19" i="6"/>
  <c r="BK6" i="6"/>
  <c r="E31" i="6"/>
  <c r="BG4" i="6"/>
  <c r="BL26" i="6"/>
  <c r="AA17" i="6"/>
  <c r="I1" i="6"/>
  <c r="AO8" i="6"/>
  <c r="K3" i="6"/>
  <c r="O2" i="6"/>
  <c r="AG22" i="6"/>
  <c r="M25" i="6"/>
  <c r="J9" i="6"/>
  <c r="R33" i="6"/>
  <c r="AL3" i="6"/>
  <c r="AE6" i="6"/>
  <c r="D42" i="6"/>
  <c r="X60" i="6"/>
  <c r="BJ6" i="6"/>
  <c r="BK19" i="6"/>
  <c r="AF6" i="6"/>
  <c r="BK11" i="6"/>
  <c r="U3" i="6"/>
  <c r="Y6" i="6"/>
  <c r="L7" i="6"/>
  <c r="L6" i="6"/>
  <c r="AV32" i="6"/>
  <c r="BL39" i="6"/>
  <c r="Z16" i="6"/>
  <c r="AF64" i="6"/>
  <c r="AR8" i="6"/>
  <c r="F57" i="6"/>
  <c r="AH28" i="6"/>
  <c r="BL51" i="6"/>
  <c r="BG12" i="6"/>
  <c r="I19" i="6"/>
  <c r="AC4" i="6"/>
  <c r="AK22" i="6"/>
  <c r="T32" i="6"/>
  <c r="X6" i="6"/>
  <c r="BL4" i="6"/>
  <c r="BL21" i="6"/>
  <c r="AT11" i="6"/>
  <c r="BF18" i="6"/>
  <c r="AS13" i="6"/>
  <c r="BJ20" i="6"/>
  <c r="AZ18" i="6"/>
  <c r="V7" i="6"/>
  <c r="AE41" i="6"/>
  <c r="T3" i="6"/>
  <c r="AN2" i="6"/>
  <c r="Z61" i="9"/>
  <c r="BL1" i="6"/>
  <c r="AE25" i="6"/>
  <c r="AD70" i="9"/>
  <c r="AE2" i="6"/>
  <c r="BE11" i="6"/>
  <c r="Q4" i="6"/>
  <c r="AQ28" i="6"/>
  <c r="T17" i="6"/>
  <c r="BI10" i="6"/>
  <c r="R2" i="6"/>
  <c r="AE7" i="6"/>
  <c r="AO7" i="6"/>
  <c r="AR39" i="6"/>
  <c r="O27" i="6"/>
  <c r="BI16" i="6"/>
  <c r="BD35" i="6"/>
  <c r="AM4" i="6"/>
  <c r="Z10" i="6"/>
  <c r="BF15" i="6"/>
  <c r="S1" i="6"/>
  <c r="Q5" i="6"/>
  <c r="M4" i="6"/>
  <c r="Q6" i="6"/>
  <c r="AO12" i="6"/>
  <c r="AG7" i="6"/>
  <c r="D7" i="6"/>
  <c r="W9" i="6"/>
  <c r="BF12" i="6"/>
  <c r="K6" i="6"/>
  <c r="O47" i="6"/>
  <c r="BL8" i="6"/>
  <c r="AC29" i="6"/>
  <c r="AK7" i="6"/>
  <c r="F6" i="6"/>
  <c r="AM15" i="6"/>
  <c r="M34" i="6"/>
  <c r="AG2" i="6"/>
  <c r="AZ26" i="6"/>
  <c r="AS40" i="6"/>
  <c r="BD4" i="6"/>
  <c r="AR14" i="6"/>
  <c r="BE41" i="6"/>
  <c r="D5" i="6"/>
  <c r="V16" i="6"/>
  <c r="I26" i="6"/>
  <c r="Z27" i="6"/>
  <c r="AN49" i="6"/>
  <c r="AA28" i="6"/>
  <c r="U5" i="6"/>
  <c r="C27" i="6"/>
  <c r="I64" i="6"/>
  <c r="W27" i="6"/>
  <c r="I13" i="6"/>
  <c r="AW25" i="6"/>
  <c r="I17" i="6"/>
  <c r="AS23" i="6"/>
  <c r="AS35" i="6"/>
  <c r="AU1" i="6"/>
  <c r="AN16" i="6"/>
  <c r="M23" i="6"/>
  <c r="AM12" i="6"/>
  <c r="AE21" i="6"/>
  <c r="AC5" i="6"/>
  <c r="AO5" i="6"/>
  <c r="BH8" i="6"/>
  <c r="AV8" i="6"/>
  <c r="Y8" i="6"/>
  <c r="AC10" i="6"/>
  <c r="BJ24" i="6"/>
  <c r="BL10" i="6"/>
  <c r="AZ6" i="6"/>
  <c r="AB10" i="6"/>
  <c r="AC1" i="6"/>
  <c r="AI16" i="6"/>
  <c r="AV28" i="6"/>
  <c r="AE64" i="6"/>
  <c r="O22" i="6"/>
  <c r="B3" i="6"/>
  <c r="B11" i="6"/>
  <c r="Y53" i="6"/>
  <c r="AB5" i="6"/>
  <c r="BJ2" i="6"/>
  <c r="BJ37" i="6"/>
  <c r="AO41" i="6"/>
  <c r="BG13" i="6"/>
  <c r="G54" i="6"/>
  <c r="AC57" i="6"/>
  <c r="M6" i="6"/>
  <c r="H9" i="6"/>
  <c r="AD10" i="6"/>
  <c r="E56" i="6"/>
  <c r="BI23" i="6"/>
  <c r="AS19" i="6"/>
  <c r="V4" i="6"/>
  <c r="U11" i="6"/>
  <c r="U20" i="6"/>
  <c r="AR6" i="6"/>
  <c r="AQ13" i="6"/>
  <c r="BI13" i="6"/>
  <c r="F27" i="6"/>
  <c r="BB4" i="6"/>
  <c r="AU37" i="6"/>
  <c r="AF2" i="6"/>
  <c r="BD45" i="6"/>
  <c r="AU7" i="6"/>
  <c r="L29" i="6"/>
  <c r="L1" i="6"/>
  <c r="O8" i="6"/>
  <c r="U6" i="6"/>
  <c r="BK26" i="6"/>
  <c r="BH4" i="6"/>
  <c r="AX1" i="6"/>
  <c r="BK2" i="6"/>
  <c r="H23" i="6"/>
  <c r="T16" i="6"/>
  <c r="BK21" i="6"/>
  <c r="AW10" i="6"/>
  <c r="F18" i="6"/>
  <c r="AL7" i="6"/>
  <c r="P48" i="6"/>
  <c r="AB9" i="6"/>
  <c r="AB3" i="6"/>
  <c r="AN7" i="6"/>
  <c r="BG18" i="6"/>
  <c r="Z59" i="9"/>
  <c r="F9" i="6"/>
  <c r="BD30" i="6"/>
  <c r="D13" i="6"/>
  <c r="AW6" i="6"/>
  <c r="BF1" i="6"/>
  <c r="T6" i="6"/>
  <c r="AX7" i="6"/>
  <c r="AV41" i="6"/>
  <c r="AP1" i="6"/>
  <c r="R45" i="6"/>
  <c r="H46" i="6"/>
  <c r="W23" i="6"/>
  <c r="AH4" i="6"/>
  <c r="AC11" i="6"/>
  <c r="BH13" i="6"/>
  <c r="BK20" i="6"/>
  <c r="N5" i="6"/>
  <c r="AZ11" i="6"/>
  <c r="G28" i="6"/>
  <c r="BC5" i="6"/>
  <c r="AO25" i="6"/>
  <c r="BA44" i="6"/>
  <c r="C9" i="6"/>
  <c r="AN17" i="6"/>
  <c r="I30" i="6"/>
  <c r="M30" i="6"/>
  <c r="AP16" i="6"/>
  <c r="X29" i="6"/>
  <c r="AA55" i="6"/>
  <c r="N7" i="6"/>
  <c r="W37" i="6"/>
  <c r="W18" i="6"/>
  <c r="AO35" i="6"/>
  <c r="AH47" i="6"/>
  <c r="AC23" i="6"/>
  <c r="AI22" i="6"/>
  <c r="BH19" i="6"/>
  <c r="O30" i="6"/>
  <c r="AR2" i="6"/>
  <c r="N6" i="6"/>
  <c r="AA19" i="6"/>
  <c r="L20" i="6"/>
  <c r="AV26" i="6"/>
  <c r="AH40" i="6"/>
  <c r="Q3" i="6"/>
  <c r="E16" i="6"/>
  <c r="P13" i="6"/>
  <c r="J32" i="6"/>
  <c r="R28" i="6"/>
  <c r="AO9" i="6"/>
  <c r="AL23" i="6"/>
  <c r="AN10" i="6"/>
  <c r="J8" i="6"/>
  <c r="AP8" i="6"/>
  <c r="V32" i="6"/>
  <c r="BJ10" i="6"/>
  <c r="Y7" i="6"/>
  <c r="BJ12" i="6"/>
  <c r="AU4" i="6"/>
  <c r="AF9" i="6"/>
  <c r="Z60" i="9"/>
  <c r="BC19" i="6"/>
  <c r="AG70" i="9"/>
  <c r="AO30" i="6"/>
  <c r="D18" i="6"/>
  <c r="AW22" i="6"/>
  <c r="BC1" i="6"/>
  <c r="BA4" i="6"/>
  <c r="AW33" i="6"/>
  <c r="AG39" i="6"/>
  <c r="Y2" i="6"/>
  <c r="AO17" i="6"/>
  <c r="AC19" i="6"/>
  <c r="Q34" i="6"/>
  <c r="AE27" i="6"/>
  <c r="Z31" i="6"/>
  <c r="BL47" i="6"/>
  <c r="AI8" i="6"/>
  <c r="AM36" i="6"/>
  <c r="Z20" i="6"/>
  <c r="BI33" i="6"/>
  <c r="BI48" i="6"/>
  <c r="AG27" i="6"/>
  <c r="X36" i="6"/>
  <c r="D26" i="6"/>
  <c r="AD46" i="6"/>
  <c r="AS3" i="6"/>
  <c r="AG58" i="6"/>
  <c r="AH9" i="6"/>
  <c r="AM29" i="6"/>
  <c r="BA27" i="6"/>
  <c r="P21" i="6"/>
  <c r="S44" i="6"/>
  <c r="AV1" i="6"/>
  <c r="BB22" i="6"/>
  <c r="U18" i="6"/>
  <c r="AK21" i="6"/>
  <c r="P31" i="6"/>
  <c r="U17" i="6"/>
  <c r="K26" i="6"/>
  <c r="AA11" i="6"/>
  <c r="AY10" i="6"/>
  <c r="AJ3" i="6"/>
  <c r="AE9" i="6"/>
  <c r="AW13" i="6"/>
  <c r="K20" i="6"/>
  <c r="AG12" i="6"/>
  <c r="V45" i="6"/>
  <c r="I4" i="6"/>
  <c r="M1" i="6"/>
  <c r="H14" i="6"/>
  <c r="BF17" i="6"/>
  <c r="AL13" i="6"/>
  <c r="AF8" i="6"/>
  <c r="BL22" i="6"/>
  <c r="R5" i="6"/>
  <c r="W1" i="6"/>
  <c r="A32" i="6"/>
  <c r="E18" i="6"/>
  <c r="AR9" i="6"/>
  <c r="AA1" i="6"/>
  <c r="W8" i="6"/>
  <c r="AP4" i="6"/>
  <c r="AO11" i="6"/>
  <c r="Z37" i="6"/>
  <c r="O13" i="6"/>
  <c r="Z67" i="9"/>
  <c r="AW14" i="6"/>
  <c r="K5" i="6"/>
  <c r="X47" i="10"/>
  <c r="BE7" i="6"/>
  <c r="AP3" i="6"/>
  <c r="AD68" i="9"/>
  <c r="G29" i="6"/>
  <c r="G6" i="6"/>
  <c r="C39" i="6"/>
  <c r="K27" i="6"/>
  <c r="AL2" i="6"/>
  <c r="AU10" i="6"/>
  <c r="L24" i="6"/>
  <c r="BJ4" i="6"/>
  <c r="BE10" i="6"/>
  <c r="AL9" i="6"/>
  <c r="AQ33" i="6"/>
  <c r="BE31" i="6"/>
  <c r="R23" i="6"/>
  <c r="AI46" i="6"/>
  <c r="J3" i="6"/>
  <c r="BJ30" i="6"/>
  <c r="R14" i="6"/>
  <c r="AS29" i="6"/>
  <c r="AD41" i="6"/>
  <c r="AQ10" i="6"/>
  <c r="M40" i="6"/>
  <c r="BB15" i="6"/>
  <c r="BG10" i="6"/>
  <c r="AK4" i="6"/>
  <c r="AH45" i="6"/>
  <c r="P8" i="6"/>
  <c r="X15" i="6"/>
  <c r="BJ13" i="6"/>
  <c r="AX28" i="6"/>
  <c r="AL44" i="6"/>
  <c r="Z4" i="6"/>
  <c r="L22" i="6"/>
  <c r="W6" i="6"/>
  <c r="AI20" i="6"/>
  <c r="AU20" i="6"/>
  <c r="T12" i="6"/>
  <c r="AP27" i="6"/>
  <c r="W13" i="6"/>
  <c r="AF5" i="6"/>
  <c r="S4" i="6"/>
  <c r="BE6" i="6"/>
  <c r="AX11" i="6"/>
  <c r="S3" i="6"/>
  <c r="S32" i="6"/>
  <c r="R27" i="6"/>
  <c r="BD56" i="6"/>
  <c r="BI26" i="6"/>
  <c r="Y20" i="6"/>
  <c r="BL25" i="6"/>
  <c r="AY51" i="6"/>
  <c r="AR25" i="6"/>
  <c r="AO10" i="6"/>
  <c r="AF12" i="6"/>
  <c r="AO21" i="6"/>
  <c r="AJ25" i="6"/>
  <c r="Y10" i="6"/>
  <c r="L12" i="6"/>
  <c r="BA7" i="6"/>
  <c r="BA11" i="6"/>
  <c r="H25" i="6"/>
  <c r="B14" i="6"/>
  <c r="AK11" i="6"/>
  <c r="BJ8" i="6"/>
  <c r="C45" i="6"/>
  <c r="D8" i="6"/>
  <c r="BL11" i="6"/>
  <c r="AG23" i="6"/>
  <c r="P27" i="6"/>
  <c r="Z5" i="6"/>
  <c r="AN37" i="6"/>
  <c r="Y1" i="6"/>
  <c r="D21" i="6"/>
  <c r="D2" i="6"/>
  <c r="AA5" i="6"/>
  <c r="BH6" i="6"/>
  <c r="AK26" i="6"/>
  <c r="BA6" i="6"/>
  <c r="T5" i="6"/>
  <c r="AT41" i="6"/>
  <c r="X14" i="6"/>
  <c r="S16" i="6"/>
  <c r="BF19" i="6"/>
  <c r="AN4" i="6"/>
  <c r="AT37" i="6"/>
  <c r="Y5" i="6"/>
  <c r="U35" i="6"/>
  <c r="O9" i="6"/>
  <c r="AA18" i="6"/>
  <c r="AG43" i="6"/>
  <c r="M29" i="6"/>
  <c r="AV43" i="6"/>
  <c r="AE12" i="6"/>
  <c r="BF4" i="6"/>
  <c r="N1" i="6"/>
  <c r="BB19" i="6"/>
  <c r="H20" i="6"/>
  <c r="O12" i="6"/>
  <c r="BI11" i="6"/>
  <c r="K23" i="6"/>
  <c r="BH16" i="6"/>
  <c r="J25" i="6"/>
  <c r="AK2" i="6"/>
  <c r="T13" i="6"/>
  <c r="AC25" i="6"/>
  <c r="J39" i="6"/>
  <c r="N12" i="6"/>
  <c r="AK51" i="6"/>
  <c r="AS4" i="6"/>
  <c r="BK12" i="6"/>
  <c r="BI4" i="6"/>
  <c r="U2" i="6"/>
  <c r="BB2" i="6"/>
  <c r="BJ19" i="6"/>
  <c r="AZ2" i="6"/>
  <c r="X19" i="6"/>
  <c r="AN25" i="6"/>
  <c r="AM33" i="6"/>
  <c r="AM23" i="6"/>
  <c r="AD57" i="9"/>
  <c r="AC3" i="6"/>
  <c r="AM3" i="6"/>
  <c r="AB31" i="10"/>
  <c r="AG33" i="6"/>
  <c r="AW44" i="6"/>
  <c r="K46" i="6"/>
  <c r="BG3" i="6"/>
  <c r="C12" i="6"/>
  <c r="BC13" i="6"/>
  <c r="AH1" i="6"/>
  <c r="BD24" i="6"/>
  <c r="AH12" i="6"/>
  <c r="Z19" i="6"/>
  <c r="H16" i="6"/>
  <c r="AR22" i="6"/>
  <c r="W34" i="6"/>
  <c r="O1" i="6"/>
  <c r="C16" i="6"/>
  <c r="L9" i="6"/>
  <c r="B24" i="6"/>
  <c r="AT13" i="6"/>
  <c r="AU12" i="6"/>
  <c r="I31" i="6"/>
  <c r="AQ4" i="6"/>
  <c r="BD3" i="6"/>
  <c r="AM1" i="6"/>
  <c r="G18" i="6"/>
  <c r="BF7" i="6"/>
  <c r="AZ13" i="6"/>
  <c r="BB13" i="6"/>
  <c r="AI14" i="6"/>
  <c r="P39" i="6"/>
  <c r="F1" i="6"/>
  <c r="BK9" i="6"/>
  <c r="D10" i="6"/>
  <c r="BE12" i="6"/>
  <c r="D9" i="6"/>
  <c r="Z12" i="6"/>
  <c r="BA8" i="6"/>
  <c r="BH22" i="6"/>
  <c r="BF20" i="6"/>
  <c r="AQ32" i="6"/>
  <c r="A40" i="6"/>
  <c r="AQ6" i="6"/>
  <c r="K12" i="6"/>
  <c r="AP6" i="6"/>
  <c r="AR24" i="6"/>
  <c r="I24" i="6"/>
  <c r="AW40" i="6"/>
  <c r="Z8" i="6"/>
  <c r="AS5" i="6"/>
  <c r="AK43" i="6"/>
  <c r="AS2" i="6"/>
  <c r="AG10" i="6"/>
  <c r="AV22" i="6"/>
  <c r="AO36" i="6"/>
  <c r="AM8" i="6"/>
  <c r="J35" i="6"/>
  <c r="Z3" i="6"/>
  <c r="G58" i="6"/>
  <c r="AY6" i="6"/>
  <c r="AO3" i="6"/>
  <c r="G33" i="6"/>
  <c r="M2" i="6"/>
  <c r="Q44" i="6"/>
  <c r="K4" i="6"/>
  <c r="BH31" i="6"/>
  <c r="BB32" i="6"/>
  <c r="V18" i="6"/>
  <c r="AN34" i="6"/>
  <c r="AH29" i="6"/>
  <c r="S9" i="6"/>
  <c r="BL2" i="6"/>
  <c r="AL4" i="6"/>
  <c r="N24" i="6"/>
  <c r="C6" i="6"/>
  <c r="BD7" i="6"/>
  <c r="G16" i="6"/>
  <c r="AK16" i="6"/>
  <c r="R41" i="6"/>
  <c r="G2" i="6"/>
  <c r="D14" i="6"/>
  <c r="Y11" i="6"/>
  <c r="BE17" i="6"/>
  <c r="H13" i="6"/>
  <c r="AU13" i="6"/>
  <c r="BE16" i="6"/>
  <c r="AR33" i="6"/>
  <c r="AM28" i="6"/>
  <c r="Q32" i="6"/>
  <c r="BJ5" i="6"/>
  <c r="BA2" i="6"/>
  <c r="J2" i="6"/>
  <c r="N10" i="6"/>
  <c r="AH14" i="6"/>
  <c r="W22" i="6"/>
  <c r="AM5" i="6"/>
  <c r="R4" i="6"/>
  <c r="F7" i="6"/>
  <c r="B10" i="6"/>
  <c r="V3" i="6"/>
  <c r="X4" i="6"/>
  <c r="AQ8" i="6"/>
  <c r="AJ2" i="6"/>
  <c r="O4" i="6"/>
  <c r="AZ17" i="6"/>
  <c r="U49" i="6"/>
  <c r="AY4" i="6"/>
  <c r="W7" i="6"/>
  <c r="I9" i="6"/>
  <c r="AO54" i="6"/>
  <c r="AY14" i="6"/>
  <c r="R34" i="6"/>
  <c r="M3" i="6"/>
  <c r="BG9" i="6"/>
  <c r="N26" i="6"/>
  <c r="W5" i="6"/>
  <c r="V12" i="6"/>
  <c r="I8" i="6"/>
  <c r="B23" i="6"/>
  <c r="AI1" i="6"/>
  <c r="R30" i="6"/>
  <c r="BK5" i="6"/>
  <c r="AT9" i="6"/>
  <c r="C1" i="6"/>
  <c r="BH34" i="6"/>
  <c r="BL13" i="6"/>
  <c r="AI29" i="6"/>
  <c r="AV33" i="6"/>
  <c r="U32" i="6"/>
  <c r="I36" i="6"/>
  <c r="Z64" i="9"/>
  <c r="S43" i="11"/>
  <c r="AD6" i="6"/>
  <c r="AR29" i="6"/>
  <c r="X31" i="10"/>
  <c r="J1" i="6"/>
  <c r="AK18" i="6"/>
  <c r="BL12" i="6"/>
  <c r="AZ20" i="6"/>
  <c r="AQ17" i="6"/>
  <c r="H37" i="6"/>
  <c r="AQ37" i="6"/>
  <c r="AI45" i="6"/>
  <c r="AZ12" i="6"/>
  <c r="BB3" i="6"/>
  <c r="BB6" i="6"/>
  <c r="AI11" i="6"/>
  <c r="AJ16" i="6"/>
  <c r="AE30" i="6"/>
  <c r="P1" i="6"/>
  <c r="V8" i="6"/>
  <c r="AE8" i="6"/>
  <c r="AV12" i="6"/>
  <c r="Z7" i="6"/>
  <c r="AZ7" i="6"/>
  <c r="BC16" i="6"/>
  <c r="BI6" i="6"/>
  <c r="AI9" i="6"/>
  <c r="AS12" i="6"/>
  <c r="H4" i="6"/>
  <c r="AY5" i="6"/>
  <c r="G9" i="6"/>
  <c r="L13" i="6"/>
  <c r="AG14" i="6"/>
  <c r="AT26" i="6"/>
  <c r="G30" i="6"/>
  <c r="AK32" i="6"/>
  <c r="AR1" i="6"/>
  <c r="BI8" i="6"/>
  <c r="R43" i="6"/>
  <c r="C4" i="6"/>
  <c r="AI12" i="6"/>
  <c r="X25" i="6"/>
  <c r="AC39" i="6"/>
  <c r="L10" i="6"/>
  <c r="L37" i="6"/>
  <c r="AC7" i="6"/>
  <c r="H27" i="6"/>
  <c r="AO27" i="6"/>
  <c r="AR26" i="6"/>
  <c r="S45" i="6"/>
  <c r="X26" i="6"/>
  <c r="BL33" i="6"/>
  <c r="AA25" i="6"/>
  <c r="AV42" i="6"/>
  <c r="G25" i="6"/>
  <c r="BI39" i="6"/>
  <c r="AV10" i="6"/>
  <c r="AF22" i="6"/>
  <c r="AM52" i="6"/>
  <c r="BH38" i="6"/>
  <c r="AF10" i="6"/>
  <c r="E35" i="6"/>
  <c r="AE1" i="6"/>
  <c r="AE5" i="6"/>
  <c r="BA12" i="6"/>
  <c r="AQ9" i="6"/>
  <c r="BF3" i="6"/>
  <c r="B12" i="6"/>
  <c r="AR10" i="6"/>
  <c r="AB8" i="6"/>
  <c r="V6" i="6"/>
  <c r="AB64" i="6"/>
  <c r="BG16" i="6"/>
  <c r="AE31" i="6"/>
  <c r="AL8" i="6"/>
  <c r="P9" i="6"/>
  <c r="AO16" i="6"/>
  <c r="P32" i="6"/>
  <c r="AK6" i="6"/>
  <c r="AF33" i="6"/>
  <c r="BJ21" i="6"/>
  <c r="M11" i="6"/>
  <c r="AF42" i="6"/>
  <c r="AB60" i="6"/>
  <c r="AC6" i="6"/>
  <c r="AK33" i="6"/>
  <c r="AX38" i="6"/>
  <c r="J37" i="6"/>
  <c r="AG28" i="6"/>
  <c r="U21" i="6"/>
  <c r="BC61" i="6"/>
  <c r="H10" i="6"/>
  <c r="BD9" i="6"/>
  <c r="AL32" i="6"/>
  <c r="K2" i="6"/>
  <c r="BE9" i="6"/>
  <c r="C24" i="6"/>
  <c r="T2" i="6"/>
  <c r="AS30" i="6"/>
  <c r="AS36" i="6"/>
  <c r="AS7" i="6"/>
  <c r="AC9" i="6"/>
  <c r="AI25" i="6"/>
  <c r="AW23" i="6"/>
  <c r="F16" i="6"/>
  <c r="O40" i="6"/>
  <c r="AD8" i="6"/>
  <c r="BE30" i="6"/>
  <c r="Q14" i="6"/>
  <c r="AU32" i="6"/>
  <c r="BH28" i="6"/>
  <c r="AM10" i="6"/>
  <c r="AQ27" i="6"/>
  <c r="AG8" i="6"/>
  <c r="AY12" i="6"/>
  <c r="AI2" i="6"/>
  <c r="BL32" i="6"/>
  <c r="S15" i="6"/>
  <c r="E6" i="6"/>
  <c r="AH11" i="6"/>
  <c r="B9" i="6"/>
  <c r="AT10" i="6"/>
  <c r="BE2" i="6"/>
  <c r="O31" i="6"/>
  <c r="AT8" i="6"/>
  <c r="Z66" i="9"/>
  <c r="AJ1" i="6"/>
  <c r="AA4" i="6"/>
  <c r="AX63" i="6"/>
  <c r="Y9" i="6"/>
  <c r="V50" i="6"/>
  <c r="L3" i="6"/>
  <c r="AD11" i="6"/>
  <c r="S5" i="6"/>
  <c r="K58" i="6"/>
  <c r="AH7" i="6"/>
  <c r="I10" i="6"/>
  <c r="AY11" i="6"/>
  <c r="AN20" i="6"/>
  <c r="G17" i="6"/>
  <c r="P28" i="6"/>
  <c r="AQ5" i="6"/>
  <c r="AP12" i="6"/>
  <c r="AU38" i="6"/>
  <c r="B8" i="6"/>
  <c r="L4" i="6"/>
  <c r="AP19" i="6"/>
  <c r="J31" i="6"/>
  <c r="BF8" i="6"/>
  <c r="AY42" i="6"/>
  <c r="P41" i="6"/>
  <c r="AX8" i="6"/>
  <c r="BK50" i="6"/>
  <c r="X13" i="6"/>
  <c r="P43" i="6"/>
  <c r="BJ11" i="6"/>
  <c r="C17" i="6"/>
  <c r="F5" i="6"/>
  <c r="BH1" i="6"/>
  <c r="O32" i="6"/>
  <c r="BG1" i="6"/>
  <c r="BG6" i="6"/>
  <c r="X56" i="6"/>
  <c r="AF26" i="6"/>
  <c r="S51" i="6"/>
  <c r="AZ43" i="6"/>
  <c r="X3" i="6"/>
  <c r="D46" i="6"/>
  <c r="R12" i="6"/>
  <c r="AL28" i="6"/>
  <c r="AL63" i="6"/>
  <c r="BB1" i="6"/>
  <c r="AW4" i="6"/>
  <c r="BC18" i="6"/>
  <c r="F4" i="6"/>
  <c r="BG5" i="6"/>
  <c r="AH23" i="6"/>
  <c r="AX13" i="6"/>
  <c r="AQ11" i="6"/>
  <c r="E14" i="6"/>
  <c r="AV6" i="6"/>
  <c r="AQ34" i="6"/>
  <c r="AT5" i="6"/>
  <c r="F11" i="6"/>
  <c r="AH3" i="6"/>
  <c r="BH9" i="6"/>
  <c r="BE1" i="6"/>
  <c r="BE18" i="6"/>
  <c r="AV13" i="6"/>
  <c r="BC14" i="6"/>
  <c r="K36" i="6"/>
  <c r="D3" i="6"/>
  <c r="Z17" i="6"/>
  <c r="H8" i="6"/>
  <c r="AQ19" i="6"/>
  <c r="H24" i="6"/>
  <c r="AI4" i="6"/>
  <c r="Z36" i="6"/>
  <c r="T45" i="6"/>
  <c r="I2" i="6"/>
  <c r="AJ44" i="6"/>
  <c r="N2" i="6"/>
  <c r="BJ36" i="6"/>
  <c r="BI9" i="6"/>
  <c r="Y19" i="6"/>
  <c r="K1" i="6"/>
  <c r="B7" i="6"/>
  <c r="N41" i="6"/>
  <c r="BH2" i="6"/>
  <c r="AM9" i="6"/>
  <c r="N52" i="6"/>
  <c r="AJ30" i="6"/>
  <c r="BL59" i="6"/>
  <c r="C26" i="6"/>
  <c r="AI41" i="6"/>
  <c r="AG3" i="6"/>
  <c r="AJ49" i="6"/>
  <c r="T9" i="6"/>
  <c r="P33" i="6"/>
  <c r="P5" i="6"/>
  <c r="I11" i="6"/>
  <c r="S6" i="6"/>
  <c r="Y57" i="6"/>
  <c r="P4" i="6"/>
  <c r="AY2" i="6"/>
  <c r="G1" i="6"/>
  <c r="AB39" i="6"/>
  <c r="AX2" i="6"/>
  <c r="H30" i="6"/>
  <c r="AR35" i="6"/>
  <c r="BL5" i="6"/>
  <c r="Q28" i="6"/>
  <c r="AJ7" i="6"/>
  <c r="W14" i="6"/>
  <c r="Z21" i="6"/>
  <c r="F32" i="6"/>
  <c r="I25" i="6"/>
  <c r="M5" i="6"/>
  <c r="L41" i="6"/>
  <c r="P45" i="6"/>
  <c r="S11" i="6"/>
  <c r="G20" i="6"/>
  <c r="M10" i="6"/>
  <c r="BC3" i="6"/>
  <c r="AF3" i="6"/>
  <c r="BJ3" i="6"/>
  <c r="I38" i="6"/>
  <c r="AR28" i="6"/>
  <c r="BG2" i="6"/>
  <c r="AG68" i="9"/>
  <c r="AA6" i="6"/>
  <c r="H7" i="6"/>
  <c r="G13" i="6"/>
  <c r="BA14" i="6"/>
  <c r="AY1" i="6"/>
  <c r="BD1" i="6"/>
  <c r="BK7" i="6"/>
  <c r="Q33" i="6"/>
  <c r="AQ52" i="6"/>
  <c r="AB47" i="10"/>
  <c r="AX30" i="6"/>
  <c r="AO2" i="6"/>
  <c r="AY9" i="6"/>
  <c r="BH10" i="6"/>
  <c r="BF11" i="6"/>
  <c r="E15" i="6"/>
  <c r="AR3" i="6"/>
  <c r="J22" i="6"/>
  <c r="AM45" i="6"/>
  <c r="AT4" i="6"/>
  <c r="AR57" i="6"/>
  <c r="U10" i="6"/>
  <c r="AL22" i="6"/>
  <c r="V2" i="6"/>
  <c r="AN8" i="6"/>
  <c r="C2" i="6"/>
  <c r="AV3" i="6"/>
  <c r="X17" i="6"/>
  <c r="AZ3" i="6"/>
  <c r="N4" i="6"/>
  <c r="AD25" i="6"/>
  <c r="U16" i="6"/>
  <c r="AO26" i="6"/>
  <c r="Y17" i="6"/>
  <c r="BB45" i="6"/>
  <c r="Y4" i="6"/>
  <c r="I32" i="6"/>
  <c r="S13" i="6"/>
  <c r="AP32" i="6"/>
  <c r="BH3" i="6"/>
  <c r="BF5" i="6"/>
  <c r="AN1" i="6"/>
  <c r="F14" i="6"/>
  <c r="V27" i="6"/>
  <c r="S47" i="6"/>
  <c r="AZ5" i="6"/>
  <c r="AF43" i="6"/>
  <c r="S14" i="6"/>
  <c r="O42" i="6"/>
  <c r="E28" i="6"/>
  <c r="AX16" i="6"/>
  <c r="AJ46" i="6"/>
  <c r="BG19" i="6"/>
  <c r="K28" i="6"/>
  <c r="AQ1" i="6"/>
  <c r="AQ40" i="6"/>
  <c r="AA21" i="6"/>
  <c r="X10" i="6"/>
  <c r="AC13" i="6"/>
  <c r="AL6" i="6"/>
  <c r="BB14" i="6"/>
  <c r="X5" i="6"/>
  <c r="AY24" i="6"/>
  <c r="AH8" i="6"/>
  <c r="BA3" i="6"/>
  <c r="Q31" i="10"/>
  <c r="AG57" i="9"/>
  <c r="S46" i="11"/>
  <c r="AJ12" i="6"/>
  <c r="BH5" i="6"/>
  <c r="Z63" i="9"/>
  <c r="BD2" i="6"/>
  <c r="E21" i="6"/>
  <c r="S31" i="6"/>
  <c r="Z6" i="6"/>
  <c r="N37" i="6"/>
  <c r="U1" i="6"/>
  <c r="AA8" i="6"/>
  <c r="AC8" i="6"/>
  <c r="BD17" i="6"/>
  <c r="C13" i="6"/>
  <c r="E11" i="6"/>
  <c r="BD16" i="6"/>
  <c r="AY16" i="6"/>
  <c r="AX15" i="6"/>
  <c r="AF21" i="6"/>
  <c r="AB4" i="6"/>
  <c r="AS11" i="6"/>
  <c r="S2" i="6"/>
  <c r="AG4" i="6"/>
  <c r="V5" i="6"/>
  <c r="R3" i="6"/>
  <c r="W19" i="6"/>
  <c r="AD7" i="6"/>
  <c r="Q9" i="6"/>
  <c r="K9" i="6"/>
  <c r="C29" i="6"/>
  <c r="BA26" i="6"/>
  <c r="B5" i="6"/>
  <c r="W12" i="6"/>
  <c r="H35" i="6"/>
  <c r="AP2" i="6"/>
  <c r="BC10" i="6"/>
  <c r="E4" i="6"/>
  <c r="O5" i="6"/>
  <c r="AO31" i="6"/>
  <c r="BB5" i="6"/>
  <c r="AR5" i="6"/>
  <c r="AU44" i="6"/>
  <c r="AB22" i="6"/>
  <c r="G24" i="6"/>
  <c r="Z58" i="9"/>
  <c r="AH5" i="6"/>
  <c r="AB1" i="6"/>
  <c r="T4" i="6"/>
  <c r="BH39" i="6"/>
  <c r="AO6" i="6"/>
  <c r="U14" i="6"/>
  <c r="Y15" i="6"/>
  <c r="BJ7" i="6"/>
  <c r="AZ16" i="6"/>
  <c r="AQ2" i="6"/>
  <c r="AF13" i="6"/>
  <c r="B28" i="6"/>
  <c r="S8" i="6"/>
  <c r="O7" i="6"/>
  <c r="F12" i="6"/>
  <c r="AE20" i="6"/>
  <c r="AR12" i="6"/>
  <c r="E26" i="6"/>
  <c r="AU31" i="6"/>
  <c r="BB17" i="6"/>
  <c r="AB38" i="6"/>
  <c r="Z69" i="9"/>
  <c r="K33" i="6"/>
  <c r="AJ13" i="6"/>
  <c r="V19" i="6"/>
  <c r="BC8" i="6"/>
  <c r="BA17" i="6"/>
  <c r="M42" i="6"/>
  <c r="BG21" i="6"/>
  <c r="T10" i="6"/>
  <c r="J13" i="1"/>
  <c r="M13" i="1"/>
  <c r="D27" i="1"/>
  <c r="D26" i="1"/>
  <c r="E31" i="3"/>
  <c r="E30" i="3"/>
  <c r="F30" i="3"/>
  <c r="F31" i="3"/>
  <c r="G30" i="3"/>
  <c r="G31" i="3"/>
  <c r="O40" i="11" l="1"/>
  <c r="O37" i="11"/>
  <c r="I54" i="11"/>
  <c r="N40" i="11"/>
  <c r="I59" i="11"/>
  <c r="N34" i="11"/>
  <c r="AB25" i="11"/>
  <c r="N31" i="11"/>
  <c r="AB22" i="11"/>
  <c r="K53" i="11"/>
  <c r="K37" i="10"/>
  <c r="V50" i="10"/>
  <c r="Z34" i="10"/>
  <c r="AA50" i="10"/>
  <c r="Z50" i="10"/>
  <c r="W50" i="10"/>
  <c r="W34" i="10"/>
  <c r="N37" i="10" s="1"/>
  <c r="V34" i="10"/>
  <c r="M37" i="10" s="1"/>
  <c r="AA34" i="10"/>
  <c r="AB66" i="9"/>
  <c r="AE66" i="9"/>
  <c r="Y42" i="9"/>
  <c r="AC66" i="9"/>
  <c r="J39" i="9"/>
  <c r="AE58" i="9"/>
  <c r="AC58" i="9"/>
  <c r="AF64" i="9"/>
  <c r="AE62" i="9"/>
  <c r="AC69" i="9"/>
  <c r="AF69" i="9"/>
  <c r="AC60" i="9"/>
  <c r="AF60" i="9"/>
  <c r="AB58" i="9"/>
  <c r="AC63" i="9"/>
  <c r="AF59" i="9"/>
  <c r="AE63" i="9"/>
  <c r="AE60" i="9"/>
  <c r="AB62" i="9"/>
  <c r="AB67" i="9"/>
  <c r="AB63" i="9"/>
  <c r="X73" i="9"/>
  <c r="U74" i="9"/>
  <c r="V74" i="9" s="1"/>
  <c r="W74" i="9" s="1"/>
  <c r="AE65" i="9"/>
  <c r="AC59" i="9"/>
  <c r="AF61" i="9"/>
  <c r="AB65" i="9"/>
  <c r="AB64" i="9"/>
  <c r="AF67" i="9"/>
  <c r="AE61" i="9"/>
  <c r="AE69" i="9"/>
  <c r="AC65" i="9"/>
  <c r="AC64" i="9"/>
  <c r="AF62" i="9"/>
  <c r="AE67" i="9"/>
  <c r="AC61" i="9"/>
  <c r="AB59" i="9"/>
  <c r="J41" i="9"/>
  <c r="B3" i="8"/>
  <c r="B7" i="8"/>
  <c r="B11" i="8"/>
  <c r="B15" i="8"/>
  <c r="B19" i="8"/>
  <c r="B23" i="8"/>
  <c r="B27" i="8"/>
  <c r="B31" i="8"/>
  <c r="B35" i="8"/>
  <c r="B39" i="8"/>
  <c r="B43" i="8"/>
  <c r="B47" i="8"/>
  <c r="B51" i="8"/>
  <c r="B55" i="8"/>
  <c r="B59" i="8"/>
  <c r="B63" i="8"/>
  <c r="B16" i="8"/>
  <c r="B20" i="8"/>
  <c r="B24" i="8"/>
  <c r="B28" i="8"/>
  <c r="B32" i="8"/>
  <c r="B40" i="8"/>
  <c r="B48" i="8"/>
  <c r="B56" i="8"/>
  <c r="B64" i="8"/>
  <c r="B5" i="8"/>
  <c r="B13" i="8"/>
  <c r="B21" i="8"/>
  <c r="B29" i="8"/>
  <c r="B37" i="8"/>
  <c r="B45" i="8"/>
  <c r="B53" i="8"/>
  <c r="B61" i="8"/>
  <c r="B6" i="8"/>
  <c r="B14" i="8"/>
  <c r="B22" i="8"/>
  <c r="B30" i="8"/>
  <c r="B38" i="8"/>
  <c r="B46" i="8"/>
  <c r="B54" i="8"/>
  <c r="B62" i="8"/>
  <c r="B4" i="8"/>
  <c r="B8" i="8"/>
  <c r="B12" i="8"/>
  <c r="B36" i="8"/>
  <c r="B44" i="8"/>
  <c r="B52" i="8"/>
  <c r="B60" i="8"/>
  <c r="B9" i="8"/>
  <c r="B17" i="8"/>
  <c r="B25" i="8"/>
  <c r="B33" i="8"/>
  <c r="B41" i="8"/>
  <c r="B49" i="8"/>
  <c r="B57" i="8"/>
  <c r="B2" i="8"/>
  <c r="B10" i="8"/>
  <c r="B18" i="8"/>
  <c r="B26" i="8"/>
  <c r="B34" i="8"/>
  <c r="B42" i="8"/>
  <c r="B50" i="8"/>
  <c r="B58" i="8"/>
  <c r="B1" i="8"/>
  <c r="P9" i="1"/>
  <c r="P10" i="1"/>
  <c r="D51" i="1" s="1"/>
  <c r="K13" i="1"/>
  <c r="N13" i="1"/>
  <c r="E45" i="1"/>
  <c r="E48" i="1"/>
  <c r="E42" i="1"/>
  <c r="E39" i="1"/>
  <c r="E26" i="1"/>
  <c r="E27" i="1"/>
  <c r="D45" i="1"/>
  <c r="D38" i="1"/>
  <c r="D39" i="1"/>
  <c r="D42" i="1"/>
  <c r="D33" i="1"/>
  <c r="D36" i="1"/>
  <c r="D48" i="1"/>
  <c r="E28" i="1"/>
  <c r="E36" i="1"/>
  <c r="E35" i="1"/>
  <c r="E44" i="1"/>
  <c r="D44" i="1"/>
  <c r="D32" i="1"/>
  <c r="D41" i="1" s="1"/>
  <c r="Y46" i="3"/>
  <c r="V27" i="3"/>
  <c r="U27" i="3"/>
  <c r="V24" i="3"/>
  <c r="U24" i="3"/>
  <c r="V21" i="3"/>
  <c r="U21" i="3"/>
  <c r="V20" i="3"/>
  <c r="V23" i="3" s="1"/>
  <c r="U20" i="3"/>
  <c r="U23" i="3" s="1"/>
  <c r="U26" i="3" s="1"/>
  <c r="V18" i="3"/>
  <c r="V15" i="3"/>
  <c r="V12" i="3"/>
  <c r="O30" i="3"/>
  <c r="Z23" i="3" s="1"/>
  <c r="M30" i="3"/>
  <c r="U14" i="3" s="1"/>
  <c r="M8" i="3"/>
  <c r="F11" i="3"/>
  <c r="F12" i="3"/>
  <c r="E11" i="3"/>
  <c r="E32" i="2"/>
  <c r="E21" i="2"/>
  <c r="Z73" i="9"/>
  <c r="AG69" i="9"/>
  <c r="AD65" i="9"/>
  <c r="X50" i="10"/>
  <c r="S44" i="11"/>
  <c r="AG59" i="9"/>
  <c r="AB50" i="10"/>
  <c r="AD62" i="9"/>
  <c r="AG66" i="9"/>
  <c r="AB34" i="10"/>
  <c r="AD67" i="9"/>
  <c r="X34" i="10"/>
  <c r="AG64" i="9"/>
  <c r="AD69" i="9"/>
  <c r="AD64" i="9"/>
  <c r="AG63" i="9"/>
  <c r="AD61" i="9"/>
  <c r="AD66" i="9"/>
  <c r="AG61" i="9"/>
  <c r="AD58" i="9"/>
  <c r="AG65" i="9"/>
  <c r="AD60" i="9"/>
  <c r="AG60" i="9"/>
  <c r="S45" i="11"/>
  <c r="AD63" i="9"/>
  <c r="AD59" i="9"/>
  <c r="AG67" i="9"/>
  <c r="AG58" i="9"/>
  <c r="AG62" i="9"/>
  <c r="E38" i="3"/>
  <c r="E39" i="3"/>
  <c r="O34" i="11" l="1"/>
  <c r="AB28" i="11"/>
  <c r="N37" i="11"/>
  <c r="N40" i="10"/>
  <c r="M40" i="10"/>
  <c r="AE73" i="9"/>
  <c r="AA42" i="9" s="1"/>
  <c r="AB36" i="9"/>
  <c r="AF73" i="9"/>
  <c r="U75" i="9"/>
  <c r="V75" i="9" s="1"/>
  <c r="W75" i="9" s="1"/>
  <c r="AC73" i="9"/>
  <c r="X74" i="9"/>
  <c r="AB74" i="9" s="1"/>
  <c r="AB73" i="9"/>
  <c r="AA39" i="9" s="1"/>
  <c r="E47" i="1"/>
  <c r="D50" i="1"/>
  <c r="X23" i="3"/>
  <c r="U15" i="3"/>
  <c r="V26" i="3"/>
  <c r="U18" i="3"/>
  <c r="U12" i="3"/>
  <c r="U6" i="3"/>
  <c r="U8" i="3"/>
  <c r="N11" i="3"/>
  <c r="M11" i="3"/>
  <c r="N12" i="3"/>
  <c r="M12" i="3"/>
  <c r="F39" i="3"/>
  <c r="F38" i="3"/>
  <c r="I23" i="2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F19" i="2"/>
  <c r="E19" i="2"/>
  <c r="E29" i="2" s="1"/>
  <c r="J22" i="2" s="1"/>
  <c r="F17" i="2"/>
  <c r="E17" i="2"/>
  <c r="F16" i="2"/>
  <c r="E16" i="2"/>
  <c r="E13" i="2"/>
  <c r="F14" i="2"/>
  <c r="E14" i="2"/>
  <c r="F13" i="2"/>
  <c r="E35" i="2"/>
  <c r="E27" i="2"/>
  <c r="F11" i="2"/>
  <c r="E11" i="2"/>
  <c r="E26" i="2" s="1"/>
  <c r="F8" i="2"/>
  <c r="E23" i="2" s="1"/>
  <c r="E8" i="2"/>
  <c r="E30" i="2" s="1"/>
  <c r="K22" i="2" s="1"/>
  <c r="AD73" i="9"/>
  <c r="Z74" i="9"/>
  <c r="AG73" i="9"/>
  <c r="AE34" i="3"/>
  <c r="AB32" i="3"/>
  <c r="AB39" i="3"/>
  <c r="AB43" i="3"/>
  <c r="AB35" i="3"/>
  <c r="AB37" i="3"/>
  <c r="AE39" i="3"/>
  <c r="AB42" i="3"/>
  <c r="AB29" i="3"/>
  <c r="AB26" i="3"/>
  <c r="AE40" i="3"/>
  <c r="AB33" i="3"/>
  <c r="AE28" i="3"/>
  <c r="AB25" i="3"/>
  <c r="AB28" i="3"/>
  <c r="AE33" i="3"/>
  <c r="AE38" i="3"/>
  <c r="AB34" i="3"/>
  <c r="AB46" i="3"/>
  <c r="AB41" i="3"/>
  <c r="AE35" i="3"/>
  <c r="AE44" i="3"/>
  <c r="AB38" i="3"/>
  <c r="AE31" i="3"/>
  <c r="AB40" i="3"/>
  <c r="AB36" i="3"/>
  <c r="AB27" i="3"/>
  <c r="AE26" i="3"/>
  <c r="AE25" i="3"/>
  <c r="AE27" i="3"/>
  <c r="AE29" i="3"/>
  <c r="AE24" i="3"/>
  <c r="AB30" i="3"/>
  <c r="AE42" i="3"/>
  <c r="AE36" i="3"/>
  <c r="AB44" i="3"/>
  <c r="AE23" i="3"/>
  <c r="AB24" i="3"/>
  <c r="AE41" i="3"/>
  <c r="AE46" i="3"/>
  <c r="AE37" i="3"/>
  <c r="AE30" i="3"/>
  <c r="AE43" i="3"/>
  <c r="AB31" i="3"/>
  <c r="AB23" i="3"/>
  <c r="AE32" i="3"/>
  <c r="AB42" i="9" l="1"/>
  <c r="AB39" i="9"/>
  <c r="AE74" i="9"/>
  <c r="AF74" i="9"/>
  <c r="X75" i="9"/>
  <c r="AF75" i="9" s="1"/>
  <c r="AC74" i="9"/>
  <c r="U76" i="9"/>
  <c r="V76" i="9" s="1"/>
  <c r="W76" i="9" s="1"/>
  <c r="V14" i="3"/>
  <c r="V11" i="3"/>
  <c r="V8" i="3"/>
  <c r="V9" i="3"/>
  <c r="V17" i="3"/>
  <c r="V6" i="3"/>
  <c r="V5" i="3"/>
  <c r="U5" i="3"/>
  <c r="U11" i="3"/>
  <c r="U9" i="3"/>
  <c r="U17" i="3"/>
  <c r="M38" i="3"/>
  <c r="N38" i="3" s="1"/>
  <c r="AA46" i="3" s="1"/>
  <c r="M39" i="3"/>
  <c r="N39" i="3" s="1"/>
  <c r="AD46" i="3" s="1"/>
  <c r="L23" i="2"/>
  <c r="L27" i="2"/>
  <c r="L31" i="2"/>
  <c r="L35" i="2"/>
  <c r="L39" i="2"/>
  <c r="L24" i="2"/>
  <c r="L28" i="2"/>
  <c r="L32" i="2"/>
  <c r="L36" i="2"/>
  <c r="L40" i="2"/>
  <c r="L25" i="2"/>
  <c r="L29" i="2"/>
  <c r="L33" i="2"/>
  <c r="L37" i="2"/>
  <c r="L22" i="2"/>
  <c r="L26" i="2"/>
  <c r="L30" i="2"/>
  <c r="L34" i="2"/>
  <c r="L38" i="2"/>
  <c r="M26" i="2"/>
  <c r="M30" i="2"/>
  <c r="M34" i="2"/>
  <c r="M38" i="2"/>
  <c r="M23" i="2"/>
  <c r="M27" i="2"/>
  <c r="M31" i="2"/>
  <c r="M35" i="2"/>
  <c r="M39" i="2"/>
  <c r="M24" i="2"/>
  <c r="M28" i="2"/>
  <c r="M32" i="2"/>
  <c r="M36" i="2"/>
  <c r="M40" i="2"/>
  <c r="M25" i="2"/>
  <c r="M29" i="2"/>
  <c r="M33" i="2"/>
  <c r="M37" i="2"/>
  <c r="M22" i="2"/>
  <c r="E22" i="2"/>
  <c r="E25" i="2"/>
  <c r="E33" i="2" s="1"/>
  <c r="E19" i="3"/>
  <c r="M19" i="3" s="1"/>
  <c r="AD74" i="9"/>
  <c r="Z75" i="9"/>
  <c r="AG74" i="9"/>
  <c r="AC75" i="9" l="1"/>
  <c r="AB75" i="9"/>
  <c r="X76" i="9"/>
  <c r="AE76" i="9" s="1"/>
  <c r="U77" i="9"/>
  <c r="V77" i="9" s="1"/>
  <c r="W77" i="9" s="1"/>
  <c r="AE75" i="9"/>
  <c r="N31" i="2"/>
  <c r="E36" i="2"/>
  <c r="F32" i="2"/>
  <c r="F33" i="2"/>
  <c r="AD75" i="9"/>
  <c r="AG75" i="9"/>
  <c r="Z76" i="9"/>
  <c r="AC76" i="9" l="1"/>
  <c r="AF76" i="9"/>
  <c r="AB76" i="9"/>
  <c r="X77" i="9"/>
  <c r="AC77" i="9" s="1"/>
  <c r="U78" i="9"/>
  <c r="V78" i="9" s="1"/>
  <c r="W78" i="9" s="1"/>
  <c r="F36" i="2"/>
  <c r="E51" i="1"/>
  <c r="E50" i="1"/>
  <c r="D47" i="1"/>
  <c r="AD76" i="9"/>
  <c r="Z77" i="9"/>
  <c r="AG76" i="9"/>
  <c r="AF77" i="9" l="1"/>
  <c r="X78" i="9"/>
  <c r="AF78" i="9" s="1"/>
  <c r="AE77" i="9"/>
  <c r="AB78" i="9"/>
  <c r="U79" i="9"/>
  <c r="V79" i="9" s="1"/>
  <c r="W79" i="9" s="1"/>
  <c r="AB77" i="9"/>
  <c r="AD77" i="9"/>
  <c r="AG77" i="9"/>
  <c r="Z78" i="9"/>
  <c r="AE78" i="9" l="1"/>
  <c r="AC78" i="9"/>
  <c r="X79" i="9"/>
  <c r="AE79" i="9" s="1"/>
  <c r="U80" i="9"/>
  <c r="V80" i="9" s="1"/>
  <c r="W80" i="9" s="1"/>
  <c r="Z79" i="9"/>
  <c r="AG78" i="9"/>
  <c r="AD78" i="9"/>
  <c r="AB79" i="9" l="1"/>
  <c r="AC79" i="9"/>
  <c r="X80" i="9"/>
  <c r="AF80" i="9" s="1"/>
  <c r="U81" i="9"/>
  <c r="V81" i="9" s="1"/>
  <c r="W81" i="9" s="1"/>
  <c r="AF79" i="9"/>
  <c r="Z80" i="9"/>
  <c r="AG79" i="9"/>
  <c r="AD79" i="9"/>
  <c r="AE80" i="9" l="1"/>
  <c r="U82" i="9"/>
  <c r="V82" i="9" s="1"/>
  <c r="W82" i="9" s="1"/>
  <c r="AC80" i="9"/>
  <c r="X81" i="9"/>
  <c r="AF81" i="9" s="1"/>
  <c r="AB80" i="9"/>
  <c r="AG80" i="9"/>
  <c r="AD80" i="9"/>
  <c r="Z81" i="9"/>
  <c r="AB81" i="9" l="1"/>
  <c r="AE81" i="9"/>
  <c r="X82" i="9"/>
  <c r="AB82" i="9" s="1"/>
  <c r="U83" i="9"/>
  <c r="V83" i="9" s="1"/>
  <c r="W83" i="9" s="1"/>
  <c r="AC81" i="9"/>
  <c r="AG81" i="9"/>
  <c r="AD81" i="9"/>
  <c r="Z82" i="9"/>
  <c r="U84" i="9" l="1"/>
  <c r="V84" i="9" s="1"/>
  <c r="W84" i="9" s="1"/>
  <c r="AE82" i="9"/>
  <c r="AC82" i="9"/>
  <c r="X83" i="9"/>
  <c r="AF83" i="9" s="1"/>
  <c r="AF82" i="9"/>
  <c r="AD82" i="9"/>
  <c r="AG82" i="9"/>
  <c r="Z83" i="9"/>
  <c r="AC83" i="9" l="1"/>
  <c r="AB83" i="9"/>
  <c r="X84" i="9"/>
  <c r="AC84" i="9" s="1"/>
  <c r="U85" i="9"/>
  <c r="V85" i="9" s="1"/>
  <c r="W85" i="9" s="1"/>
  <c r="AE83" i="9"/>
  <c r="AD83" i="9"/>
  <c r="AG83" i="9"/>
  <c r="Z84" i="9"/>
  <c r="U86" i="9" l="1"/>
  <c r="V86" i="9" s="1"/>
  <c r="W86" i="9" s="1"/>
  <c r="AF84" i="9"/>
  <c r="AB84" i="9"/>
  <c r="X85" i="9"/>
  <c r="AE85" i="9" s="1"/>
  <c r="AE84" i="9"/>
  <c r="AG84" i="9"/>
  <c r="AD84" i="9"/>
  <c r="Z85" i="9"/>
  <c r="AF85" i="9" l="1"/>
  <c r="AC85" i="9"/>
  <c r="X86" i="9"/>
  <c r="AE86" i="9" s="1"/>
  <c r="AB85" i="9"/>
  <c r="AG85" i="9"/>
  <c r="AD85" i="9"/>
  <c r="Z86" i="9"/>
  <c r="AC86" i="9" l="1"/>
  <c r="AF86" i="9"/>
  <c r="AB86" i="9"/>
  <c r="AD86" i="9"/>
  <c r="AG86" i="9"/>
</calcChain>
</file>

<file path=xl/sharedStrings.xml><?xml version="1.0" encoding="utf-8"?>
<sst xmlns="http://schemas.openxmlformats.org/spreadsheetml/2006/main" count="987" uniqueCount="173">
  <si>
    <t>Width</t>
  </si>
  <si>
    <t>Surface</t>
  </si>
  <si>
    <t>Cels</t>
  </si>
  <si>
    <t>Inc</t>
  </si>
  <si>
    <t>Base</t>
  </si>
  <si>
    <t>X</t>
  </si>
  <si>
    <t>Y</t>
  </si>
  <si>
    <t>A</t>
  </si>
  <si>
    <t>B</t>
  </si>
  <si>
    <t>P</t>
  </si>
  <si>
    <t>D</t>
  </si>
  <si>
    <t>Cos</t>
  </si>
  <si>
    <t>Rotation</t>
  </si>
  <si>
    <t>Intensity</t>
  </si>
  <si>
    <t>Light A</t>
  </si>
  <si>
    <t>Lights</t>
  </si>
  <si>
    <t>Light B</t>
  </si>
  <si>
    <t>Shader</t>
  </si>
  <si>
    <t>C</t>
  </si>
  <si>
    <t>c</t>
  </si>
  <si>
    <t>L1</t>
  </si>
  <si>
    <t>L2</t>
  </si>
  <si>
    <t>a</t>
  </si>
  <si>
    <t>xd</t>
  </si>
  <si>
    <t>yd</t>
  </si>
  <si>
    <t>b</t>
  </si>
  <si>
    <t>Height</t>
  </si>
  <si>
    <t>C inc a</t>
  </si>
  <si>
    <t>m</t>
  </si>
  <si>
    <t>L1 to m</t>
  </si>
  <si>
    <t>m to L2</t>
  </si>
  <si>
    <t>O1</t>
  </si>
  <si>
    <t>O2</t>
  </si>
  <si>
    <t>A1</t>
  </si>
  <si>
    <t>A2</t>
  </si>
  <si>
    <t>C inc b</t>
  </si>
  <si>
    <t>Row</t>
  </si>
  <si>
    <t>Column</t>
  </si>
  <si>
    <t>Dimension</t>
  </si>
  <si>
    <t>Data</t>
  </si>
  <si>
    <t>Buffer AOI</t>
  </si>
  <si>
    <t>Ordinate Rows</t>
  </si>
  <si>
    <t>Z</t>
  </si>
  <si>
    <t>Vertex</t>
  </si>
  <si>
    <t>Normal</t>
  </si>
  <si>
    <t>Colour Value</t>
  </si>
  <si>
    <t>Byte Value</t>
  </si>
  <si>
    <t>Distance</t>
  </si>
  <si>
    <t>Known</t>
  </si>
  <si>
    <t>Buffer</t>
  </si>
  <si>
    <t>NK</t>
  </si>
  <si>
    <t>NA</t>
  </si>
  <si>
    <t>Light</t>
  </si>
  <si>
    <t>Computed</t>
  </si>
  <si>
    <t>Geometry</t>
  </si>
  <si>
    <t>Angle</t>
  </si>
  <si>
    <t>Sin</t>
  </si>
  <si>
    <t>Incr</t>
  </si>
  <si>
    <t>V to V</t>
  </si>
  <si>
    <t>A to M</t>
  </si>
  <si>
    <t>B to M</t>
  </si>
  <si>
    <t>Scalar</t>
  </si>
  <si>
    <t>Value</t>
  </si>
  <si>
    <t>Src Rows</t>
  </si>
  <si>
    <t>A Data</t>
  </si>
  <si>
    <t>-</t>
  </si>
  <si>
    <t>Average</t>
  </si>
  <si>
    <t>Correction</t>
  </si>
  <si>
    <t>XZ Incr</t>
  </si>
  <si>
    <t>RX</t>
  </si>
  <si>
    <t>RY</t>
  </si>
  <si>
    <t>xa</t>
  </si>
  <si>
    <t>ya</t>
  </si>
  <si>
    <t>za</t>
  </si>
  <si>
    <t>Shaded</t>
  </si>
  <si>
    <t>Attenuation</t>
  </si>
  <si>
    <t>With</t>
  </si>
  <si>
    <t>Without</t>
  </si>
  <si>
    <t>XD</t>
  </si>
  <si>
    <t>Zero Y</t>
  </si>
  <si>
    <t>YD</t>
  </si>
  <si>
    <t>ZD</t>
  </si>
  <si>
    <t>L</t>
  </si>
  <si>
    <t>z' = z*cos q - x*sin q</t>
  </si>
  <si>
    <t>x' = z*sin q + x*cos q</t>
  </si>
  <si>
    <t>y' = y</t>
  </si>
  <si>
    <t>Vector</t>
  </si>
  <si>
    <t>A to V</t>
  </si>
  <si>
    <t>Y axis</t>
  </si>
  <si>
    <t>Vec to A</t>
  </si>
  <si>
    <t>Plane</t>
  </si>
  <si>
    <t>Dot</t>
  </si>
  <si>
    <t>2D</t>
  </si>
  <si>
    <t>WWK</t>
  </si>
  <si>
    <t>x' = x*cos q - y*sin q</t>
  </si>
  <si>
    <t>y' = x*sin q + y*cos q</t>
  </si>
  <si>
    <t>XV</t>
  </si>
  <si>
    <t>YV</t>
  </si>
  <si>
    <t>V</t>
  </si>
  <si>
    <t>V to A</t>
  </si>
  <si>
    <t>Solution 1</t>
  </si>
  <si>
    <t>Solution 2</t>
  </si>
  <si>
    <t>Note:</t>
  </si>
  <si>
    <t>RZ</t>
  </si>
  <si>
    <t>z' = z</t>
  </si>
  <si>
    <t>Geom</t>
  </si>
  <si>
    <t>Rot Deg</t>
  </si>
  <si>
    <t>2D Vertex</t>
  </si>
  <si>
    <t>2D Light Vector</t>
  </si>
  <si>
    <t>Light C</t>
  </si>
  <si>
    <t>Value using 2D of orig norm</t>
  </si>
  <si>
    <t>Value at Zero using light vec</t>
  </si>
  <si>
    <t>Vector To Light @ y == zero</t>
  </si>
  <si>
    <t>Workings</t>
  </si>
  <si>
    <t>XZ Angle</t>
  </si>
  <si>
    <t>Plan</t>
  </si>
  <si>
    <t>Elevation</t>
  </si>
  <si>
    <t>Rotate to XY plane</t>
  </si>
  <si>
    <t>Rotate back from XY plane</t>
  </si>
  <si>
    <t>Shade</t>
  </si>
  <si>
    <t>1/d^2</t>
  </si>
  <si>
    <t>zd</t>
  </si>
  <si>
    <t>value</t>
  </si>
  <si>
    <t>value * intensity</t>
  </si>
  <si>
    <t>dist</t>
  </si>
  <si>
    <t>x</t>
  </si>
  <si>
    <t>y</t>
  </si>
  <si>
    <t>z</t>
  </si>
  <si>
    <t>deg</t>
  </si>
  <si>
    <t>rad</t>
  </si>
  <si>
    <t>x'</t>
  </si>
  <si>
    <t>y'</t>
  </si>
  <si>
    <t>z'</t>
  </si>
  <si>
    <t>x''</t>
  </si>
  <si>
    <t>y''</t>
  </si>
  <si>
    <t>z''</t>
  </si>
  <si>
    <t>Location</t>
  </si>
  <si>
    <t>Dist</t>
  </si>
  <si>
    <t>Scene</t>
  </si>
  <si>
    <t>Light To</t>
  </si>
  <si>
    <t>Atten</t>
  </si>
  <si>
    <t>( atten = 1 / dist ^ 2 )</t>
  </si>
  <si>
    <t>( s = att* dif )</t>
  </si>
  <si>
    <t>( dot =xs*xn + ys*yn + zs*zn )</t>
  </si>
  <si>
    <t>( shade = value * intensity )</t>
  </si>
  <si>
    <t>X dif</t>
  </si>
  <si>
    <t>Y dif</t>
  </si>
  <si>
    <t>Z dif</t>
  </si>
  <si>
    <t>Double checking shader input ouput</t>
  </si>
  <si>
    <t>Bitdepth</t>
  </si>
  <si>
    <t>Radius</t>
  </si>
  <si>
    <t>Byte</t>
  </si>
  <si>
    <t>Buffers</t>
  </si>
  <si>
    <t>Normals with  ==  values</t>
  </si>
  <si>
    <t>No Att</t>
  </si>
  <si>
    <t>Att</t>
  </si>
  <si>
    <t>A Sol2</t>
  </si>
  <si>
    <t>A Sol1</t>
  </si>
  <si>
    <t>A Sol 2</t>
  </si>
  <si>
    <t>A Sol 1</t>
  </si>
  <si>
    <t>note:</t>
  </si>
  <si>
    <t>Original Normal</t>
  </si>
  <si>
    <t>Note: normals pointing at light:</t>
  </si>
  <si>
    <t>Note: only uses Light locations and iteratively calculated values</t>
  </si>
  <si>
    <t xml:space="preserve">Note: uses values iteratively calculated </t>
  </si>
  <si>
    <t>Program Calculated Dot from Value</t>
  </si>
  <si>
    <t>Dot from Value</t>
  </si>
  <si>
    <t>Surface Shader &amp; Normals</t>
  </si>
  <si>
    <t>Test Value</t>
  </si>
  <si>
    <t>y' = y*cos q - z*sin q</t>
  </si>
  <si>
    <t>z' = y*sin q + z*cos q</t>
  </si>
  <si>
    <t>x' = x</t>
  </si>
  <si>
    <t>Rotate into XY plane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</si>
</sst>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#,##0.000"/>
    <numFmt numFmtId="168" formatCode="0.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1" fillId="0" borderId="4" xfId="0" applyFont="1" applyBorder="1"/>
    <xf numFmtId="0" fontId="0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/>
    <xf numFmtId="2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1" fillId="0" borderId="9" xfId="0" applyNumberFormat="1" applyFont="1" applyBorder="1" applyAlignment="1">
      <alignment horizontal="right" vertical="center"/>
    </xf>
    <xf numFmtId="2" fontId="1" fillId="0" borderId="11" xfId="0" applyNumberFormat="1" applyFont="1" applyBorder="1" applyAlignment="1">
      <alignment horizontal="right"/>
    </xf>
    <xf numFmtId="2" fontId="1" fillId="0" borderId="12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2" fontId="2" fillId="0" borderId="0" xfId="0" applyNumberFormat="1" applyFont="1" applyAlignment="1"/>
    <xf numFmtId="2" fontId="1" fillId="0" borderId="10" xfId="0" applyNumberFormat="1" applyFont="1" applyBorder="1" applyAlignment="1">
      <alignment horizontal="right" vertical="center"/>
    </xf>
    <xf numFmtId="0" fontId="0" fillId="0" borderId="0" xfId="0" applyFont="1" applyFill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" fillId="0" borderId="14" xfId="0" applyFont="1" applyBorder="1"/>
    <xf numFmtId="0" fontId="0" fillId="0" borderId="19" xfId="0" applyBorder="1"/>
    <xf numFmtId="0" fontId="0" fillId="0" borderId="19" xfId="0" applyBorder="1" applyAlignment="1">
      <alignment horizontal="center"/>
    </xf>
    <xf numFmtId="0" fontId="1" fillId="0" borderId="16" xfId="0" applyFont="1" applyBorder="1"/>
    <xf numFmtId="0" fontId="0" fillId="0" borderId="16" xfId="0" applyFont="1" applyBorder="1"/>
    <xf numFmtId="0" fontId="0" fillId="0" borderId="18" xfId="0" applyFont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/>
    <xf numFmtId="0" fontId="1" fillId="0" borderId="0" xfId="0" applyFont="1" applyBorder="1" applyAlignment="1"/>
    <xf numFmtId="0" fontId="1" fillId="0" borderId="0" xfId="0" applyFont="1" applyFill="1" applyBorder="1"/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20" xfId="0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16" xfId="0" applyFont="1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/>
    <xf numFmtId="0" fontId="1" fillId="0" borderId="4" xfId="0" applyFont="1" applyBorder="1" applyAlignment="1">
      <alignment horizontal="center"/>
    </xf>
    <xf numFmtId="0" fontId="0" fillId="0" borderId="5" xfId="0" applyBorder="1"/>
    <xf numFmtId="0" fontId="0" fillId="0" borderId="4" xfId="0" applyBorder="1" applyAlignment="1">
      <alignment horizontal="center"/>
    </xf>
    <xf numFmtId="0" fontId="1" fillId="0" borderId="5" xfId="0" applyFont="1" applyBorder="1"/>
    <xf numFmtId="0" fontId="0" fillId="0" borderId="8" xfId="0" applyBorder="1"/>
    <xf numFmtId="164" fontId="0" fillId="0" borderId="15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17" xfId="0" applyFont="1" applyBorder="1" applyAlignment="1">
      <alignment horizontal="center" vertical="center"/>
    </xf>
    <xf numFmtId="164" fontId="0" fillId="0" borderId="17" xfId="0" applyNumberFormat="1" applyFont="1" applyBorder="1" applyAlignment="1">
      <alignment horizontal="center"/>
    </xf>
    <xf numFmtId="164" fontId="0" fillId="0" borderId="20" xfId="0" applyNumberFormat="1" applyFon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Border="1" applyAlignment="1"/>
    <xf numFmtId="0" fontId="0" fillId="0" borderId="0" xfId="0" applyBorder="1" applyAlignment="1"/>
    <xf numFmtId="165" fontId="5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5" fontId="5" fillId="0" borderId="14" xfId="0" applyNumberFormat="1" applyFont="1" applyBorder="1" applyAlignment="1">
      <alignment horizontal="center"/>
    </xf>
    <xf numFmtId="0" fontId="0" fillId="0" borderId="16" xfId="0" applyBorder="1" applyAlignment="1"/>
    <xf numFmtId="165" fontId="0" fillId="0" borderId="16" xfId="0" applyNumberFormat="1" applyBorder="1" applyAlignment="1"/>
    <xf numFmtId="0" fontId="0" fillId="0" borderId="18" xfId="0" applyBorder="1" applyAlignment="1"/>
    <xf numFmtId="165" fontId="0" fillId="0" borderId="15" xfId="0" applyNumberFormat="1" applyBorder="1" applyAlignment="1">
      <alignment horizontal="center"/>
    </xf>
    <xf numFmtId="0" fontId="1" fillId="0" borderId="18" xfId="0" applyFont="1" applyBorder="1"/>
    <xf numFmtId="0" fontId="1" fillId="0" borderId="20" xfId="0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Border="1"/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Border="1" applyAlignment="1">
      <alignment vertic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/>
    </xf>
    <xf numFmtId="167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 vertical="center"/>
    </xf>
    <xf numFmtId="167" fontId="0" fillId="0" borderId="19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1" fillId="0" borderId="13" xfId="0" applyFont="1" applyBorder="1"/>
    <xf numFmtId="164" fontId="0" fillId="0" borderId="14" xfId="0" applyNumberFormat="1" applyFon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4" fontId="0" fillId="0" borderId="19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7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164" fontId="0" fillId="0" borderId="0" xfId="0" applyNumberFormat="1" applyBorder="1" applyAlignment="1">
      <alignment horizontal="left"/>
    </xf>
    <xf numFmtId="2" fontId="0" fillId="0" borderId="0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16" xfId="0" applyFill="1" applyBorder="1" applyAlignment="1">
      <alignment horizontal="center"/>
    </xf>
    <xf numFmtId="164" fontId="0" fillId="0" borderId="17" xfId="0" applyNumberFormat="1" applyBorder="1"/>
    <xf numFmtId="165" fontId="7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0" xfId="0" applyFont="1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67" fontId="6" fillId="0" borderId="0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164" fontId="0" fillId="0" borderId="19" xfId="0" applyNumberFormat="1" applyBorder="1" applyAlignment="1">
      <alignment horizontal="left"/>
    </xf>
    <xf numFmtId="167" fontId="8" fillId="0" borderId="0" xfId="0" applyNumberFormat="1" applyFont="1" applyBorder="1" applyAlignment="1">
      <alignment horizontal="center"/>
    </xf>
    <xf numFmtId="4" fontId="8" fillId="0" borderId="17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166" fontId="0" fillId="0" borderId="0" xfId="0" applyNumberFormat="1" applyBorder="1"/>
    <xf numFmtId="166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left"/>
    </xf>
    <xf numFmtId="0" fontId="0" fillId="0" borderId="15" xfId="0" applyFont="1" applyBorder="1" applyAlignment="1">
      <alignment horizontal="center"/>
    </xf>
    <xf numFmtId="167" fontId="6" fillId="0" borderId="19" xfId="0" applyNumberFormat="1" applyFont="1" applyBorder="1" applyAlignment="1">
      <alignment horizontal="center"/>
    </xf>
    <xf numFmtId="167" fontId="6" fillId="0" borderId="20" xfId="0" applyNumberFormat="1" applyFont="1" applyBorder="1" applyAlignment="1">
      <alignment horizontal="center"/>
    </xf>
    <xf numFmtId="166" fontId="6" fillId="0" borderId="17" xfId="0" applyNumberFormat="1" applyFont="1" applyBorder="1" applyAlignment="1">
      <alignment horizontal="center"/>
    </xf>
    <xf numFmtId="166" fontId="6" fillId="0" borderId="19" xfId="0" applyNumberFormat="1" applyFont="1" applyBorder="1" applyAlignment="1">
      <alignment horizontal="center" vertical="center"/>
    </xf>
    <xf numFmtId="166" fontId="6" fillId="0" borderId="20" xfId="0" applyNumberFormat="1" applyFont="1" applyBorder="1" applyAlignment="1">
      <alignment horizontal="center"/>
    </xf>
    <xf numFmtId="0" fontId="0" fillId="0" borderId="13" xfId="0" applyBorder="1" applyAlignment="1"/>
    <xf numFmtId="166" fontId="0" fillId="0" borderId="20" xfId="0" applyNumberFormat="1" applyBorder="1" applyAlignment="1">
      <alignment horizontal="center"/>
    </xf>
    <xf numFmtId="166" fontId="0" fillId="0" borderId="17" xfId="0" applyNumberFormat="1" applyBorder="1"/>
    <xf numFmtId="167" fontId="0" fillId="0" borderId="0" xfId="0" applyNumberFormat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6" fontId="4" fillId="0" borderId="0" xfId="0" applyNumberFormat="1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 vertical="center"/>
    </xf>
    <xf numFmtId="2" fontId="0" fillId="0" borderId="14" xfId="0" applyNumberFormat="1" applyBorder="1" applyAlignment="1">
      <alignment horizontal="center"/>
    </xf>
    <xf numFmtId="164" fontId="0" fillId="0" borderId="13" xfId="0" applyNumberFormat="1" applyFont="1" applyBorder="1" applyAlignment="1">
      <alignment horizontal="center"/>
    </xf>
    <xf numFmtId="164" fontId="0" fillId="0" borderId="16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4" fillId="0" borderId="1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center"/>
    </xf>
    <xf numFmtId="166" fontId="4" fillId="0" borderId="19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19" xfId="0" applyBorder="1" applyAlignment="1">
      <alignment horizontal="left"/>
    </xf>
    <xf numFmtId="167" fontId="6" fillId="0" borderId="17" xfId="0" applyNumberFormat="1" applyFont="1" applyBorder="1" applyAlignment="1">
      <alignment horizontal="center"/>
    </xf>
    <xf numFmtId="167" fontId="8" fillId="0" borderId="17" xfId="0" applyNumberFormat="1" applyFont="1" applyBorder="1" applyAlignment="1">
      <alignment horizontal="center"/>
    </xf>
    <xf numFmtId="0" fontId="0" fillId="0" borderId="17" xfId="0" applyBorder="1" applyAlignment="1"/>
    <xf numFmtId="0" fontId="0" fillId="0" borderId="18" xfId="0" applyFont="1" applyFill="1" applyBorder="1" applyAlignment="1">
      <alignment horizontal="center"/>
    </xf>
    <xf numFmtId="164" fontId="0" fillId="0" borderId="18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66" fontId="0" fillId="0" borderId="16" xfId="0" applyNumberFormat="1" applyBorder="1"/>
    <xf numFmtId="0" fontId="10" fillId="0" borderId="11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19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4" fillId="0" borderId="1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'Surface Shader Good'!$T$3:$T$4</c:f>
              <c:numCache>
                <c:formatCode>0.000</c:formatCode>
                <c:ptCount val="2"/>
                <c:pt idx="0">
                  <c:v>-37.5</c:v>
                </c:pt>
                <c:pt idx="1">
                  <c:v>-42.412319883712456</c:v>
                </c:pt>
              </c:numCache>
            </c:numRef>
          </c:xVal>
          <c:yVal>
            <c:numRef>
              <c:f>'Surface Shader Good'!$U$3:$U$4</c:f>
              <c:numCache>
                <c:formatCode>0.000</c:formatCode>
                <c:ptCount val="2"/>
                <c:pt idx="0">
                  <c:v>0</c:v>
                </c:pt>
                <c:pt idx="1">
                  <c:v>29.573367014203402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1-471E-B6CB-03DDFDE41459}"/>
            </c:ext>
          </c:extLst>
        </c:ser>
        <c:ser>
          <c:idx val="1"/>
          <c:order val="1"/>
          <c:tx>
            <c:v>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'Surface Shader Good'!$T$6:$T$7</c:f>
              <c:numCache>
                <c:formatCode>0.000</c:formatCode>
                <c:ptCount val="2"/>
                <c:pt idx="0">
                  <c:v>-37.5</c:v>
                </c:pt>
                <c:pt idx="1">
                  <c:v>-42.403068244557154</c:v>
                </c:pt>
              </c:numCache>
            </c:numRef>
          </c:xVal>
          <c:yVal>
            <c:numRef>
              <c:f>'Surface Shader Good'!$U$6:$U$7</c:f>
              <c:numCache>
                <c:formatCode>0.000</c:formatCode>
                <c:ptCount val="2"/>
                <c:pt idx="0">
                  <c:v>0</c:v>
                </c:pt>
                <c:pt idx="1">
                  <c:v>29.586493280875757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A1-471E-B6CB-03DDFDE41459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502113824"/>
        <c:axId val="502107920"/>
      </c:scatterChart>
      <c:valAx>
        <c:axId val="50211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07920"/>
        <c:crosses val="autoZero"/>
        <c:crossBetween val="midCat"/>
      </c:valAx>
      <c:valAx>
        <c:axId val="50210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1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'Four Pass'!$N$7:$N$47</c:f>
              <c:numCache>
                <c:formatCode>0.000</c:formatCode>
                <c:ptCount val="41"/>
                <c:pt idx="0">
                  <c:v>-200</c:v>
                </c:pt>
                <c:pt idx="1">
                  <c:v>-37.5</c:v>
                </c:pt>
                <c:pt idx="3">
                  <c:v>0</c:v>
                </c:pt>
                <c:pt idx="4">
                  <c:v>-37.5</c:v>
                </c:pt>
                <c:pt idx="6">
                  <c:v>200</c:v>
                </c:pt>
                <c:pt idx="7">
                  <c:v>-37.5</c:v>
                </c:pt>
                <c:pt idx="9">
                  <c:v>0</c:v>
                </c:pt>
                <c:pt idx="10">
                  <c:v>-37.5</c:v>
                </c:pt>
                <c:pt idx="12">
                  <c:v>-50</c:v>
                </c:pt>
                <c:pt idx="13">
                  <c:v>50</c:v>
                </c:pt>
                <c:pt idx="15">
                  <c:v>50</c:v>
                </c:pt>
                <c:pt idx="16">
                  <c:v>50</c:v>
                </c:pt>
                <c:pt idx="18">
                  <c:v>50</c:v>
                </c:pt>
                <c:pt idx="19">
                  <c:v>-50</c:v>
                </c:pt>
                <c:pt idx="21">
                  <c:v>-50</c:v>
                </c:pt>
                <c:pt idx="22">
                  <c:v>-50</c:v>
                </c:pt>
                <c:pt idx="24">
                  <c:v>-48.027683635356709</c:v>
                </c:pt>
                <c:pt idx="25">
                  <c:v>-37.5</c:v>
                </c:pt>
                <c:pt idx="27">
                  <c:v>-34.746398916792742</c:v>
                </c:pt>
                <c:pt idx="28">
                  <c:v>-37.5</c:v>
                </c:pt>
                <c:pt idx="30">
                  <c:v>-17.836945337548816</c:v>
                </c:pt>
                <c:pt idx="31">
                  <c:v>-37.5</c:v>
                </c:pt>
                <c:pt idx="33">
                  <c:v>-34.522971479951487</c:v>
                </c:pt>
                <c:pt idx="34">
                  <c:v>-37.5</c:v>
                </c:pt>
                <c:pt idx="36">
                  <c:v>-62.639795974637948</c:v>
                </c:pt>
                <c:pt idx="37">
                  <c:v>-37.5</c:v>
                </c:pt>
                <c:pt idx="39">
                  <c:v>-47.918890660015819</c:v>
                </c:pt>
                <c:pt idx="40">
                  <c:v>-37.5</c:v>
                </c:pt>
              </c:numCache>
            </c:numRef>
          </c:xVal>
          <c:yVal>
            <c:numRef>
              <c:f>'Four Pass'!$O$7:$O$47</c:f>
              <c:numCache>
                <c:formatCode>0.000</c:formatCode>
                <c:ptCount val="41"/>
                <c:pt idx="0">
                  <c:v>0</c:v>
                </c:pt>
                <c:pt idx="1">
                  <c:v>37.5</c:v>
                </c:pt>
                <c:pt idx="3">
                  <c:v>200</c:v>
                </c:pt>
                <c:pt idx="4">
                  <c:v>37.5</c:v>
                </c:pt>
                <c:pt idx="6">
                  <c:v>0</c:v>
                </c:pt>
                <c:pt idx="7">
                  <c:v>37.5</c:v>
                </c:pt>
                <c:pt idx="9">
                  <c:v>-200</c:v>
                </c:pt>
                <c:pt idx="10">
                  <c:v>37.5</c:v>
                </c:pt>
                <c:pt idx="12">
                  <c:v>50</c:v>
                </c:pt>
                <c:pt idx="13">
                  <c:v>50</c:v>
                </c:pt>
                <c:pt idx="15">
                  <c:v>50</c:v>
                </c:pt>
                <c:pt idx="16">
                  <c:v>-50</c:v>
                </c:pt>
                <c:pt idx="18">
                  <c:v>-50</c:v>
                </c:pt>
                <c:pt idx="19">
                  <c:v>-50</c:v>
                </c:pt>
                <c:pt idx="21">
                  <c:v>-50</c:v>
                </c:pt>
                <c:pt idx="22">
                  <c:v>50</c:v>
                </c:pt>
                <c:pt idx="24">
                  <c:v>35.070534545686911</c:v>
                </c:pt>
                <c:pt idx="25">
                  <c:v>37.5</c:v>
                </c:pt>
                <c:pt idx="27">
                  <c:v>49.432271360564769</c:v>
                </c:pt>
                <c:pt idx="28">
                  <c:v>37.5</c:v>
                </c:pt>
                <c:pt idx="30">
                  <c:v>34.395307158560342</c:v>
                </c:pt>
                <c:pt idx="31">
                  <c:v>37.5</c:v>
                </c:pt>
                <c:pt idx="33">
                  <c:v>18.645486039692742</c:v>
                </c:pt>
                <c:pt idx="34">
                  <c:v>37.5</c:v>
                </c:pt>
                <c:pt idx="36">
                  <c:v>31.698508621237391</c:v>
                </c:pt>
                <c:pt idx="37">
                  <c:v>37.5</c:v>
                </c:pt>
                <c:pt idx="39">
                  <c:v>37.5</c:v>
                </c:pt>
                <c:pt idx="40">
                  <c:v>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0D1-B7C3-8A66B69AE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67520"/>
        <c:axId val="486869816"/>
      </c:scatterChart>
      <c:valAx>
        <c:axId val="48686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9816"/>
        <c:crosses val="autoZero"/>
        <c:crossBetween val="midCat"/>
      </c:valAx>
      <c:valAx>
        <c:axId val="48686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Front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'Four Pass'!$AB$7:$AB$38</c:f>
              <c:numCache>
                <c:formatCode>0.000</c:formatCode>
                <c:ptCount val="32"/>
                <c:pt idx="0">
                  <c:v>-200</c:v>
                </c:pt>
                <c:pt idx="1">
                  <c:v>-37.5</c:v>
                </c:pt>
                <c:pt idx="3">
                  <c:v>0</c:v>
                </c:pt>
                <c:pt idx="4">
                  <c:v>-37.5</c:v>
                </c:pt>
                <c:pt idx="6">
                  <c:v>200</c:v>
                </c:pt>
                <c:pt idx="7">
                  <c:v>-37.5</c:v>
                </c:pt>
                <c:pt idx="9">
                  <c:v>0</c:v>
                </c:pt>
                <c:pt idx="10">
                  <c:v>-37.5</c:v>
                </c:pt>
                <c:pt idx="12" formatCode="General">
                  <c:v>-50</c:v>
                </c:pt>
                <c:pt idx="13" formatCode="General">
                  <c:v>50</c:v>
                </c:pt>
                <c:pt idx="15">
                  <c:v>-48.027683635356709</c:v>
                </c:pt>
                <c:pt idx="16">
                  <c:v>-37.5</c:v>
                </c:pt>
                <c:pt idx="18">
                  <c:v>-34.746398916792742</c:v>
                </c:pt>
                <c:pt idx="19">
                  <c:v>-37.5</c:v>
                </c:pt>
                <c:pt idx="21">
                  <c:v>-17.836945337548816</c:v>
                </c:pt>
                <c:pt idx="22">
                  <c:v>-37.5</c:v>
                </c:pt>
                <c:pt idx="24">
                  <c:v>-34.522971479951487</c:v>
                </c:pt>
                <c:pt idx="25">
                  <c:v>-37.5</c:v>
                </c:pt>
                <c:pt idx="27">
                  <c:v>-62.639795974637948</c:v>
                </c:pt>
                <c:pt idx="28">
                  <c:v>-37.5</c:v>
                </c:pt>
                <c:pt idx="30" formatCode="General">
                  <c:v>-47.918890660015819</c:v>
                </c:pt>
                <c:pt idx="31">
                  <c:v>-37.5</c:v>
                </c:pt>
              </c:numCache>
            </c:numRef>
          </c:xVal>
          <c:yVal>
            <c:numRef>
              <c:f>'Four Pass'!$AC$7:$AC$38</c:f>
              <c:numCache>
                <c:formatCode>0.000</c:formatCode>
                <c:ptCount val="32"/>
                <c:pt idx="0">
                  <c:v>200</c:v>
                </c:pt>
                <c:pt idx="1">
                  <c:v>2.75</c:v>
                </c:pt>
                <c:pt idx="3">
                  <c:v>200</c:v>
                </c:pt>
                <c:pt idx="4">
                  <c:v>2.75</c:v>
                </c:pt>
                <c:pt idx="6">
                  <c:v>200</c:v>
                </c:pt>
                <c:pt idx="7">
                  <c:v>2.75</c:v>
                </c:pt>
                <c:pt idx="9">
                  <c:v>200</c:v>
                </c:pt>
                <c:pt idx="10">
                  <c:v>2.75</c:v>
                </c:pt>
                <c:pt idx="12" formatCode="General">
                  <c:v>0</c:v>
                </c:pt>
                <c:pt idx="13" formatCode="General">
                  <c:v>0</c:v>
                </c:pt>
                <c:pt idx="15">
                  <c:v>30.736882192915701</c:v>
                </c:pt>
                <c:pt idx="16">
                  <c:v>2.75</c:v>
                </c:pt>
                <c:pt idx="18">
                  <c:v>30.136832260274382</c:v>
                </c:pt>
                <c:pt idx="19">
                  <c:v>2.75</c:v>
                </c:pt>
                <c:pt idx="21">
                  <c:v>25.193822395077227</c:v>
                </c:pt>
                <c:pt idx="22">
                  <c:v>2.75</c:v>
                </c:pt>
                <c:pt idx="24">
                  <c:v>25.893997159336934</c:v>
                </c:pt>
                <c:pt idx="25">
                  <c:v>2.75</c:v>
                </c:pt>
                <c:pt idx="27">
                  <c:v>18.057950749062424</c:v>
                </c:pt>
                <c:pt idx="28">
                  <c:v>2.75</c:v>
                </c:pt>
                <c:pt idx="30" formatCode="General">
                  <c:v>61.838465180732484</c:v>
                </c:pt>
                <c:pt idx="31">
                  <c:v>2.75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2-4CDC-9232-80B6F221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935320"/>
        <c:axId val="620927448"/>
      </c:scatterChart>
      <c:valAx>
        <c:axId val="62093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27448"/>
        <c:crosses val="autoZero"/>
        <c:crossBetween val="midCat"/>
      </c:valAx>
      <c:valAx>
        <c:axId val="62092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3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Pass'!$K$30:$K$40</c:f>
              <c:numCache>
                <c:formatCode>0.0000</c:formatCode>
                <c:ptCount val="11"/>
                <c:pt idx="0">
                  <c:v>-163.12978920172733</c:v>
                </c:pt>
                <c:pt idx="1">
                  <c:v>0</c:v>
                </c:pt>
                <c:pt idx="3">
                  <c:v>0</c:v>
                </c:pt>
                <c:pt idx="4">
                  <c:v>-19.119268052812551</c:v>
                </c:pt>
                <c:pt idx="6">
                  <c:v>0</c:v>
                </c:pt>
                <c:pt idx="7">
                  <c:v>-7.5577459197714649</c:v>
                </c:pt>
                <c:pt idx="9">
                  <c:v>0</c:v>
                </c:pt>
                <c:pt idx="10">
                  <c:v>-27.098137117638657</c:v>
                </c:pt>
              </c:numCache>
            </c:numRef>
          </c:xVal>
          <c:yVal>
            <c:numRef>
              <c:f>'Two Pass'!$L$30:$L$40</c:f>
              <c:numCache>
                <c:formatCode>0.0000</c:formatCode>
                <c:ptCount val="11"/>
                <c:pt idx="0">
                  <c:v>197.25</c:v>
                </c:pt>
                <c:pt idx="1">
                  <c:v>0</c:v>
                </c:pt>
                <c:pt idx="3">
                  <c:v>0</c:v>
                </c:pt>
                <c:pt idx="4">
                  <c:v>23.118252293906245</c:v>
                </c:pt>
                <c:pt idx="6">
                  <c:v>0</c:v>
                </c:pt>
                <c:pt idx="7">
                  <c:v>29.032403906879249</c:v>
                </c:pt>
                <c:pt idx="9">
                  <c:v>0</c:v>
                </c:pt>
                <c:pt idx="10">
                  <c:v>12.872100246410998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4CC-A798-949CF3F5B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36440"/>
        <c:axId val="405737096"/>
      </c:scatterChart>
      <c:valAx>
        <c:axId val="40573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7096"/>
        <c:crosses val="autoZero"/>
        <c:crossBetween val="midCat"/>
      </c:valAx>
      <c:valAx>
        <c:axId val="40573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Pass'!$M$30:$M$40</c:f>
              <c:numCache>
                <c:formatCode>0.0000</c:formatCode>
                <c:ptCount val="11"/>
                <c:pt idx="0">
                  <c:v>248.21629302888238</c:v>
                </c:pt>
                <c:pt idx="1">
                  <c:v>0</c:v>
                </c:pt>
                <c:pt idx="3">
                  <c:v>0</c:v>
                </c:pt>
                <c:pt idx="4">
                  <c:v>23.487008051913037</c:v>
                </c:pt>
                <c:pt idx="6">
                  <c:v>0</c:v>
                </c:pt>
                <c:pt idx="7">
                  <c:v>28.454174644036762</c:v>
                </c:pt>
                <c:pt idx="9">
                  <c:v>0</c:v>
                </c:pt>
                <c:pt idx="10">
                  <c:v>15.68696165740703</c:v>
                </c:pt>
              </c:numCache>
            </c:numRef>
          </c:xVal>
          <c:yVal>
            <c:numRef>
              <c:f>'Two Pass'!$N$30:$N$40</c:f>
              <c:numCache>
                <c:formatCode>0.0000</c:formatCode>
                <c:ptCount val="11"/>
                <c:pt idx="0">
                  <c:v>197.25</c:v>
                </c:pt>
                <c:pt idx="1">
                  <c:v>0</c:v>
                </c:pt>
                <c:pt idx="3">
                  <c:v>0</c:v>
                </c:pt>
                <c:pt idx="4">
                  <c:v>18.664416754063659</c:v>
                </c:pt>
                <c:pt idx="6">
                  <c:v>0</c:v>
                </c:pt>
                <c:pt idx="7">
                  <c:v>9.505784834860064</c:v>
                </c:pt>
                <c:pt idx="9">
                  <c:v>0</c:v>
                </c:pt>
                <c:pt idx="10">
                  <c:v>25.571844555272929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2-4D3D-8810-B7CBBDEF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69096"/>
        <c:axId val="570875328"/>
      </c:scatterChart>
      <c:valAx>
        <c:axId val="57086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75328"/>
        <c:crosses val="autoZero"/>
        <c:crossBetween val="midCat"/>
      </c:valAx>
      <c:valAx>
        <c:axId val="570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6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Pass'!$N$32:$N$45</c:f>
              <c:numCache>
                <c:formatCode>0.000</c:formatCode>
                <c:ptCount val="14"/>
                <c:pt idx="0">
                  <c:v>-200</c:v>
                </c:pt>
                <c:pt idx="1">
                  <c:v>-43.75</c:v>
                </c:pt>
                <c:pt idx="3">
                  <c:v>0</c:v>
                </c:pt>
                <c:pt idx="4">
                  <c:v>0</c:v>
                </c:pt>
                <c:pt idx="6">
                  <c:v>-43.75</c:v>
                </c:pt>
                <c:pt idx="7">
                  <c:v>-62.102644784234897</c:v>
                </c:pt>
                <c:pt idx="9">
                  <c:v>-43.75</c:v>
                </c:pt>
                <c:pt idx="10">
                  <c:v>-48.95944533000791</c:v>
                </c:pt>
                <c:pt idx="12" formatCode="General">
                  <c:v>-73.294232590366249</c:v>
                </c:pt>
                <c:pt idx="13" formatCode="General">
                  <c:v>-14.205767409633758</c:v>
                </c:pt>
              </c:numCache>
            </c:numRef>
          </c:xVal>
          <c:yVal>
            <c:numRef>
              <c:f>' Single Pass'!$O$32:$O$45</c:f>
              <c:numCache>
                <c:formatCode>0.000</c:formatCode>
                <c:ptCount val="14"/>
                <c:pt idx="0">
                  <c:v>200</c:v>
                </c:pt>
                <c:pt idx="1">
                  <c:v>2.75</c:v>
                </c:pt>
                <c:pt idx="3">
                  <c:v>200</c:v>
                </c:pt>
                <c:pt idx="4">
                  <c:v>0</c:v>
                </c:pt>
                <c:pt idx="6">
                  <c:v>2.75</c:v>
                </c:pt>
                <c:pt idx="7">
                  <c:v>25.918378775618141</c:v>
                </c:pt>
                <c:pt idx="9">
                  <c:v>2.75</c:v>
                </c:pt>
                <c:pt idx="10">
                  <c:v>32.294232590366242</c:v>
                </c:pt>
                <c:pt idx="12" formatCode="General">
                  <c:v>-2.4594453300079095</c:v>
                </c:pt>
                <c:pt idx="13" formatCode="General">
                  <c:v>7.9594453300079095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B-452B-8502-B02A818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20008"/>
        <c:axId val="412523616"/>
      </c:scatterChart>
      <c:valAx>
        <c:axId val="41252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23616"/>
        <c:crosses val="autoZero"/>
        <c:crossBetween val="midCat"/>
      </c:valAx>
      <c:valAx>
        <c:axId val="4125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2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Pass'!$X$32:$X$42</c:f>
              <c:numCache>
                <c:formatCode>0.0000</c:formatCode>
                <c:ptCount val="11"/>
                <c:pt idx="0">
                  <c:v>224.13128067566254</c:v>
                </c:pt>
                <c:pt idx="1">
                  <c:v>61.871843353822911</c:v>
                </c:pt>
                <c:pt idx="3">
                  <c:v>61.871843353822911</c:v>
                </c:pt>
                <c:pt idx="4">
                  <c:v>80.772737942556461</c:v>
                </c:pt>
                <c:pt idx="6">
                  <c:v>61.871843353822911</c:v>
                </c:pt>
                <c:pt idx="7">
                  <c:v>56.174468586550681</c:v>
                </c:pt>
                <c:pt idx="9">
                  <c:v>61.871843353822911</c:v>
                </c:pt>
                <c:pt idx="10">
                  <c:v>91.867739828353706</c:v>
                </c:pt>
              </c:numCache>
            </c:numRef>
          </c:xVal>
          <c:yVal>
            <c:numRef>
              <c:f>' Single Pass'!$Y$32:$Y$42</c:f>
              <c:numCache>
                <c:formatCode>0.0000</c:formatCode>
                <c:ptCount val="11"/>
                <c:pt idx="0">
                  <c:v>200</c:v>
                </c:pt>
                <c:pt idx="1">
                  <c:v>0</c:v>
                </c:pt>
                <c:pt idx="3">
                  <c:v>0</c:v>
                </c:pt>
                <c:pt idx="4">
                  <c:v>23.297128229581926</c:v>
                </c:pt>
                <c:pt idx="6">
                  <c:v>0</c:v>
                </c:pt>
                <c:pt idx="7">
                  <c:v>29.454030636930661</c:v>
                </c:pt>
                <c:pt idx="9">
                  <c:v>0</c:v>
                </c:pt>
                <c:pt idx="10">
                  <c:v>0.49618009757687209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C-4BE4-B920-82983045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36440"/>
        <c:axId val="405737096"/>
      </c:scatterChart>
      <c:valAx>
        <c:axId val="40573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7096"/>
        <c:crosses val="autoZero"/>
        <c:crossBetween val="midCat"/>
      </c:valAx>
      <c:valAx>
        <c:axId val="40573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Pass'!$AA$32:$AA$42</c:f>
              <c:numCache>
                <c:formatCode>0.0000</c:formatCode>
                <c:ptCount val="11"/>
                <c:pt idx="0">
                  <c:v>309.5170028058098</c:v>
                </c:pt>
                <c:pt idx="1">
                  <c:v>61.871843353822911</c:v>
                </c:pt>
                <c:pt idx="3">
                  <c:v>61.871843353822911</c:v>
                </c:pt>
                <c:pt idx="4">
                  <c:v>85.211050309963412</c:v>
                </c:pt>
                <c:pt idx="6">
                  <c:v>61.871843353822911</c:v>
                </c:pt>
                <c:pt idx="7">
                  <c:v>49.945591166305157</c:v>
                </c:pt>
                <c:pt idx="9">
                  <c:v>61.871843353822911</c:v>
                </c:pt>
                <c:pt idx="10">
                  <c:v>86.272359073167365</c:v>
                </c:pt>
              </c:numCache>
            </c:numRef>
          </c:xVal>
          <c:yVal>
            <c:numRef>
              <c:f>' Single Pass'!$AB$32:$AB$42</c:f>
              <c:numCache>
                <c:formatCode>0.0000</c:formatCode>
                <c:ptCount val="11"/>
                <c:pt idx="0">
                  <c:v>200</c:v>
                </c:pt>
                <c:pt idx="1">
                  <c:v>0</c:v>
                </c:pt>
                <c:pt idx="3">
                  <c:v>0</c:v>
                </c:pt>
                <c:pt idx="4">
                  <c:v>18.848910277743979</c:v>
                </c:pt>
                <c:pt idx="6">
                  <c:v>0</c:v>
                </c:pt>
                <c:pt idx="7">
                  <c:v>27.527522750144591</c:v>
                </c:pt>
                <c:pt idx="9">
                  <c:v>0</c:v>
                </c:pt>
                <c:pt idx="10">
                  <c:v>-17.453218403206456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E-484F-8AF0-3554B0219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69096"/>
        <c:axId val="570875328"/>
      </c:scatterChart>
      <c:valAx>
        <c:axId val="57086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75328"/>
        <c:crosses val="autoZero"/>
        <c:crossBetween val="midCat"/>
      </c:valAx>
      <c:valAx>
        <c:axId val="570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6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'Spider with Data'!$U$5:$U$27</c:f>
              <c:numCache>
                <c:formatCode>0.00</c:formatCode>
                <c:ptCount val="23"/>
                <c:pt idx="0">
                  <c:v>-200</c:v>
                </c:pt>
                <c:pt idx="1">
                  <c:v>-50</c:v>
                </c:pt>
                <c:pt idx="3">
                  <c:v>-50</c:v>
                </c:pt>
                <c:pt idx="4">
                  <c:v>200</c:v>
                </c:pt>
                <c:pt idx="6">
                  <c:v>-200</c:v>
                </c:pt>
                <c:pt idx="7">
                  <c:v>-50</c:v>
                </c:pt>
                <c:pt idx="9">
                  <c:v>-50</c:v>
                </c:pt>
                <c:pt idx="10">
                  <c:v>-50</c:v>
                </c:pt>
                <c:pt idx="12">
                  <c:v>200</c:v>
                </c:pt>
                <c:pt idx="13">
                  <c:v>-50</c:v>
                </c:pt>
                <c:pt idx="15" formatCode="0.0000">
                  <c:v>-50</c:v>
                </c:pt>
                <c:pt idx="16" formatCode="0.0000">
                  <c:v>-82.2</c:v>
                </c:pt>
                <c:pt idx="18" formatCode="0.0000">
                  <c:v>-50</c:v>
                </c:pt>
                <c:pt idx="19" formatCode="General">
                  <c:v>-61.68</c:v>
                </c:pt>
                <c:pt idx="21" formatCode="0.0000">
                  <c:v>-50</c:v>
                </c:pt>
                <c:pt idx="22" formatCode="0.0000">
                  <c:v>-38.32</c:v>
                </c:pt>
              </c:numCache>
            </c:numRef>
          </c:xVal>
          <c:yVal>
            <c:numRef>
              <c:f>'Spider with Data'!$V$5:$V$27</c:f>
              <c:numCache>
                <c:formatCode>0.00</c:formatCode>
                <c:ptCount val="23"/>
                <c:pt idx="0">
                  <c:v>200</c:v>
                </c:pt>
                <c:pt idx="1">
                  <c:v>200</c:v>
                </c:pt>
                <c:pt idx="3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0</c:v>
                </c:pt>
                <c:pt idx="9">
                  <c:v>200</c:v>
                </c:pt>
                <c:pt idx="10">
                  <c:v>0</c:v>
                </c:pt>
                <c:pt idx="12">
                  <c:v>200</c:v>
                </c:pt>
                <c:pt idx="13">
                  <c:v>0</c:v>
                </c:pt>
                <c:pt idx="15" formatCode="0.0000">
                  <c:v>0</c:v>
                </c:pt>
                <c:pt idx="16" formatCode="0.0000">
                  <c:v>11.68</c:v>
                </c:pt>
                <c:pt idx="18" formatCode="0.0000">
                  <c:v>0</c:v>
                </c:pt>
                <c:pt idx="19" formatCode="General">
                  <c:v>-32.200000000000003</c:v>
                </c:pt>
                <c:pt idx="21" formatCode="0.0000">
                  <c:v>0</c:v>
                </c:pt>
                <c:pt idx="22" formatCode="0.0000">
                  <c:v>32.200000000000003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DA4-8681-A7C7F42DC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711280"/>
        <c:axId val="409700784"/>
      </c:scatterChart>
      <c:valAx>
        <c:axId val="40971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00784"/>
        <c:crosses val="autoZero"/>
        <c:crossBetween val="midCat"/>
      </c:valAx>
      <c:valAx>
        <c:axId val="4097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Surface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Surf!$A$1:$A$64</c:f>
              <c:numCache>
                <c:formatCode>General</c:formatCode>
                <c:ptCount val="64"/>
                <c:pt idx="0">
                  <c:v>50</c:v>
                </c:pt>
                <c:pt idx="1">
                  <c:v>49.902000000000001</c:v>
                </c:pt>
                <c:pt idx="2">
                  <c:v>49.805</c:v>
                </c:pt>
                <c:pt idx="3">
                  <c:v>49.707000000000001</c:v>
                </c:pt>
                <c:pt idx="4">
                  <c:v>49.609000000000002</c:v>
                </c:pt>
                <c:pt idx="5">
                  <c:v>49.512</c:v>
                </c:pt>
                <c:pt idx="6">
                  <c:v>49.414000000000001</c:v>
                </c:pt>
                <c:pt idx="7">
                  <c:v>49.316000000000003</c:v>
                </c:pt>
                <c:pt idx="8">
                  <c:v>49.219000000000001</c:v>
                </c:pt>
                <c:pt idx="9">
                  <c:v>49.121000000000002</c:v>
                </c:pt>
                <c:pt idx="10">
                  <c:v>49.023000000000003</c:v>
                </c:pt>
                <c:pt idx="11">
                  <c:v>48.926000000000002</c:v>
                </c:pt>
                <c:pt idx="12">
                  <c:v>48.828000000000003</c:v>
                </c:pt>
                <c:pt idx="13">
                  <c:v>48.73</c:v>
                </c:pt>
                <c:pt idx="14">
                  <c:v>48.633000000000003</c:v>
                </c:pt>
                <c:pt idx="15">
                  <c:v>48.534999999999997</c:v>
                </c:pt>
                <c:pt idx="16">
                  <c:v>48.438000000000002</c:v>
                </c:pt>
                <c:pt idx="17">
                  <c:v>48.34</c:v>
                </c:pt>
                <c:pt idx="18">
                  <c:v>48.241999999999997</c:v>
                </c:pt>
                <c:pt idx="19">
                  <c:v>48.145000000000003</c:v>
                </c:pt>
                <c:pt idx="20">
                  <c:v>48.046999999999997</c:v>
                </c:pt>
                <c:pt idx="21">
                  <c:v>47.948999999999998</c:v>
                </c:pt>
                <c:pt idx="22">
                  <c:v>47.851999999999997</c:v>
                </c:pt>
                <c:pt idx="23">
                  <c:v>47.753999999999998</c:v>
                </c:pt>
                <c:pt idx="24">
                  <c:v>47.655999999999999</c:v>
                </c:pt>
                <c:pt idx="25">
                  <c:v>47.558999999999997</c:v>
                </c:pt>
                <c:pt idx="26">
                  <c:v>47.460999999999999</c:v>
                </c:pt>
                <c:pt idx="27">
                  <c:v>47.363</c:v>
                </c:pt>
                <c:pt idx="28">
                  <c:v>47.265999999999998</c:v>
                </c:pt>
                <c:pt idx="29">
                  <c:v>47.167999999999999</c:v>
                </c:pt>
                <c:pt idx="30">
                  <c:v>47.07</c:v>
                </c:pt>
                <c:pt idx="31">
                  <c:v>46.972999999999999</c:v>
                </c:pt>
                <c:pt idx="32">
                  <c:v>46.875</c:v>
                </c:pt>
                <c:pt idx="33">
                  <c:v>46.777000000000001</c:v>
                </c:pt>
                <c:pt idx="34">
                  <c:v>46.68</c:v>
                </c:pt>
                <c:pt idx="35">
                  <c:v>46.582000000000001</c:v>
                </c:pt>
                <c:pt idx="36">
                  <c:v>46.484000000000002</c:v>
                </c:pt>
                <c:pt idx="37">
                  <c:v>46.387</c:v>
                </c:pt>
                <c:pt idx="38">
                  <c:v>46.289000000000001</c:v>
                </c:pt>
                <c:pt idx="39">
                  <c:v>46.191000000000003</c:v>
                </c:pt>
                <c:pt idx="40">
                  <c:v>46.094000000000001</c:v>
                </c:pt>
                <c:pt idx="41">
                  <c:v>45.996000000000002</c:v>
                </c:pt>
                <c:pt idx="42">
                  <c:v>45.898000000000003</c:v>
                </c:pt>
                <c:pt idx="43">
                  <c:v>45.801000000000002</c:v>
                </c:pt>
                <c:pt idx="44">
                  <c:v>45.703000000000003</c:v>
                </c:pt>
                <c:pt idx="45">
                  <c:v>45.604999999999997</c:v>
                </c:pt>
                <c:pt idx="46">
                  <c:v>45.508000000000003</c:v>
                </c:pt>
                <c:pt idx="47">
                  <c:v>45.41</c:v>
                </c:pt>
                <c:pt idx="48">
                  <c:v>45.313000000000002</c:v>
                </c:pt>
                <c:pt idx="49">
                  <c:v>45.215000000000003</c:v>
                </c:pt>
                <c:pt idx="50">
                  <c:v>45.116999999999997</c:v>
                </c:pt>
                <c:pt idx="51">
                  <c:v>45.02</c:v>
                </c:pt>
                <c:pt idx="52">
                  <c:v>44.921999999999997</c:v>
                </c:pt>
                <c:pt idx="53">
                  <c:v>44.823999999999998</c:v>
                </c:pt>
                <c:pt idx="54">
                  <c:v>44.726999999999997</c:v>
                </c:pt>
                <c:pt idx="55">
                  <c:v>44.628999999999998</c:v>
                </c:pt>
                <c:pt idx="56">
                  <c:v>44.530999999999999</c:v>
                </c:pt>
                <c:pt idx="57">
                  <c:v>44.433999999999997</c:v>
                </c:pt>
                <c:pt idx="58">
                  <c:v>44.335999999999999</c:v>
                </c:pt>
                <c:pt idx="59">
                  <c:v>44.238</c:v>
                </c:pt>
                <c:pt idx="60">
                  <c:v>44.140999999999998</c:v>
                </c:pt>
                <c:pt idx="61">
                  <c:v>44.042999999999999</c:v>
                </c:pt>
                <c:pt idx="62">
                  <c:v>43.945</c:v>
                </c:pt>
                <c:pt idx="63">
                  <c:v>43.847999999999999</c:v>
                </c:pt>
              </c:numCache>
            </c:numRef>
          </c:xVal>
          <c:yVal>
            <c:numRef>
              <c:f>Surf!$B$1:$B$64</c:f>
              <c:numCache>
                <c:formatCode>General</c:formatCode>
                <c:ptCount val="64"/>
                <c:pt idx="0">
                  <c:v>6</c:v>
                </c:pt>
                <c:pt idx="1">
                  <c:v>6</c:v>
                </c:pt>
                <c:pt idx="2">
                  <c:v>7.1</c:v>
                </c:pt>
                <c:pt idx="3">
                  <c:v>8.8000000000000007</c:v>
                </c:pt>
                <c:pt idx="4">
                  <c:v>7.9</c:v>
                </c:pt>
                <c:pt idx="5">
                  <c:v>5.6</c:v>
                </c:pt>
                <c:pt idx="6">
                  <c:v>4.5</c:v>
                </c:pt>
                <c:pt idx="7">
                  <c:v>5.2</c:v>
                </c:pt>
                <c:pt idx="8">
                  <c:v>6.5</c:v>
                </c:pt>
                <c:pt idx="9">
                  <c:v>7.2</c:v>
                </c:pt>
                <c:pt idx="10">
                  <c:v>9.1</c:v>
                </c:pt>
                <c:pt idx="11">
                  <c:v>8</c:v>
                </c:pt>
                <c:pt idx="12">
                  <c:v>6.3</c:v>
                </c:pt>
                <c:pt idx="13">
                  <c:v>6.1</c:v>
                </c:pt>
                <c:pt idx="14">
                  <c:v>3.6</c:v>
                </c:pt>
                <c:pt idx="15">
                  <c:v>0</c:v>
                </c:pt>
                <c:pt idx="16">
                  <c:v>4.0999999999999996</c:v>
                </c:pt>
                <c:pt idx="17">
                  <c:v>7.6</c:v>
                </c:pt>
                <c:pt idx="18">
                  <c:v>7.7</c:v>
                </c:pt>
                <c:pt idx="19">
                  <c:v>8.6</c:v>
                </c:pt>
                <c:pt idx="20">
                  <c:v>7.6</c:v>
                </c:pt>
                <c:pt idx="21">
                  <c:v>6.7</c:v>
                </c:pt>
                <c:pt idx="22">
                  <c:v>6</c:v>
                </c:pt>
                <c:pt idx="23">
                  <c:v>5.0999999999999996</c:v>
                </c:pt>
                <c:pt idx="24">
                  <c:v>6.6</c:v>
                </c:pt>
                <c:pt idx="25">
                  <c:v>6.9</c:v>
                </c:pt>
                <c:pt idx="26">
                  <c:v>6.8</c:v>
                </c:pt>
                <c:pt idx="27">
                  <c:v>5.8</c:v>
                </c:pt>
                <c:pt idx="28">
                  <c:v>6.8</c:v>
                </c:pt>
                <c:pt idx="29">
                  <c:v>8.4</c:v>
                </c:pt>
                <c:pt idx="30">
                  <c:v>9.6</c:v>
                </c:pt>
                <c:pt idx="31">
                  <c:v>8.8000000000000007</c:v>
                </c:pt>
                <c:pt idx="32">
                  <c:v>8.3000000000000007</c:v>
                </c:pt>
                <c:pt idx="33">
                  <c:v>9.6</c:v>
                </c:pt>
                <c:pt idx="34">
                  <c:v>9.6</c:v>
                </c:pt>
                <c:pt idx="35">
                  <c:v>9.9</c:v>
                </c:pt>
                <c:pt idx="36">
                  <c:v>8.1</c:v>
                </c:pt>
                <c:pt idx="37">
                  <c:v>6.8</c:v>
                </c:pt>
                <c:pt idx="38">
                  <c:v>7.9</c:v>
                </c:pt>
                <c:pt idx="39">
                  <c:v>8.1</c:v>
                </c:pt>
                <c:pt idx="40">
                  <c:v>7.1</c:v>
                </c:pt>
                <c:pt idx="41">
                  <c:v>6.6</c:v>
                </c:pt>
                <c:pt idx="42">
                  <c:v>4.3</c:v>
                </c:pt>
                <c:pt idx="43">
                  <c:v>3.8</c:v>
                </c:pt>
                <c:pt idx="44">
                  <c:v>4.0999999999999996</c:v>
                </c:pt>
                <c:pt idx="45">
                  <c:v>3.7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3.5</c:v>
                </c:pt>
                <c:pt idx="50">
                  <c:v>6.6</c:v>
                </c:pt>
                <c:pt idx="51">
                  <c:v>6.9</c:v>
                </c:pt>
                <c:pt idx="52">
                  <c:v>6.1</c:v>
                </c:pt>
                <c:pt idx="53">
                  <c:v>4.3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6.2</c:v>
                </c:pt>
                <c:pt idx="58">
                  <c:v>8.6</c:v>
                </c:pt>
                <c:pt idx="59">
                  <c:v>6.6</c:v>
                </c:pt>
                <c:pt idx="60">
                  <c:v>4.8</c:v>
                </c:pt>
                <c:pt idx="61">
                  <c:v>8</c:v>
                </c:pt>
                <c:pt idx="62">
                  <c:v>9.8000000000000007</c:v>
                </c:pt>
                <c:pt idx="63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E-4051-84DB-D1C0CAB3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044496"/>
        <c:axId val="642041872"/>
      </c:scatterChart>
      <c:valAx>
        <c:axId val="6420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1872"/>
        <c:crosses val="autoZero"/>
        <c:crossBetween val="midCat"/>
      </c:valAx>
      <c:valAx>
        <c:axId val="64204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XY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'Shade - 1'!$D$32:$D$51</c:f>
              <c:numCache>
                <c:formatCode>0.00</c:formatCode>
                <c:ptCount val="20"/>
                <c:pt idx="0">
                  <c:v>-200</c:v>
                </c:pt>
                <c:pt idx="1">
                  <c:v>-46.972999999999999</c:v>
                </c:pt>
                <c:pt idx="3">
                  <c:v>200</c:v>
                </c:pt>
                <c:pt idx="4">
                  <c:v>-46.972999999999999</c:v>
                </c:pt>
                <c:pt idx="6">
                  <c:v>-46.972999999999999</c:v>
                </c:pt>
                <c:pt idx="7">
                  <c:v>-46.972999999999999</c:v>
                </c:pt>
                <c:pt idx="9">
                  <c:v>-200</c:v>
                </c:pt>
                <c:pt idx="10">
                  <c:v>-46.972999999999999</c:v>
                </c:pt>
                <c:pt idx="12">
                  <c:v>200</c:v>
                </c:pt>
                <c:pt idx="13">
                  <c:v>-46.972999999999999</c:v>
                </c:pt>
                <c:pt idx="15" formatCode="0.0000">
                  <c:v>-33.601803024404035</c:v>
                </c:pt>
                <c:pt idx="16" formatCode="0.0000">
                  <c:v>-46.972999999999999</c:v>
                </c:pt>
                <c:pt idx="18" formatCode="0.0000">
                  <c:v>-74.82052184414178</c:v>
                </c:pt>
                <c:pt idx="19" formatCode="General">
                  <c:v>-19.125478155858222</c:v>
                </c:pt>
              </c:numCache>
            </c:numRef>
          </c:xVal>
          <c:yVal>
            <c:numRef>
              <c:f>'Shade - 1'!$E$32:$E$51</c:f>
              <c:numCache>
                <c:formatCode>0.00</c:formatCode>
                <c:ptCount val="20"/>
                <c:pt idx="0">
                  <c:v>200</c:v>
                </c:pt>
                <c:pt idx="1">
                  <c:v>200</c:v>
                </c:pt>
                <c:pt idx="3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2.6989999999999998</c:v>
                </c:pt>
                <c:pt idx="9">
                  <c:v>200</c:v>
                </c:pt>
                <c:pt idx="10">
                  <c:v>2.6989999999999998</c:v>
                </c:pt>
                <c:pt idx="12">
                  <c:v>200</c:v>
                </c:pt>
                <c:pt idx="13">
                  <c:v>2.6989999999999998</c:v>
                </c:pt>
                <c:pt idx="15" formatCode="0.0000">
                  <c:v>58.394043688283553</c:v>
                </c:pt>
                <c:pt idx="16" formatCode="0.0000">
                  <c:v>2.6989999999999998</c:v>
                </c:pt>
                <c:pt idx="18" formatCode="0.0000">
                  <c:v>9.384598487797982</c:v>
                </c:pt>
                <c:pt idx="19" formatCode="General">
                  <c:v>-3.9865984877979823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9-4E87-9CDB-4C1DA955E42C}"/>
            </c:ext>
          </c:extLst>
        </c:ser>
        <c:ser>
          <c:idx val="1"/>
          <c:order val="1"/>
          <c:tx>
            <c:v>normal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'Shade - 1'!$D$53:$D$57</c:f>
              <c:numCache>
                <c:formatCode>0.0000</c:formatCode>
                <c:ptCount val="5"/>
                <c:pt idx="0">
                  <c:v>-33.292999999999999</c:v>
                </c:pt>
                <c:pt idx="1">
                  <c:v>-46.972999999999999</c:v>
                </c:pt>
                <c:pt idx="3">
                  <c:v>-74.783000000000001</c:v>
                </c:pt>
                <c:pt idx="4" formatCode="General">
                  <c:v>-19.162999999999997</c:v>
                </c:pt>
              </c:numCache>
            </c:numRef>
          </c:xVal>
          <c:yVal>
            <c:numRef>
              <c:f>'Shade - 1'!$E$53:$E$57</c:f>
              <c:numCache>
                <c:formatCode>0.0000</c:formatCode>
                <c:ptCount val="5"/>
                <c:pt idx="0">
                  <c:v>58.319000000000003</c:v>
                </c:pt>
                <c:pt idx="1">
                  <c:v>2.6989999999999998</c:v>
                </c:pt>
                <c:pt idx="3">
                  <c:v>9.5389999999999997</c:v>
                </c:pt>
                <c:pt idx="4" formatCode="General">
                  <c:v>-4.141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9-4E87-9CDB-4C1DA95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90608"/>
        <c:axId val="641990936"/>
      </c:scatterChart>
      <c:valAx>
        <c:axId val="64199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90936"/>
        <c:crosses val="autoZero"/>
        <c:crossBetween val="midCat"/>
      </c:valAx>
      <c:valAx>
        <c:axId val="6419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9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'Spider - Original'!$E$7:$E$17</c:f>
              <c:numCache>
                <c:formatCode>0.00</c:formatCode>
                <c:ptCount val="11"/>
                <c:pt idx="0">
                  <c:v>-100</c:v>
                </c:pt>
                <c:pt idx="1">
                  <c:v>-50</c:v>
                </c:pt>
                <c:pt idx="3">
                  <c:v>100</c:v>
                </c:pt>
                <c:pt idx="4">
                  <c:v>-50</c:v>
                </c:pt>
                <c:pt idx="6">
                  <c:v>-50</c:v>
                </c:pt>
                <c:pt idx="7">
                  <c:v>-50</c:v>
                </c:pt>
                <c:pt idx="9">
                  <c:v>-100</c:v>
                </c:pt>
                <c:pt idx="10">
                  <c:v>100</c:v>
                </c:pt>
              </c:numCache>
            </c:numRef>
          </c:xVal>
          <c:yVal>
            <c:numRef>
              <c:f>'Spider - Original'!$F$7:$F$17</c:f>
              <c:numCache>
                <c:formatCode>0.00</c:formatCode>
                <c:ptCount val="11"/>
                <c:pt idx="0">
                  <c:v>100</c:v>
                </c:pt>
                <c:pt idx="1">
                  <c:v>0</c:v>
                </c:pt>
                <c:pt idx="3">
                  <c:v>100</c:v>
                </c:pt>
                <c:pt idx="4">
                  <c:v>0</c:v>
                </c:pt>
                <c:pt idx="6">
                  <c:v>100</c:v>
                </c:pt>
                <c:pt idx="7">
                  <c:v>0</c:v>
                </c:pt>
                <c:pt idx="9">
                  <c:v>100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0-4E92-9865-E460792F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00848"/>
        <c:axId val="549001832"/>
      </c:scatterChart>
      <c:valAx>
        <c:axId val="5490008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1832"/>
        <c:crosses val="autoZero"/>
        <c:crossBetween val="midCat"/>
      </c:valAx>
      <c:valAx>
        <c:axId val="5490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400050</xdr:colOff>
      <xdr:row>1</xdr:row>
      <xdr:rowOff>180974</xdr:rowOff>
    </xdr:from>
    <xdr:to>
      <xdr:col>28</xdr:col>
      <xdr:colOff>552450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8B9EC-7B7D-47AC-A7B2-A31DFAB59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4</xdr:row>
      <xdr:rowOff>0</xdr:rowOff>
    </xdr:from>
    <xdr:to>
      <xdr:col>26</xdr:col>
      <xdr:colOff>133350</xdr:colOff>
      <xdr:row>37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8DF92F-D373-4BBF-99CF-1B978F5DA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4</xdr:row>
      <xdr:rowOff>2</xdr:rowOff>
    </xdr:from>
    <xdr:to>
      <xdr:col>40</xdr:col>
      <xdr:colOff>428626</xdr:colOff>
      <xdr:row>23</xdr:row>
      <xdr:rowOff>28576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DD5BCB-C24A-4AD2-96F6-0D8B40227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585788</xdr:colOff>
      <xdr:row>0</xdr:row>
      <xdr:rowOff>180975</xdr:rowOff>
    </xdr:from>
    <xdr:to>
      <xdr:col>20</xdr:col>
      <xdr:colOff>361950</xdr:colOff>
      <xdr:row>21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2BD670-E350-48F2-A30A-0F043181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585787</xdr:colOff>
      <xdr:row>1</xdr:row>
      <xdr:rowOff>0</xdr:rowOff>
    </xdr:from>
    <xdr:to>
      <xdr:col>29</xdr:col>
      <xdr:colOff>342900</xdr:colOff>
      <xdr:row>21</xdr:row>
      <xdr:rowOff>189600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138224-0542-46D5-9301-78E219B9E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266702</xdr:colOff>
      <xdr:row>2</xdr:row>
      <xdr:rowOff>0</xdr:rowOff>
    </xdr:from>
    <xdr:to>
      <xdr:col>14</xdr:col>
      <xdr:colOff>390526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E068CA-4F9F-414D-8F09-7483C33F13D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18</xdr:col>
      <xdr:colOff>119062</xdr:colOff>
      <xdr:row>2</xdr:row>
      <xdr:rowOff>0</xdr:rowOff>
    </xdr:from>
    <xdr:to>
      <xdr:col>25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9E7037-649D-45AB-A0FE-EC9F4BE88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4762</xdr:colOff>
      <xdr:row>2</xdr:row>
      <xdr:rowOff>0</xdr:rowOff>
    </xdr:from>
    <xdr:to>
      <xdr:col>34</xdr:col>
      <xdr:colOff>533400</xdr:colOff>
      <xdr:row>22</xdr:row>
      <xdr:rowOff>189600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53C424-732A-4746-B7B0-0E7C1B918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190500</xdr:rowOff>
    </xdr:from>
    <xdr:to>
      <xdr:col>32</xdr:col>
      <xdr:colOff>409575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CE3015-1F0F-4FE7-B055-42581F756B8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</xdr:row>
      <xdr:rowOff>66677</xdr:rowOff>
    </xdr:from>
    <xdr:to>
      <xdr:col>25</xdr:col>
      <xdr:colOff>495300</xdr:colOff>
      <xdr:row>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99B64C-5921-46B3-B1D0-3675DFF86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333375</xdr:colOff>
      <xdr:row>18</xdr:row>
      <xdr:rowOff>180974</xdr:rowOff>
    </xdr:from>
    <xdr:to>
      <xdr:col>17</xdr:col>
      <xdr:colOff>209550</xdr:colOff>
      <xdr:row>44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999B-C93A-412E-885A-A8C26DEE1AD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0.20104</cdr:x>
      <cdr:y>0.53757</cdr:y>
    </cdr:from>
    <cdr:to>
      <cdr:x>0.23238</cdr:x>
      <cdr:y>0.58189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92EFF3-BF88-41EA-94DB-EE15AD072E86}"/>
            </a:ext>
          </a:extLst>
        </cdr:cNvPr>
        <cdr:cNvSpPr txBox="1"/>
      </cdr:nvSpPr>
      <cdr:spPr>
        <a:xfrm xmlns:a="http://schemas.openxmlformats.org/drawingml/2006/main">
          <a:off x="1466851" y="2657476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/>
            <a:t>a</a:t>
          </a:r>
        </a:p>
      </cdr:txBody>
    </cdr:sp>
  </cdr:relSizeAnchor>
  <cdr:relSizeAnchor xmlns:cdr="http://schemas.openxmlformats.org/drawingml/2006/chartDrawing">
    <cdr:from>
      <cdr:x>0.66623</cdr:x>
      <cdr:y>0.53243</cdr:y>
    </cdr:from>
    <cdr:to>
      <cdr:x>0.69756</cdr:x>
      <cdr:y>0.57675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4860925" y="263207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b</a:t>
          </a:r>
        </a:p>
      </cdr:txBody>
    </cdr:sp>
  </cdr:relSizeAnchor>
  <cdr:relSizeAnchor xmlns:cdr="http://schemas.openxmlformats.org/drawingml/2006/chartDrawing">
    <cdr:from>
      <cdr:x>0.40122</cdr:x>
      <cdr:y>0.17213</cdr:y>
    </cdr:from>
    <cdr:to>
      <cdr:x>0.43255</cdr:x>
      <cdr:y>0.21644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2927350" y="850900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M</a:t>
          </a:r>
        </a:p>
      </cdr:txBody>
    </cdr:sp>
  </cdr:relSizeAnchor>
  <cdr:relSizeAnchor xmlns:cdr="http://schemas.openxmlformats.org/drawingml/2006/chartDrawing">
    <cdr:from>
      <cdr:x>0.12054</cdr:x>
      <cdr:y>0.18369</cdr:y>
    </cdr:from>
    <cdr:to>
      <cdr:x>0.15187</cdr:x>
      <cdr:y>0.228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879475" y="908050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A</a:t>
          </a:r>
        </a:p>
      </cdr:txBody>
    </cdr:sp>
  </cdr:relSizeAnchor>
  <cdr:relSizeAnchor xmlns:cdr="http://schemas.openxmlformats.org/drawingml/2006/chartDrawing">
    <cdr:from>
      <cdr:x>0.8503</cdr:x>
      <cdr:y>0.18176</cdr:y>
    </cdr:from>
    <cdr:to>
      <cdr:x>0.88164</cdr:x>
      <cdr:y>0.22608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6203950" y="89852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B</a:t>
          </a:r>
        </a:p>
      </cdr:txBody>
    </cdr:sp>
  </cdr:relSizeAnchor>
  <cdr:relSizeAnchor xmlns:cdr="http://schemas.openxmlformats.org/drawingml/2006/chartDrawing">
    <cdr:from>
      <cdr:x>0.40122</cdr:x>
      <cdr:y>0.86769</cdr:y>
    </cdr:from>
    <cdr:to>
      <cdr:x>0.43255</cdr:x>
      <cdr:y>0.91201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2927350" y="428942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V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</xdr:row>
      <xdr:rowOff>9528</xdr:rowOff>
    </xdr:from>
    <xdr:to>
      <xdr:col>16</xdr:col>
      <xdr:colOff>123825</xdr:colOff>
      <xdr:row>16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F7B69C-D765-4F95-BA92-A092CEFAA8D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0.2295</cdr:x>
      <cdr:y>0.56985</cdr:y>
    </cdr:from>
    <cdr:to>
      <cdr:x>0.27645</cdr:x>
      <cdr:y>0.67279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DCC4271-ADBC-4C6F-96DD-31C545D8D198}"/>
            </a:ext>
          </a:extLst>
        </cdr:cNvPr>
        <cdr:cNvSpPr txBox="1"/>
      </cdr:nvSpPr>
      <cdr:spPr>
        <a:xfrm xmlns:a="http://schemas.openxmlformats.org/drawingml/2006/main">
          <a:off x="1257301" y="1476374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0.58825</cdr:x>
      <cdr:y>0.5674</cdr:y>
    </cdr:from>
    <cdr:to>
      <cdr:x>0.63519</cdr:x>
      <cdr:y>0.67034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24BA695-ED01-44C9-9020-0BE1287BB133}"/>
            </a:ext>
          </a:extLst>
        </cdr:cNvPr>
        <cdr:cNvSpPr txBox="1"/>
      </cdr:nvSpPr>
      <cdr:spPr>
        <a:xfrm xmlns:a="http://schemas.openxmlformats.org/drawingml/2006/main">
          <a:off x="3222625" y="14700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  <cdr:relSizeAnchor xmlns:cdr="http://schemas.openxmlformats.org/drawingml/2006/chartDrawing">
    <cdr:from>
      <cdr:x>0.33266</cdr:x>
      <cdr:y>0.0049</cdr:y>
    </cdr:from>
    <cdr:to>
      <cdr:x>0.37961</cdr:x>
      <cdr:y>0.10784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822450" y="1270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0.35527</cdr:x>
      <cdr:y>0.83824</cdr:y>
    </cdr:from>
    <cdr:to>
      <cdr:x>0.40221</cdr:x>
      <cdr:y>0.94118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946275" y="2171699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0.80384</cdr:x>
      <cdr:y>0.14093</cdr:y>
    </cdr:from>
    <cdr:to>
      <cdr:x>0.85079</cdr:x>
      <cdr:y>0.24387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6BB6F25-DF04-4105-A893-D64858359443}"/>
            </a:ext>
          </a:extLst>
        </cdr:cNvPr>
        <cdr:cNvSpPr txBox="1"/>
      </cdr:nvSpPr>
      <cdr:spPr>
        <a:xfrm xmlns:a="http://schemas.openxmlformats.org/drawingml/2006/main">
          <a:off x="4403725" y="3651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0.14837</cdr:x>
      <cdr:y>0.14461</cdr:y>
    </cdr:from>
    <cdr:to>
      <cdr:x>0.19531</cdr:x>
      <cdr:y>0.24755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67F28EC-D744-4130-B13C-4AB845E0D926}"/>
            </a:ext>
          </a:extLst>
        </cdr:cNvPr>
        <cdr:cNvSpPr txBox="1"/>
      </cdr:nvSpPr>
      <cdr:spPr>
        <a:xfrm xmlns:a="http://schemas.openxmlformats.org/drawingml/2006/main">
          <a:off x="812800" y="37465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EBE55-5C46-4804-B8C1-6F814B005FA9}">
  <sheetPr codeName="Sheet15"/>
  <dimension ref="B1:T77"/>
  <sheetViews>
    <sheetView tabSelected="1" topLeftCell="A40" workbookViewId="0">
      <selection activeCell="R56" sqref="R56"/>
    </sheetView>
  </sheetViews>
  <sheetFormatPr defaultRowHeight="15" x14ac:dyDescent="0.25"/>
  <cols>
    <col min="2" max="2" width="9.140625" style="227"/>
    <col min="3" max="6" width="9.140625" style="4"/>
    <col min="8" max="8" width="9.5703125" style="4" customWidth="1"/>
    <col min="9" max="10" width="9.140625" style="4"/>
    <col min="14" max="14" width="9.140625" style="227"/>
    <col min="15" max="16" width="9.5703125" style="4" customWidth="1"/>
    <col min="17" max="18" width="9.5703125" customWidth="1"/>
  </cols>
  <sheetData>
    <row r="1" spans="2:20" x14ac:dyDescent="0.25">
      <c r="B1" s="227" t="s">
        <v>167</v>
      </c>
      <c r="H1" s="10"/>
      <c r="I1" s="10"/>
      <c r="J1" s="10"/>
      <c r="K1" s="10"/>
      <c r="L1" s="9"/>
      <c r="M1" s="9"/>
      <c r="N1" s="219"/>
      <c r="O1" s="10"/>
      <c r="P1" s="10"/>
      <c r="Q1" s="9"/>
      <c r="R1" s="9"/>
      <c r="S1" s="9"/>
      <c r="T1" s="9"/>
    </row>
    <row r="2" spans="2:20" x14ac:dyDescent="0.25">
      <c r="H2" s="10"/>
      <c r="I2" s="10"/>
      <c r="J2" s="10"/>
      <c r="K2" s="9"/>
      <c r="L2" s="9"/>
      <c r="M2" s="9"/>
      <c r="N2" s="219"/>
      <c r="O2" s="10"/>
      <c r="P2" s="10"/>
      <c r="Q2" s="10"/>
      <c r="R2" s="10"/>
      <c r="S2" s="9"/>
      <c r="T2" s="9"/>
    </row>
    <row r="3" spans="2:20" x14ac:dyDescent="0.25">
      <c r="B3" s="158" t="s">
        <v>138</v>
      </c>
      <c r="C3" s="224"/>
      <c r="D3" s="224"/>
      <c r="E3" s="224"/>
      <c r="F3" s="225"/>
      <c r="H3" s="10"/>
      <c r="I3" s="229" t="s">
        <v>112</v>
      </c>
      <c r="J3" s="224"/>
      <c r="K3" s="135"/>
      <c r="L3" s="224"/>
      <c r="M3" s="70"/>
      <c r="N3" s="10"/>
      <c r="O3" s="10"/>
      <c r="P3" s="10"/>
      <c r="Q3" s="9"/>
      <c r="R3" s="9"/>
    </row>
    <row r="4" spans="2:20" x14ac:dyDescent="0.25">
      <c r="B4" s="230"/>
      <c r="C4" s="10"/>
      <c r="D4" s="10"/>
      <c r="E4" s="10"/>
      <c r="F4" s="51"/>
      <c r="H4" s="10"/>
      <c r="I4" s="71"/>
      <c r="J4" s="10"/>
      <c r="K4" s="10"/>
      <c r="L4" s="10"/>
      <c r="M4" s="93"/>
      <c r="N4" s="126"/>
      <c r="O4" s="10"/>
      <c r="P4" s="10"/>
      <c r="Q4" s="9"/>
      <c r="R4" s="9"/>
    </row>
    <row r="5" spans="2:20" x14ac:dyDescent="0.25">
      <c r="B5" s="230" t="s">
        <v>52</v>
      </c>
      <c r="C5" s="10" t="s">
        <v>150</v>
      </c>
      <c r="D5" s="10">
        <v>200</v>
      </c>
      <c r="E5" s="10"/>
      <c r="F5" s="51"/>
      <c r="H5" s="10"/>
      <c r="I5" s="71" t="s">
        <v>113</v>
      </c>
      <c r="J5" s="10" t="s">
        <v>23</v>
      </c>
      <c r="K5" s="10" t="s">
        <v>24</v>
      </c>
      <c r="L5" s="13" t="s">
        <v>121</v>
      </c>
      <c r="M5" s="93" t="s">
        <v>124</v>
      </c>
      <c r="N5" s="126"/>
      <c r="O5" s="10"/>
      <c r="P5" s="10"/>
      <c r="Q5" s="9"/>
      <c r="R5" s="9"/>
    </row>
    <row r="6" spans="2:20" x14ac:dyDescent="0.25">
      <c r="B6" s="230"/>
      <c r="C6" s="10"/>
      <c r="D6" s="10"/>
      <c r="E6" s="10"/>
      <c r="F6" s="51"/>
      <c r="H6" s="10"/>
      <c r="I6" s="77" t="s">
        <v>7</v>
      </c>
      <c r="J6" s="126">
        <f>D8-$D$18</f>
        <v>-162.5</v>
      </c>
      <c r="K6" s="126">
        <f>E8-$E$18</f>
        <v>197.25</v>
      </c>
      <c r="L6" s="126">
        <f>F8-$F$18</f>
        <v>-37.5</v>
      </c>
      <c r="M6" s="93">
        <f>SQRT(J6*J6+K6*K6+L6*L6)</f>
        <v>258.30226963772503</v>
      </c>
      <c r="N6" s="126"/>
      <c r="O6" s="10"/>
      <c r="P6" s="10"/>
      <c r="Q6" s="9"/>
      <c r="R6" s="9"/>
    </row>
    <row r="7" spans="2:20" x14ac:dyDescent="0.25">
      <c r="B7" s="230"/>
      <c r="C7" s="10"/>
      <c r="D7" s="10" t="s">
        <v>5</v>
      </c>
      <c r="E7" s="10" t="s">
        <v>6</v>
      </c>
      <c r="F7" s="51" t="s">
        <v>42</v>
      </c>
      <c r="H7" s="10"/>
      <c r="I7" s="77" t="s">
        <v>8</v>
      </c>
      <c r="J7" s="126">
        <f>D9-$D$18</f>
        <v>37.5</v>
      </c>
      <c r="K7" s="126">
        <f>E9-$E$18</f>
        <v>197.25</v>
      </c>
      <c r="L7" s="126">
        <f>F9-$F$18</f>
        <v>162.5</v>
      </c>
      <c r="M7" s="93">
        <f t="shared" ref="M7:M9" si="0">SQRT(J7*J7+K7*K7+L7*L7)</f>
        <v>258.30226963772503</v>
      </c>
      <c r="N7" s="126"/>
      <c r="O7" s="10"/>
      <c r="P7" s="10"/>
      <c r="Q7" s="9"/>
      <c r="R7" s="9"/>
    </row>
    <row r="8" spans="2:20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10"/>
      <c r="I8" s="164" t="s">
        <v>18</v>
      </c>
      <c r="J8" s="126">
        <f>D10-$D$18</f>
        <v>237.5</v>
      </c>
      <c r="K8" s="126">
        <f>E10-$E$18</f>
        <v>197.25</v>
      </c>
      <c r="L8" s="126">
        <f>F10-$F$18</f>
        <v>-37.5</v>
      </c>
      <c r="M8" s="93">
        <f t="shared" si="0"/>
        <v>310.99849276162098</v>
      </c>
      <c r="N8" s="126"/>
      <c r="O8" s="10"/>
      <c r="P8" s="10"/>
      <c r="Q8" s="9"/>
      <c r="R8" s="9"/>
    </row>
    <row r="9" spans="2:20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10"/>
      <c r="I9" s="164" t="s">
        <v>10</v>
      </c>
      <c r="J9" s="126">
        <f>D11-$D$18</f>
        <v>37.5</v>
      </c>
      <c r="K9" s="126">
        <f>E11-$E$18</f>
        <v>197.25</v>
      </c>
      <c r="L9" s="126">
        <f>F11-$F$18</f>
        <v>-237.5</v>
      </c>
      <c r="M9" s="93">
        <f t="shared" si="0"/>
        <v>310.99849276162098</v>
      </c>
      <c r="N9" s="126"/>
      <c r="O9" s="10"/>
      <c r="P9" s="10"/>
      <c r="Q9" s="9"/>
      <c r="R9" s="9"/>
    </row>
    <row r="10" spans="2:20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10"/>
      <c r="I10" s="71"/>
      <c r="J10" s="126"/>
      <c r="K10" s="126"/>
      <c r="L10" s="126"/>
      <c r="M10" s="144"/>
      <c r="N10" s="13"/>
      <c r="O10" s="10"/>
      <c r="P10" s="10"/>
      <c r="Q10" s="9"/>
      <c r="R10" s="9"/>
    </row>
    <row r="11" spans="2:20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10"/>
      <c r="I11" s="71" t="s">
        <v>86</v>
      </c>
      <c r="J11" s="126" t="s">
        <v>125</v>
      </c>
      <c r="K11" s="126" t="s">
        <v>126</v>
      </c>
      <c r="L11" s="126" t="s">
        <v>127</v>
      </c>
      <c r="M11" s="93"/>
      <c r="N11" s="126"/>
      <c r="O11" s="10"/>
      <c r="P11" s="10"/>
      <c r="Q11" s="9"/>
      <c r="R11" s="9"/>
    </row>
    <row r="12" spans="2:20" x14ac:dyDescent="0.25">
      <c r="B12" s="230"/>
      <c r="C12" s="10"/>
      <c r="D12" s="11"/>
      <c r="E12" s="11"/>
      <c r="F12" s="88"/>
      <c r="H12" s="219"/>
      <c r="I12" s="77" t="s">
        <v>7</v>
      </c>
      <c r="J12" s="126">
        <f>J6/$M6</f>
        <v>-0.62910790612838996</v>
      </c>
      <c r="K12" s="126">
        <f>K6/$M6</f>
        <v>0.76364021220815337</v>
      </c>
      <c r="L12" s="126">
        <f>L6/$M6</f>
        <v>-0.14517874756808999</v>
      </c>
      <c r="M12" s="93"/>
      <c r="N12" s="126"/>
      <c r="O12" s="261"/>
      <c r="P12" s="261"/>
      <c r="Q12" s="219"/>
      <c r="R12" s="9"/>
    </row>
    <row r="13" spans="2:20" x14ac:dyDescent="0.25">
      <c r="B13" s="230"/>
      <c r="C13" s="10" t="s">
        <v>13</v>
      </c>
      <c r="D13" s="11">
        <v>100</v>
      </c>
      <c r="E13" s="11"/>
      <c r="F13" s="88"/>
      <c r="H13" s="144"/>
      <c r="I13" s="77" t="s">
        <v>8</v>
      </c>
      <c r="J13" s="126">
        <f t="shared" ref="J13:L15" si="1">J7/$M7</f>
        <v>0.14517874756808999</v>
      </c>
      <c r="K13" s="126">
        <f t="shared" si="1"/>
        <v>0.76364021220815337</v>
      </c>
      <c r="L13" s="126">
        <f t="shared" si="1"/>
        <v>0.62910790612838996</v>
      </c>
      <c r="M13" s="93"/>
      <c r="N13" s="126"/>
      <c r="O13" s="10"/>
      <c r="P13" s="10"/>
      <c r="Q13" s="219"/>
      <c r="R13" s="9"/>
    </row>
    <row r="14" spans="2:20" x14ac:dyDescent="0.25">
      <c r="B14" s="232"/>
      <c r="C14" s="58"/>
      <c r="D14" s="207"/>
      <c r="E14" s="207"/>
      <c r="F14" s="91"/>
      <c r="H14" s="243"/>
      <c r="I14" s="164" t="s">
        <v>18</v>
      </c>
      <c r="J14" s="126">
        <f t="shared" si="1"/>
        <v>0.76366929592177391</v>
      </c>
      <c r="K14" s="126">
        <f t="shared" si="1"/>
        <v>0.63424744682345224</v>
      </c>
      <c r="L14" s="126">
        <f t="shared" si="1"/>
        <v>-0.12057936251396431</v>
      </c>
      <c r="M14" s="93"/>
      <c r="N14" s="126"/>
      <c r="O14" s="10"/>
      <c r="P14" s="10"/>
      <c r="Q14" s="219"/>
      <c r="R14" s="9"/>
    </row>
    <row r="15" spans="2:20" x14ac:dyDescent="0.25">
      <c r="B15" s="219"/>
      <c r="C15" s="10"/>
      <c r="D15" s="11"/>
      <c r="E15" s="11"/>
      <c r="F15" s="11"/>
      <c r="H15" s="244"/>
      <c r="I15" s="164" t="s">
        <v>10</v>
      </c>
      <c r="J15" s="126">
        <f t="shared" si="1"/>
        <v>0.12057936251396431</v>
      </c>
      <c r="K15" s="126">
        <f t="shared" si="1"/>
        <v>0.63424744682345224</v>
      </c>
      <c r="L15" s="126">
        <f t="shared" si="1"/>
        <v>-0.76366929592177391</v>
      </c>
      <c r="M15" s="93"/>
      <c r="N15" s="126"/>
      <c r="O15" s="10"/>
      <c r="P15" s="10"/>
      <c r="Q15" s="219"/>
      <c r="R15" s="9"/>
    </row>
    <row r="16" spans="2:20" x14ac:dyDescent="0.25">
      <c r="B16" s="158" t="s">
        <v>136</v>
      </c>
      <c r="C16" s="224"/>
      <c r="D16" s="143"/>
      <c r="E16" s="143"/>
      <c r="F16" s="87"/>
      <c r="H16" s="243"/>
      <c r="I16" s="71"/>
      <c r="J16" s="126"/>
      <c r="K16" s="226"/>
      <c r="L16" s="123"/>
      <c r="M16" s="167"/>
      <c r="N16" s="166"/>
      <c r="O16" s="10"/>
      <c r="P16" s="10"/>
      <c r="Q16" s="219"/>
      <c r="R16" s="9"/>
    </row>
    <row r="17" spans="2:20" x14ac:dyDescent="0.25">
      <c r="B17" s="230"/>
      <c r="C17" s="10"/>
      <c r="D17" s="11" t="s">
        <v>5</v>
      </c>
      <c r="E17" s="11" t="s">
        <v>6</v>
      </c>
      <c r="F17" s="88" t="s">
        <v>42</v>
      </c>
      <c r="H17" s="244"/>
      <c r="I17" s="71" t="s">
        <v>114</v>
      </c>
      <c r="J17" s="126" t="s">
        <v>128</v>
      </c>
      <c r="K17" s="126" t="s">
        <v>129</v>
      </c>
      <c r="L17" s="123"/>
      <c r="M17" s="144"/>
      <c r="N17" s="13"/>
      <c r="O17" s="10"/>
      <c r="P17" s="10"/>
      <c r="Q17" s="219"/>
      <c r="R17" s="9"/>
    </row>
    <row r="18" spans="2:20" x14ac:dyDescent="0.25">
      <c r="B18" s="230" t="s">
        <v>43</v>
      </c>
      <c r="C18" s="10"/>
      <c r="D18" s="11">
        <v>-37.5</v>
      </c>
      <c r="E18" s="11">
        <f>E35</f>
        <v>2.75</v>
      </c>
      <c r="F18" s="88">
        <v>37.5</v>
      </c>
      <c r="H18" s="10"/>
      <c r="I18" s="77" t="s">
        <v>7</v>
      </c>
      <c r="J18" s="126">
        <f>IF(J12&gt;0,DEGREES(ATAN(L12/J12)),180+DEGREES(ATAN(L12/J12)))</f>
        <v>192.99461679191651</v>
      </c>
      <c r="K18" s="126">
        <f>IF(J12&gt;0,ATAN(L12/J12),3.14159265+ATAN(L12/J12))</f>
        <v>3.368391498053886</v>
      </c>
      <c r="L18" s="123"/>
      <c r="M18" s="243"/>
      <c r="N18" s="168"/>
      <c r="O18" s="9"/>
      <c r="P18" s="9"/>
      <c r="Q18" s="9"/>
      <c r="R18" s="9"/>
    </row>
    <row r="19" spans="2:20" x14ac:dyDescent="0.25">
      <c r="B19" s="230"/>
      <c r="C19" s="10"/>
      <c r="D19" s="11"/>
      <c r="E19" s="11"/>
      <c r="F19" s="88"/>
      <c r="H19" s="10"/>
      <c r="I19" s="77" t="s">
        <v>8</v>
      </c>
      <c r="J19" s="126">
        <f t="shared" ref="J19:J21" si="2">IF(J13&gt;0,DEGREES(ATAN(L13/J13)),180-DEGREES(ATAN(L13/J13)))</f>
        <v>77.005383208083501</v>
      </c>
      <c r="K19" s="126">
        <f t="shared" ref="K19:K21" si="3">RADIANS(J19)</f>
        <v>1.3439974787410107</v>
      </c>
      <c r="L19" s="123"/>
      <c r="M19" s="244"/>
      <c r="N19" s="178"/>
      <c r="O19" s="9"/>
      <c r="P19" s="9"/>
      <c r="Q19" s="9"/>
      <c r="R19" s="9"/>
    </row>
    <row r="20" spans="2:20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9"/>
      <c r="I20" s="164" t="s">
        <v>18</v>
      </c>
      <c r="J20" s="126">
        <f t="shared" si="2"/>
        <v>-8.9726266148963951</v>
      </c>
      <c r="K20" s="126">
        <f t="shared" si="3"/>
        <v>-0.15660187698201539</v>
      </c>
      <c r="L20" s="10"/>
      <c r="M20" s="243"/>
      <c r="N20" s="168"/>
      <c r="O20" s="9"/>
      <c r="P20" s="9"/>
      <c r="Q20" s="9"/>
      <c r="R20" s="9"/>
      <c r="S20" s="9"/>
      <c r="T20" s="9"/>
    </row>
    <row r="21" spans="2:20" x14ac:dyDescent="0.25">
      <c r="B21" s="230"/>
      <c r="C21" s="10"/>
      <c r="D21" s="126"/>
      <c r="E21" s="10"/>
      <c r="F21" s="144"/>
      <c r="H21" s="10"/>
      <c r="I21" s="164" t="s">
        <v>10</v>
      </c>
      <c r="J21" s="126">
        <f t="shared" si="2"/>
        <v>-81.027373385103616</v>
      </c>
      <c r="K21" s="126">
        <f t="shared" si="3"/>
        <v>-1.4141944498128813</v>
      </c>
      <c r="L21" s="10"/>
      <c r="M21" s="244"/>
      <c r="N21" s="178"/>
      <c r="O21" s="9"/>
      <c r="P21" s="9"/>
      <c r="Q21" s="9"/>
      <c r="R21" s="9"/>
      <c r="S21" s="9"/>
      <c r="T21" s="9"/>
    </row>
    <row r="22" spans="2:20" x14ac:dyDescent="0.25">
      <c r="B22" s="230"/>
      <c r="C22" s="10"/>
      <c r="D22" s="126"/>
      <c r="E22" s="10"/>
      <c r="F22" s="144"/>
      <c r="H22" s="10"/>
      <c r="I22" s="71"/>
      <c r="J22" s="126"/>
      <c r="K22" s="126"/>
      <c r="L22" s="13"/>
      <c r="M22" s="167"/>
      <c r="N22" s="166"/>
      <c r="O22" s="9"/>
      <c r="P22" s="9"/>
      <c r="Q22" s="9"/>
      <c r="R22" s="9"/>
      <c r="S22" s="9"/>
      <c r="T22" s="9"/>
    </row>
    <row r="23" spans="2:20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10"/>
      <c r="I23" s="230" t="s">
        <v>117</v>
      </c>
      <c r="J23" s="9"/>
      <c r="K23" s="9"/>
      <c r="L23" s="9"/>
      <c r="M23" s="72"/>
      <c r="N23" s="9"/>
      <c r="O23" s="9"/>
      <c r="P23" s="9"/>
      <c r="Q23" s="9"/>
      <c r="R23" s="9"/>
      <c r="S23" s="9"/>
      <c r="T23" s="9"/>
    </row>
    <row r="24" spans="2:20" x14ac:dyDescent="0.25">
      <c r="B24" s="230"/>
      <c r="C24" s="10" t="s">
        <v>70</v>
      </c>
      <c r="D24" s="11">
        <v>0</v>
      </c>
      <c r="E24" s="11"/>
      <c r="F24" s="144"/>
      <c r="G24" s="13"/>
      <c r="H24" s="10"/>
      <c r="I24" s="230"/>
      <c r="J24" s="9"/>
      <c r="K24" s="9"/>
      <c r="L24" s="9"/>
      <c r="M24" s="72"/>
      <c r="N24" s="9"/>
      <c r="O24" s="9"/>
      <c r="P24" s="9"/>
      <c r="Q24" s="9"/>
      <c r="R24" s="9"/>
      <c r="S24" s="9"/>
      <c r="T24" s="9"/>
    </row>
    <row r="25" spans="2:20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11"/>
      <c r="I25" s="77" t="s">
        <v>7</v>
      </c>
      <c r="J25" s="126">
        <f>L12*SIN(K18)+J12*COS(K18)</f>
        <v>0.64564202643468482</v>
      </c>
      <c r="K25" s="126">
        <f>K12</f>
        <v>0.76364021220815337</v>
      </c>
      <c r="L25" s="126">
        <f>L12*COS(K18)-J12*SIN(K18)</f>
        <v>2.3177212649105883E-9</v>
      </c>
      <c r="M25" s="167"/>
      <c r="N25" s="166"/>
      <c r="O25" s="10"/>
      <c r="P25" s="9"/>
      <c r="Q25" s="9"/>
      <c r="R25" s="9"/>
      <c r="S25" s="9"/>
      <c r="T25" s="9"/>
    </row>
    <row r="26" spans="2:20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10"/>
      <c r="I26" s="77" t="s">
        <v>8</v>
      </c>
      <c r="J26" s="126">
        <f>L13*SIN(K19)+J13*COS(K19)</f>
        <v>0.64564202643468493</v>
      </c>
      <c r="K26" s="126">
        <f>K13</f>
        <v>0.76364021220815337</v>
      </c>
      <c r="L26" s="126">
        <f>L13*COS(K19)-J13*SIN(K19)</f>
        <v>0</v>
      </c>
      <c r="M26" s="167"/>
      <c r="N26" s="166"/>
      <c r="O26" s="10"/>
      <c r="P26" s="9"/>
      <c r="Q26" s="9"/>
      <c r="R26" s="9"/>
      <c r="S26" s="9"/>
      <c r="T26" s="9"/>
    </row>
    <row r="27" spans="2:20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208"/>
      <c r="I27" s="164" t="s">
        <v>18</v>
      </c>
      <c r="J27" s="126">
        <f>L14*SIN(K20)+J14*COS(K20)</f>
        <v>0.77313011595586678</v>
      </c>
      <c r="K27" s="126">
        <f>K14</f>
        <v>0.63424744682345224</v>
      </c>
      <c r="L27" s="126">
        <f>L14*COS(K20)-J14*SIN(K20)</f>
        <v>0</v>
      </c>
      <c r="M27" s="167"/>
      <c r="N27" s="166"/>
      <c r="O27" s="10"/>
      <c r="P27" s="9"/>
      <c r="Q27" s="9"/>
      <c r="R27" s="9"/>
      <c r="S27" s="9"/>
      <c r="T27" s="9"/>
    </row>
    <row r="28" spans="2:20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208"/>
      <c r="I28" s="164" t="s">
        <v>10</v>
      </c>
      <c r="J28" s="126">
        <f>L15*SIN(K21)+J15*COS(K21)</f>
        <v>0.77313011595586667</v>
      </c>
      <c r="K28" s="126">
        <f>K15</f>
        <v>0.63424744682345224</v>
      </c>
      <c r="L28" s="126">
        <f>L15*COS(K21)-J15*SIN(K21)</f>
        <v>0</v>
      </c>
      <c r="M28" s="72"/>
      <c r="N28" s="9"/>
      <c r="O28" s="10"/>
      <c r="P28" s="9"/>
      <c r="Q28" s="9"/>
      <c r="R28" s="9"/>
      <c r="S28" s="9"/>
      <c r="T28" s="9"/>
    </row>
    <row r="29" spans="2:20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11"/>
      <c r="I29" s="71"/>
      <c r="J29" s="13"/>
      <c r="K29" s="9"/>
      <c r="L29" s="9"/>
      <c r="M29" s="72"/>
      <c r="N29" s="9"/>
      <c r="O29" s="10"/>
      <c r="P29" s="9"/>
      <c r="Q29" s="9"/>
      <c r="R29" s="9"/>
      <c r="S29" s="9"/>
      <c r="T29" s="9"/>
    </row>
    <row r="30" spans="2:20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10"/>
      <c r="I30" s="146" t="s">
        <v>160</v>
      </c>
      <c r="J30" s="148" t="s">
        <v>84</v>
      </c>
      <c r="K30" s="13"/>
      <c r="L30" s="13"/>
      <c r="M30" s="144"/>
      <c r="N30" s="13"/>
      <c r="O30" s="10"/>
      <c r="P30" s="10"/>
      <c r="Q30" s="10"/>
      <c r="R30" s="10"/>
      <c r="S30" s="9"/>
      <c r="T30" s="9"/>
    </row>
    <row r="31" spans="2:20" x14ac:dyDescent="0.25">
      <c r="B31" s="230"/>
      <c r="C31" s="10"/>
      <c r="D31" s="149"/>
      <c r="E31" s="149"/>
      <c r="F31" s="144"/>
      <c r="G31" s="4"/>
      <c r="H31" s="11"/>
      <c r="I31" s="146"/>
      <c r="J31" s="148" t="s">
        <v>83</v>
      </c>
      <c r="K31" s="13"/>
      <c r="L31" s="182"/>
      <c r="M31" s="183"/>
      <c r="N31" s="182"/>
      <c r="O31" s="10"/>
      <c r="P31" s="9"/>
      <c r="Q31" s="9"/>
      <c r="R31" s="9"/>
      <c r="S31" s="9"/>
      <c r="T31" s="9"/>
    </row>
    <row r="32" spans="2:20" x14ac:dyDescent="0.25">
      <c r="B32" s="232"/>
      <c r="C32" s="58" t="s">
        <v>61</v>
      </c>
      <c r="D32" s="150">
        <v>30</v>
      </c>
      <c r="E32" s="150"/>
      <c r="F32" s="151"/>
      <c r="G32" s="4"/>
      <c r="H32" s="11"/>
      <c r="I32" s="146"/>
      <c r="J32" s="9"/>
      <c r="K32" s="62"/>
      <c r="L32" s="126"/>
      <c r="M32" s="93"/>
      <c r="N32" s="126"/>
      <c r="O32" s="11"/>
      <c r="P32" s="11"/>
      <c r="Q32" s="11"/>
      <c r="R32" s="10"/>
      <c r="S32" s="9"/>
      <c r="T32" s="9"/>
    </row>
    <row r="33" spans="2:20" x14ac:dyDescent="0.25">
      <c r="G33" s="4"/>
      <c r="H33" s="10"/>
      <c r="I33" s="146" t="s">
        <v>100</v>
      </c>
      <c r="J33" s="126"/>
      <c r="K33" s="126"/>
      <c r="L33" s="126"/>
      <c r="M33" s="93"/>
      <c r="N33" s="126"/>
      <c r="O33" s="219"/>
      <c r="P33" s="10"/>
      <c r="Q33" s="10"/>
      <c r="R33" s="10"/>
      <c r="S33" s="10"/>
      <c r="T33" s="10"/>
    </row>
    <row r="34" spans="2:20" x14ac:dyDescent="0.25">
      <c r="B34" s="158" t="s">
        <v>152</v>
      </c>
      <c r="C34" s="241"/>
      <c r="D34" s="252"/>
      <c r="E34" s="193"/>
      <c r="F34" s="87"/>
      <c r="G34" s="4"/>
      <c r="H34" s="10"/>
      <c r="I34" s="77" t="s">
        <v>7</v>
      </c>
      <c r="J34" s="126">
        <f>J25*COS($E36)-K25*SIN($E36)</f>
        <v>0.1680474914462044</v>
      </c>
      <c r="K34" s="126">
        <f>J25*SIN($E36)+K25*COS($E36)</f>
        <v>0.98577890047344674</v>
      </c>
      <c r="L34" s="126">
        <f>L25</f>
        <v>2.3177212649105883E-9</v>
      </c>
      <c r="M34" s="93"/>
      <c r="N34" s="126"/>
      <c r="O34" s="118"/>
      <c r="P34" s="118"/>
      <c r="Q34" s="62"/>
      <c r="R34" s="10"/>
      <c r="S34" s="10"/>
      <c r="T34" s="10"/>
    </row>
    <row r="35" spans="2:20" x14ac:dyDescent="0.25">
      <c r="B35" s="50"/>
      <c r="C35" s="219"/>
      <c r="D35" s="188" t="s">
        <v>62</v>
      </c>
      <c r="E35" s="10">
        <v>2.75</v>
      </c>
      <c r="F35" s="141"/>
      <c r="G35" s="4"/>
      <c r="H35" s="10"/>
      <c r="I35" s="77" t="s">
        <v>8</v>
      </c>
      <c r="J35" s="126">
        <f t="shared" ref="J35:J37" si="4">J26*COS($E37)-K26*SIN($E37)</f>
        <v>-5.5222099575080896E-2</v>
      </c>
      <c r="K35" s="126">
        <f t="shared" ref="K35:K37" si="5">J26*SIN($E37)+K26*COS($E37)</f>
        <v>0.99847409566724354</v>
      </c>
      <c r="L35" s="126">
        <f t="shared" ref="L35:L37" si="6">L26</f>
        <v>0</v>
      </c>
      <c r="M35" s="93"/>
      <c r="N35" s="126"/>
      <c r="O35" s="188"/>
      <c r="P35" s="62"/>
      <c r="Q35" s="62"/>
      <c r="R35" s="10"/>
      <c r="S35" s="9"/>
      <c r="T35" s="9"/>
    </row>
    <row r="36" spans="2:20" x14ac:dyDescent="0.25">
      <c r="B36" s="50"/>
      <c r="C36" s="10" t="s">
        <v>7</v>
      </c>
      <c r="D36" s="258">
        <f>shadex(D8,E8,F8,$D$13,$D$18,$E$18,$F$18,$J$51,$K$51,$L$51)</f>
        <v>0.33343839094810107</v>
      </c>
      <c r="E36" s="10">
        <v>0.53301507199999998</v>
      </c>
      <c r="F36" s="253"/>
      <c r="G36" s="4"/>
      <c r="H36" s="10"/>
      <c r="I36" s="164" t="s">
        <v>18</v>
      </c>
      <c r="J36" s="126">
        <f t="shared" si="4"/>
        <v>-0.16546035221866939</v>
      </c>
      <c r="K36" s="126">
        <f t="shared" si="5"/>
        <v>0.98621644269585862</v>
      </c>
      <c r="L36" s="126">
        <f t="shared" si="6"/>
        <v>0</v>
      </c>
      <c r="M36" s="93"/>
      <c r="N36" s="126"/>
      <c r="O36" s="11"/>
      <c r="P36" s="62"/>
      <c r="Q36" s="62"/>
      <c r="R36" s="10"/>
      <c r="S36" s="9"/>
      <c r="T36" s="9"/>
    </row>
    <row r="37" spans="2:20" x14ac:dyDescent="0.25">
      <c r="B37" s="50"/>
      <c r="C37" s="10" t="s">
        <v>8</v>
      </c>
      <c r="D37" s="258">
        <f>shadex(D9,E9,F9,$D$13,$D$18,$E$18,$F$18,$J$52,$K$52,$L$52)</f>
        <v>0.28138400140479936</v>
      </c>
      <c r="E37" s="10">
        <v>0.75711393400000004</v>
      </c>
      <c r="F37" s="253"/>
      <c r="G37" s="4"/>
      <c r="H37" s="188"/>
      <c r="I37" s="164" t="s">
        <v>10</v>
      </c>
      <c r="J37" s="126">
        <f t="shared" si="4"/>
        <v>-3.8934048098642482E-2</v>
      </c>
      <c r="K37" s="126">
        <f t="shared" si="5"/>
        <v>0.99924178250243934</v>
      </c>
      <c r="L37" s="126">
        <f t="shared" si="6"/>
        <v>0</v>
      </c>
      <c r="M37" s="93"/>
      <c r="N37" s="126"/>
      <c r="O37" s="188"/>
      <c r="P37" s="62"/>
      <c r="Q37" s="62"/>
      <c r="R37" s="10"/>
      <c r="S37" s="9"/>
      <c r="T37" s="9"/>
    </row>
    <row r="38" spans="2:20" x14ac:dyDescent="0.25">
      <c r="B38" s="50"/>
      <c r="C38" s="10" t="s">
        <v>18</v>
      </c>
      <c r="D38" s="258">
        <f>shadex(D10,E10,F10,$D$13,$D$18,$E$18,$F$18,$J$53,$K$53,$L$53)</f>
        <v>0.15999527042069381</v>
      </c>
      <c r="E38" s="10">
        <v>1.0499863599999999</v>
      </c>
      <c r="F38" s="253"/>
      <c r="G38" s="4"/>
      <c r="H38" s="10"/>
      <c r="I38" s="71"/>
      <c r="J38" s="13"/>
      <c r="K38" s="13"/>
      <c r="L38" s="126"/>
      <c r="M38" s="93"/>
      <c r="N38" s="126"/>
      <c r="O38" s="11"/>
      <c r="P38" s="62"/>
      <c r="Q38" s="62"/>
      <c r="R38" s="10"/>
      <c r="S38" s="9"/>
      <c r="T38" s="9"/>
    </row>
    <row r="39" spans="2:20" x14ac:dyDescent="0.25">
      <c r="B39" s="50"/>
      <c r="C39" s="10" t="s">
        <v>10</v>
      </c>
      <c r="D39" s="258">
        <f>shadex(D11,E11,F11,$D$13,$D$18,$E$18,$F$18,$J$54,$K$54,$L$54)</f>
        <v>0.1941055915833842</v>
      </c>
      <c r="E39" s="10">
        <v>0.92270547199999997</v>
      </c>
      <c r="F39" s="51"/>
      <c r="G39" s="4"/>
      <c r="H39" s="10"/>
      <c r="I39" s="71" t="s">
        <v>101</v>
      </c>
      <c r="J39" s="13"/>
      <c r="K39" s="13"/>
      <c r="L39" s="126"/>
      <c r="M39" s="93"/>
      <c r="N39" s="126"/>
      <c r="O39" s="188"/>
      <c r="P39" s="62"/>
      <c r="Q39" s="62"/>
      <c r="R39" s="10"/>
      <c r="S39" s="9"/>
      <c r="T39" s="9"/>
    </row>
    <row r="40" spans="2:20" x14ac:dyDescent="0.25">
      <c r="B40" s="52"/>
      <c r="C40" s="257"/>
      <c r="D40" s="142"/>
      <c r="E40" s="142"/>
      <c r="F40" s="55"/>
      <c r="G40" s="4"/>
      <c r="H40" s="10"/>
      <c r="I40" s="77" t="s">
        <v>7</v>
      </c>
      <c r="J40" s="126">
        <f>J25*COS(-$E36)-K25*SIN(-$E36)</f>
        <v>0.94410825808189247</v>
      </c>
      <c r="K40" s="126">
        <f>J25*SIN(-$E36)+K25*COS(-$E36)</f>
        <v>0.3296355518168122</v>
      </c>
      <c r="L40" s="126">
        <f>L31</f>
        <v>0</v>
      </c>
      <c r="M40" s="93"/>
      <c r="N40" s="126"/>
      <c r="O40" s="10"/>
      <c r="P40" s="62"/>
      <c r="Q40" s="62"/>
      <c r="R40" s="62"/>
      <c r="S40" s="9"/>
      <c r="T40" s="9"/>
    </row>
    <row r="41" spans="2:20" x14ac:dyDescent="0.25">
      <c r="G41" s="4"/>
      <c r="H41" s="10"/>
      <c r="I41" s="77" t="s">
        <v>8</v>
      </c>
      <c r="J41" s="126">
        <f>J26*COS(-$E37)-K26*SIN(-$E37)</f>
        <v>0.99375480451570208</v>
      </c>
      <c r="K41" s="126">
        <f>J26*SIN(-$E37)+K26*COS(-$E37)</f>
        <v>0.11158578987468976</v>
      </c>
      <c r="L41" s="126">
        <f t="shared" ref="L41:L43" si="7">L32</f>
        <v>0</v>
      </c>
      <c r="M41" s="93"/>
      <c r="N41" s="126"/>
      <c r="O41" s="235"/>
      <c r="P41" s="62"/>
      <c r="Q41" s="62"/>
      <c r="R41" s="10"/>
      <c r="S41" s="9"/>
      <c r="T41" s="9"/>
    </row>
    <row r="42" spans="2:20" x14ac:dyDescent="0.25">
      <c r="H42" s="10"/>
      <c r="I42" s="164" t="s">
        <v>18</v>
      </c>
      <c r="J42" s="126">
        <f>J27*COS(-$E38)-K27*SIN(-$E38)</f>
        <v>0.9348529708669221</v>
      </c>
      <c r="K42" s="126">
        <f>J27*SIN(-$E38)+K27*COS(-$E38)</f>
        <v>-0.35503510088622142</v>
      </c>
      <c r="L42" s="126">
        <f t="shared" si="7"/>
        <v>0</v>
      </c>
      <c r="M42" s="93"/>
      <c r="N42" s="126"/>
      <c r="O42" s="236"/>
      <c r="P42" s="62"/>
      <c r="Q42" s="62"/>
      <c r="R42" s="10"/>
      <c r="S42" s="9"/>
      <c r="T42" s="9"/>
    </row>
    <row r="43" spans="2:20" x14ac:dyDescent="0.25">
      <c r="B43" s="46" t="s">
        <v>168</v>
      </c>
      <c r="C43" s="47"/>
      <c r="D43" s="224"/>
      <c r="E43" s="47"/>
      <c r="F43" s="70"/>
      <c r="H43" s="9"/>
      <c r="I43" s="164" t="s">
        <v>10</v>
      </c>
      <c r="J43" s="126">
        <f>J28*COS(-$E39)-K28*SIN(-$E39)</f>
        <v>0.97235794875472181</v>
      </c>
      <c r="K43" s="126">
        <f>J28*SIN(-$E39)+K28*COS(-$E39)</f>
        <v>-0.23349522370598841</v>
      </c>
      <c r="L43" s="126">
        <f t="shared" si="7"/>
        <v>2.3177212649105883E-9</v>
      </c>
      <c r="M43" s="93"/>
      <c r="N43" s="126"/>
      <c r="O43" s="236"/>
      <c r="P43" s="62"/>
      <c r="Q43" s="62"/>
      <c r="R43" s="9"/>
      <c r="S43" s="9"/>
      <c r="T43" s="9"/>
    </row>
    <row r="44" spans="2:20" x14ac:dyDescent="0.25">
      <c r="B44" s="50"/>
      <c r="C44" s="10">
        <v>0</v>
      </c>
      <c r="D44" s="10">
        <v>2.75</v>
      </c>
      <c r="E44" s="10">
        <v>5</v>
      </c>
      <c r="F44" s="51"/>
      <c r="H44" s="10"/>
      <c r="I44" s="71"/>
      <c r="J44" s="10"/>
      <c r="K44" s="62"/>
      <c r="L44" s="10"/>
      <c r="M44" s="51"/>
      <c r="N44" s="10"/>
      <c r="O44" s="9"/>
      <c r="P44" s="62"/>
      <c r="Q44" s="62"/>
      <c r="R44" s="9"/>
      <c r="S44" s="9"/>
      <c r="T44" s="9"/>
    </row>
    <row r="45" spans="2:20" x14ac:dyDescent="0.25">
      <c r="B45" s="50"/>
      <c r="C45" s="10">
        <v>0.51901969999999997</v>
      </c>
      <c r="D45" s="10">
        <v>0.53301507199999998</v>
      </c>
      <c r="E45" s="10">
        <v>0.54414570299999998</v>
      </c>
      <c r="F45" s="51"/>
      <c r="H45" s="10"/>
      <c r="I45" s="71" t="s">
        <v>160</v>
      </c>
      <c r="J45" s="148" t="s">
        <v>94</v>
      </c>
      <c r="K45" s="62"/>
      <c r="L45" s="9"/>
      <c r="M45" s="245"/>
      <c r="N45" s="104"/>
      <c r="O45" s="9"/>
      <c r="P45" s="62"/>
      <c r="Q45" s="62"/>
    </row>
    <row r="46" spans="2:20" x14ac:dyDescent="0.25">
      <c r="B46" s="50"/>
      <c r="C46" s="10">
        <v>0.748435199</v>
      </c>
      <c r="D46" s="10">
        <v>0.75711393400000004</v>
      </c>
      <c r="E46" s="10">
        <v>0.764103949</v>
      </c>
      <c r="F46" s="51"/>
      <c r="H46" s="10"/>
      <c r="I46" s="71"/>
      <c r="J46" s="148" t="s">
        <v>95</v>
      </c>
      <c r="K46" s="62"/>
      <c r="L46" s="9"/>
      <c r="M46" s="245"/>
      <c r="N46" s="104"/>
      <c r="O46" s="9"/>
      <c r="P46" s="62"/>
      <c r="Q46" s="62"/>
    </row>
    <row r="47" spans="2:20" x14ac:dyDescent="0.25">
      <c r="B47" s="50"/>
      <c r="C47" s="10">
        <v>1.0499863599999999</v>
      </c>
      <c r="D47" s="10">
        <v>1.0499863599999999</v>
      </c>
      <c r="E47" s="10">
        <v>1.0499863599999999</v>
      </c>
      <c r="F47" s="51"/>
      <c r="H47" s="10"/>
      <c r="I47" s="71"/>
      <c r="J47" s="10"/>
      <c r="K47" s="62"/>
      <c r="L47" s="9"/>
      <c r="M47" s="93"/>
      <c r="N47" s="126"/>
      <c r="O47" s="9"/>
      <c r="P47" s="62"/>
      <c r="Q47" s="62"/>
    </row>
    <row r="48" spans="2:20" x14ac:dyDescent="0.25">
      <c r="B48" s="50"/>
      <c r="C48" s="10">
        <v>0.91842180500000004</v>
      </c>
      <c r="D48" s="10">
        <v>0.92270547199999997</v>
      </c>
      <c r="E48" s="10">
        <v>0.92615312299999997</v>
      </c>
      <c r="F48" s="262"/>
      <c r="H48" s="10"/>
      <c r="I48" s="230" t="s">
        <v>118</v>
      </c>
      <c r="J48" s="10"/>
      <c r="K48" s="62"/>
      <c r="L48" s="9"/>
      <c r="M48" s="93"/>
      <c r="N48" s="126"/>
      <c r="O48" s="9" t="s">
        <v>153</v>
      </c>
      <c r="P48" s="62"/>
      <c r="Q48" s="62"/>
    </row>
    <row r="49" spans="2:20" x14ac:dyDescent="0.25">
      <c r="B49" s="52"/>
      <c r="C49" s="242"/>
      <c r="D49" s="242"/>
      <c r="E49" s="58"/>
      <c r="F49" s="55"/>
      <c r="H49" s="10"/>
      <c r="I49" s="230"/>
      <c r="J49" s="10"/>
      <c r="K49" s="62"/>
      <c r="L49" s="9"/>
      <c r="M49" s="93"/>
      <c r="N49" s="126"/>
      <c r="O49" s="9"/>
      <c r="P49" s="62"/>
      <c r="Q49" s="62"/>
    </row>
    <row r="50" spans="2:20" x14ac:dyDescent="0.25">
      <c r="H50" s="10"/>
      <c r="I50" s="146" t="s">
        <v>100</v>
      </c>
      <c r="J50" s="10"/>
      <c r="K50" s="62"/>
      <c r="L50" s="9"/>
      <c r="M50" s="93"/>
      <c r="N50" s="126"/>
      <c r="O50" s="13" t="s">
        <v>100</v>
      </c>
      <c r="P50" s="62"/>
      <c r="Q50" s="62"/>
    </row>
    <row r="51" spans="2:20" x14ac:dyDescent="0.25">
      <c r="H51" s="10"/>
      <c r="I51" s="255" t="s">
        <v>7</v>
      </c>
      <c r="J51" s="258">
        <f>J34*COS(-K18)</f>
        <v>-0.16374399625939628</v>
      </c>
      <c r="K51" s="258">
        <f>K34</f>
        <v>0.98577890047344674</v>
      </c>
      <c r="L51" s="258">
        <f>-J34*SIN(-K18)</f>
        <v>-3.7787075440750287E-2</v>
      </c>
      <c r="M51" s="93"/>
      <c r="N51" s="126"/>
      <c r="O51" s="121" t="s">
        <v>7</v>
      </c>
      <c r="P51" s="62">
        <f>shadex(D8,E8,F8,$D$13,$D$18,$E$18,$F$18,J51,K51,L51)</f>
        <v>0.33343839094810107</v>
      </c>
      <c r="Q51" s="62"/>
      <c r="R51" s="118">
        <f>shadex(D10,E10,F10,D13,D18,E18,F18,J51,K51,L51)</f>
        <v>0.16229590870643704</v>
      </c>
      <c r="S51" s="118"/>
      <c r="T51" s="118"/>
    </row>
    <row r="52" spans="2:20" x14ac:dyDescent="0.25">
      <c r="H52" s="10"/>
      <c r="I52" s="77" t="s">
        <v>8</v>
      </c>
      <c r="J52" s="259">
        <f>J35*COS(-K19)</f>
        <v>-1.241721406932241E-2</v>
      </c>
      <c r="K52" s="259">
        <f t="shared" ref="K52:K54" si="8">K35</f>
        <v>0.99847409566724354</v>
      </c>
      <c r="L52" s="259">
        <f>-J35*SIN(-K19)</f>
        <v>-5.3807927633730435E-2</v>
      </c>
      <c r="M52" s="93"/>
      <c r="N52" s="126"/>
      <c r="O52" s="121" t="s">
        <v>8</v>
      </c>
      <c r="P52" s="62">
        <f>shadex(D9,E9,F9,$D$13,$D$18,$E$18,$F$18,J52,K52,L52)</f>
        <v>0.28138400140479936</v>
      </c>
      <c r="Q52" s="62"/>
    </row>
    <row r="53" spans="2:20" x14ac:dyDescent="0.25">
      <c r="H53" s="10"/>
      <c r="I53" s="256" t="s">
        <v>18</v>
      </c>
      <c r="J53" s="258">
        <f>J36*COS(-K20)</f>
        <v>-0.16343560815190508</v>
      </c>
      <c r="K53" s="258">
        <f t="shared" si="8"/>
        <v>0.98621644269585862</v>
      </c>
      <c r="L53" s="258">
        <f>-J36*SIN(-K20)</f>
        <v>2.5805622339774494E-2</v>
      </c>
      <c r="M53" s="93"/>
      <c r="N53" s="126"/>
      <c r="O53" s="122" t="s">
        <v>18</v>
      </c>
      <c r="P53" s="62">
        <f>shadex(D10,E10,F10,$D$13,$D$18,$E$18,$F$18,J53,K53,L53)</f>
        <v>0.15999527042069381</v>
      </c>
      <c r="Q53" s="62"/>
    </row>
    <row r="54" spans="2:20" x14ac:dyDescent="0.25">
      <c r="H54" s="10"/>
      <c r="I54" s="164" t="s">
        <v>10</v>
      </c>
      <c r="J54" s="259">
        <f>J37*COS(-K21)</f>
        <v>-6.072254337186265E-3</v>
      </c>
      <c r="K54" s="259">
        <f t="shared" si="8"/>
        <v>0.99924178250243934</v>
      </c>
      <c r="L54" s="259">
        <f>-J37*SIN(-K21)</f>
        <v>3.8457610802179701E-2</v>
      </c>
      <c r="M54" s="93"/>
      <c r="N54" s="126"/>
      <c r="O54" s="122" t="s">
        <v>10</v>
      </c>
      <c r="P54" s="62">
        <f>shadex(D11,E11,F11,$D$13,$D$18,$E$18,$F$18,J54,K54,L54)</f>
        <v>0.1941055915833842</v>
      </c>
      <c r="Q54" s="62"/>
    </row>
    <row r="55" spans="2:20" x14ac:dyDescent="0.25">
      <c r="I55" s="71"/>
      <c r="J55" s="188"/>
      <c r="K55" s="188"/>
      <c r="L55" s="190"/>
      <c r="M55" s="93"/>
      <c r="N55" s="126"/>
      <c r="O55" s="9"/>
      <c r="P55" s="62"/>
      <c r="Q55" s="62"/>
    </row>
    <row r="56" spans="2:20" x14ac:dyDescent="0.25">
      <c r="I56" s="146" t="s">
        <v>101</v>
      </c>
      <c r="J56" s="188"/>
      <c r="K56" s="188"/>
      <c r="L56" s="190"/>
      <c r="M56" s="93"/>
      <c r="N56" s="126"/>
      <c r="O56" s="13" t="s">
        <v>101</v>
      </c>
      <c r="P56" s="62"/>
    </row>
    <row r="57" spans="2:20" x14ac:dyDescent="0.25">
      <c r="I57" s="255" t="s">
        <v>7</v>
      </c>
      <c r="J57" s="258">
        <f>J40*COS(-K18)</f>
        <v>-0.91993077521966327</v>
      </c>
      <c r="K57" s="258">
        <f>K40</f>
        <v>0.3296355518168122</v>
      </c>
      <c r="L57" s="258">
        <f>-J40*SIN(-K18)</f>
        <v>-0.21229171388015733</v>
      </c>
      <c r="M57" s="93"/>
      <c r="N57" s="126"/>
      <c r="O57" s="121" t="s">
        <v>7</v>
      </c>
      <c r="P57" s="62">
        <f>shadex(D8,E8,F8,$D$13,$D$18,$E$18,$F$18,J57,K57,L57)</f>
        <v>0.33343839094810107</v>
      </c>
    </row>
    <row r="58" spans="2:20" x14ac:dyDescent="0.25">
      <c r="I58" s="77" t="s">
        <v>8</v>
      </c>
      <c r="J58" s="259">
        <f>L41*SIN(-K19)+J41*COS(-K19)</f>
        <v>0.22345521512292191</v>
      </c>
      <c r="K58" s="259">
        <f t="shared" ref="K58:K60" si="9">K41</f>
        <v>0.11158578987468976</v>
      </c>
      <c r="L58" s="259">
        <f t="shared" ref="L58:L60" si="10">-J41*SIN(-K19)</f>
        <v>0.96830593219932815</v>
      </c>
      <c r="M58" s="93"/>
      <c r="N58" s="126"/>
      <c r="O58" s="121" t="s">
        <v>8</v>
      </c>
      <c r="P58" s="62">
        <f>shadex(D9,E9,F9,$D$13,$D$18,$E$18,$F$18,J58,K58,L58)</f>
        <v>0.28138400140479924</v>
      </c>
    </row>
    <row r="59" spans="2:20" x14ac:dyDescent="0.25">
      <c r="I59" s="256" t="s">
        <v>18</v>
      </c>
      <c r="J59" s="258">
        <f>L42*SIN(-K20)+J42*COS(-K20)</f>
        <v>0.9234131426502008</v>
      </c>
      <c r="K59" s="258">
        <f t="shared" si="9"/>
        <v>-0.35503510088622142</v>
      </c>
      <c r="L59" s="258">
        <f t="shared" si="10"/>
        <v>-0.14580207515529489</v>
      </c>
      <c r="M59" s="93"/>
      <c r="N59" s="126"/>
      <c r="O59" s="122" t="s">
        <v>18</v>
      </c>
      <c r="P59" s="62">
        <f>shadex(D10,E10,F10,$D$13,$D$18,$E$18,$F$18,J59,K59,L59)</f>
        <v>0.15999527042069378</v>
      </c>
    </row>
    <row r="60" spans="2:20" x14ac:dyDescent="0.25">
      <c r="I60" s="246" t="s">
        <v>10</v>
      </c>
      <c r="J60" s="260">
        <f>L43*SIN(-K21)+J43*COS(-K21)</f>
        <v>0.15165145031408361</v>
      </c>
      <c r="K60" s="260">
        <f t="shared" si="9"/>
        <v>-0.23349522370598841</v>
      </c>
      <c r="L60" s="260">
        <f t="shared" si="10"/>
        <v>-0.96045917082325494</v>
      </c>
      <c r="M60" s="94"/>
      <c r="N60" s="126"/>
      <c r="O60" s="122" t="s">
        <v>10</v>
      </c>
      <c r="P60" s="62">
        <f>shadex(D11,E11,F11,$D$13,$D$18,$E$18,$F$18,J60,K60,L60)</f>
        <v>0.19410559167214653</v>
      </c>
    </row>
    <row r="61" spans="2:20" x14ac:dyDescent="0.25">
      <c r="I61"/>
      <c r="J61"/>
      <c r="L61" s="227"/>
      <c r="M61" s="4"/>
      <c r="N61" s="4"/>
      <c r="O61" s="9"/>
      <c r="P61" s="9"/>
    </row>
    <row r="62" spans="2:20" x14ac:dyDescent="0.25">
      <c r="I62" s="46" t="s">
        <v>172</v>
      </c>
      <c r="J62" s="47"/>
      <c r="K62" s="47"/>
      <c r="L62" s="241"/>
      <c r="M62" s="225"/>
      <c r="N62" s="4"/>
      <c r="O62" s="9"/>
      <c r="P62" s="9"/>
    </row>
    <row r="63" spans="2:20" x14ac:dyDescent="0.25">
      <c r="I63" s="50"/>
      <c r="J63" s="9"/>
      <c r="K63" s="9"/>
      <c r="L63" s="219"/>
      <c r="M63" s="51"/>
      <c r="N63" s="4"/>
      <c r="O63" s="9"/>
      <c r="P63" s="9"/>
    </row>
    <row r="64" spans="2:20" x14ac:dyDescent="0.25">
      <c r="I64" s="255" t="s">
        <v>7</v>
      </c>
      <c r="J64" s="9">
        <f>ATAN(L51/K51)</f>
        <v>-3.8313443456401135E-2</v>
      </c>
      <c r="K64" s="9"/>
      <c r="L64" s="219"/>
      <c r="M64" s="51"/>
      <c r="N64" s="4"/>
      <c r="O64"/>
      <c r="P64"/>
    </row>
    <row r="65" spans="9:18" x14ac:dyDescent="0.25">
      <c r="I65" s="77" t="s">
        <v>8</v>
      </c>
      <c r="J65" s="9">
        <f t="shared" ref="J65:J67" si="11">ATAN(L52/K52)</f>
        <v>-5.3838081220987044E-2</v>
      </c>
      <c r="K65" s="9"/>
      <c r="L65" s="219"/>
      <c r="M65" s="51"/>
      <c r="N65" s="4"/>
      <c r="O65"/>
      <c r="P65"/>
    </row>
    <row r="66" spans="9:18" x14ac:dyDescent="0.25">
      <c r="I66" s="256" t="s">
        <v>18</v>
      </c>
      <c r="J66" s="9">
        <f t="shared" si="11"/>
        <v>2.6160317509060536E-2</v>
      </c>
      <c r="K66" s="9"/>
      <c r="L66" s="219"/>
      <c r="M66" s="51"/>
      <c r="N66" s="4"/>
      <c r="O66"/>
      <c r="P66"/>
    </row>
    <row r="67" spans="9:18" x14ac:dyDescent="0.25">
      <c r="I67" s="164" t="s">
        <v>10</v>
      </c>
      <c r="J67" s="9">
        <f t="shared" si="11"/>
        <v>3.8467806394246067E-2</v>
      </c>
      <c r="K67" s="9"/>
      <c r="L67" s="219"/>
      <c r="M67" s="51"/>
      <c r="N67" s="4"/>
      <c r="O67" s="118">
        <f>J69-J71</f>
        <v>-3.0838810749120316E-4</v>
      </c>
      <c r="P67" s="118">
        <f>K69-K71</f>
        <v>-5.11380592185251E-5</v>
      </c>
      <c r="Q67">
        <f>SQRT(O67*O67+P67*P67)</f>
        <v>3.125993057296245E-4</v>
      </c>
    </row>
    <row r="68" spans="9:18" x14ac:dyDescent="0.25">
      <c r="I68" s="50"/>
      <c r="J68" s="9"/>
      <c r="K68" s="9"/>
      <c r="L68" s="219"/>
      <c r="M68" s="51"/>
      <c r="N68" s="4"/>
      <c r="O68"/>
      <c r="P68"/>
    </row>
    <row r="69" spans="9:18" x14ac:dyDescent="0.25">
      <c r="I69" s="255" t="s">
        <v>7</v>
      </c>
      <c r="J69" s="190">
        <f>J51</f>
        <v>-0.16374399625939628</v>
      </c>
      <c r="K69" s="9">
        <f>K51*COS(-J64)-L51*SIN(-J64)</f>
        <v>0.98650286552498301</v>
      </c>
      <c r="L69" s="9">
        <f>K51*SIN(-J64)+L51*COS(-J64)</f>
        <v>0</v>
      </c>
      <c r="M69" s="51"/>
      <c r="N69" s="4"/>
      <c r="O69"/>
      <c r="P69"/>
      <c r="R69">
        <f>shadex(D10,E10,F10,$D$13,$D$18,$E$18,$F$18,J69,K69,L69)</f>
        <v>0.1609784848031878</v>
      </c>
    </row>
    <row r="70" spans="9:18" x14ac:dyDescent="0.25">
      <c r="I70" s="77" t="s">
        <v>8</v>
      </c>
      <c r="J70" s="190">
        <f t="shared" ref="J70:J72" si="12">J52</f>
        <v>-1.241721406932241E-2</v>
      </c>
      <c r="K70" s="9">
        <f>K52*COS(-J65)-L52*SIN(-J65)</f>
        <v>0.99992290342543733</v>
      </c>
      <c r="L70" s="9">
        <f>K52*SIN(-J65)+L52*COS(-J65)</f>
        <v>0</v>
      </c>
      <c r="M70" s="51"/>
      <c r="N70" s="4"/>
      <c r="O70"/>
      <c r="P70"/>
      <c r="R70">
        <f>shadex(D9,E9,F9,$D$13,$D$18,$E$18,$F$18,$J$69,$K$69,$L$69)</f>
        <v>0.28244471498370605</v>
      </c>
    </row>
    <row r="71" spans="9:18" x14ac:dyDescent="0.25">
      <c r="I71" s="256" t="s">
        <v>18</v>
      </c>
      <c r="J71" s="190">
        <f t="shared" si="12"/>
        <v>-0.16343560815190508</v>
      </c>
      <c r="K71" s="9">
        <f>K53*COS(-J66)-L53*SIN(-J66)</f>
        <v>0.98655400358420153</v>
      </c>
      <c r="L71" s="9">
        <f>K53*SIN(-J66)+L53*COS(-J66)</f>
        <v>0</v>
      </c>
      <c r="M71" s="51"/>
      <c r="N71" s="4"/>
      <c r="O71"/>
      <c r="P71"/>
      <c r="R71">
        <f>shadex(D11,E11,F11,$D$13,$D$18,$E$18,$F$18,$J$69,$K$69,$L$69)</f>
        <v>0.19483785007384119</v>
      </c>
    </row>
    <row r="72" spans="9:18" x14ac:dyDescent="0.25">
      <c r="I72" s="164" t="s">
        <v>10</v>
      </c>
      <c r="J72" s="190">
        <f t="shared" si="12"/>
        <v>-6.072254337186265E-3</v>
      </c>
      <c r="K72" s="9">
        <f>K54*COS(-J67)-L54*SIN(-J67)</f>
        <v>0.99998156369368341</v>
      </c>
      <c r="L72" s="9">
        <f>K54*SIN(-J67)+L54*COS(-J67)</f>
        <v>0</v>
      </c>
      <c r="M72" s="51"/>
      <c r="N72" s="4"/>
      <c r="O72"/>
      <c r="P72"/>
    </row>
    <row r="73" spans="9:18" x14ac:dyDescent="0.25">
      <c r="I73" s="50"/>
      <c r="J73" s="9"/>
      <c r="K73" s="9"/>
      <c r="L73" s="219"/>
      <c r="M73" s="51"/>
      <c r="N73" s="4"/>
      <c r="O73"/>
      <c r="P73"/>
    </row>
    <row r="74" spans="9:18" x14ac:dyDescent="0.25">
      <c r="I74" s="50"/>
      <c r="J74" s="9" t="s">
        <v>171</v>
      </c>
      <c r="K74" s="9"/>
      <c r="L74" s="219"/>
      <c r="M74" s="51"/>
      <c r="N74" s="4"/>
      <c r="O74"/>
      <c r="P74"/>
    </row>
    <row r="75" spans="9:18" x14ac:dyDescent="0.25">
      <c r="I75" s="50"/>
      <c r="J75" s="9" t="s">
        <v>169</v>
      </c>
      <c r="K75" s="9"/>
      <c r="L75" s="219"/>
      <c r="M75" s="51"/>
      <c r="N75" s="4"/>
      <c r="O75"/>
      <c r="P75"/>
    </row>
    <row r="76" spans="9:18" x14ac:dyDescent="0.25">
      <c r="I76" s="52"/>
      <c r="J76" s="57" t="s">
        <v>170</v>
      </c>
      <c r="K76" s="57"/>
      <c r="L76" s="242"/>
      <c r="M76" s="55"/>
      <c r="N76" s="4"/>
      <c r="O76"/>
      <c r="P76"/>
    </row>
    <row r="77" spans="9:18" x14ac:dyDescent="0.25">
      <c r="J77"/>
      <c r="M77" s="227"/>
      <c r="N77" s="4"/>
      <c r="P77"/>
    </row>
  </sheetData>
  <pageMargins left="0.7" right="0.7" top="0.75" bottom="0.75" header="0.3" footer="0.3"/>
  <pageSetup paperSize="9" orientation="portrait" r:id="rId1"/>
  <ignoredErrors>
    <ignoredError sqref="J59:L60 P59:P60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8F1A-DAA8-4E25-BBA7-B2DECAD47A8A}">
  <sheetPr codeName="Sheet14"/>
  <dimension ref="B1:Y63"/>
  <sheetViews>
    <sheetView topLeftCell="A16" workbookViewId="0">
      <selection activeCell="V14" sqref="V14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1" width="9.5703125" style="4" customWidth="1"/>
    <col min="12" max="13" width="9.140625" style="4"/>
    <col min="17" max="17" width="9.140625" style="227"/>
    <col min="18" max="19" width="9.5703125" style="4" customWidth="1"/>
    <col min="20" max="21" width="9.5703125" customWidth="1"/>
  </cols>
  <sheetData>
    <row r="1" spans="2:23" x14ac:dyDescent="0.25">
      <c r="B1" s="227" t="s">
        <v>167</v>
      </c>
      <c r="H1" s="9"/>
      <c r="I1" s="219"/>
      <c r="J1" s="10"/>
      <c r="K1" s="10"/>
      <c r="L1" s="10"/>
      <c r="M1" s="10"/>
      <c r="N1" s="10"/>
      <c r="O1" s="9"/>
      <c r="P1" s="9"/>
      <c r="Q1" s="219"/>
      <c r="R1" s="10"/>
      <c r="S1" s="10"/>
      <c r="T1" s="9"/>
      <c r="U1" s="9"/>
      <c r="V1" s="9"/>
      <c r="W1" s="9"/>
    </row>
    <row r="2" spans="2:23" x14ac:dyDescent="0.25">
      <c r="H2" s="9"/>
      <c r="I2" s="219"/>
      <c r="J2" s="10"/>
      <c r="K2" s="10"/>
      <c r="L2" s="10"/>
      <c r="M2" s="10"/>
      <c r="N2" s="9"/>
      <c r="O2" s="9"/>
      <c r="P2" s="9"/>
      <c r="Q2" s="219"/>
      <c r="R2" s="10"/>
      <c r="S2" s="10"/>
      <c r="T2" s="10"/>
      <c r="U2" s="10"/>
      <c r="V2" s="9"/>
      <c r="W2" s="9"/>
    </row>
    <row r="3" spans="2:23" x14ac:dyDescent="0.25">
      <c r="B3" s="229" t="s">
        <v>138</v>
      </c>
      <c r="C3" s="224"/>
      <c r="D3" s="224"/>
      <c r="E3" s="224"/>
      <c r="F3" s="225"/>
      <c r="H3" s="229" t="s">
        <v>166</v>
      </c>
      <c r="I3" s="241"/>
      <c r="J3" s="224"/>
      <c r="K3" s="224"/>
      <c r="L3" s="225"/>
      <c r="M3" s="10"/>
      <c r="N3" s="229" t="s">
        <v>112</v>
      </c>
      <c r="O3" s="224"/>
      <c r="P3" s="135"/>
      <c r="Q3" s="224"/>
      <c r="R3" s="70"/>
      <c r="S3" s="10"/>
      <c r="T3" s="11">
        <f>$D$18</f>
        <v>-37.5</v>
      </c>
      <c r="U3" s="11">
        <f>$E$19</f>
        <v>0</v>
      </c>
      <c r="V3" s="219" t="s">
        <v>7</v>
      </c>
      <c r="W3" s="9"/>
    </row>
    <row r="4" spans="2:23" x14ac:dyDescent="0.25">
      <c r="B4" s="230"/>
      <c r="C4" s="10"/>
      <c r="D4" s="10"/>
      <c r="E4" s="10"/>
      <c r="F4" s="51"/>
      <c r="H4" s="50"/>
      <c r="I4" s="219"/>
      <c r="J4" s="10">
        <v>2.75</v>
      </c>
      <c r="K4" s="10"/>
      <c r="L4" s="51"/>
      <c r="M4" s="10"/>
      <c r="N4" s="71"/>
      <c r="O4" s="10"/>
      <c r="P4" s="10"/>
      <c r="Q4" s="10"/>
      <c r="R4" s="93"/>
      <c r="S4" s="126"/>
      <c r="T4" s="11">
        <f>$D$18+O51*$D$32</f>
        <v>-42.412319883712456</v>
      </c>
      <c r="U4" s="11">
        <f>$D$19+P51*$D$32</f>
        <v>29.573367014203402</v>
      </c>
      <c r="V4" s="219"/>
      <c r="W4" s="9"/>
    </row>
    <row r="5" spans="2:23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10" t="s">
        <v>7</v>
      </c>
      <c r="J5" s="10">
        <v>0.53301507199999998</v>
      </c>
      <c r="K5" s="251"/>
      <c r="L5" s="88"/>
      <c r="M5" s="10"/>
      <c r="N5" s="71" t="s">
        <v>113</v>
      </c>
      <c r="O5" s="10" t="s">
        <v>23</v>
      </c>
      <c r="P5" s="10" t="s">
        <v>24</v>
      </c>
      <c r="Q5" s="13" t="s">
        <v>121</v>
      </c>
      <c r="R5" s="93" t="s">
        <v>124</v>
      </c>
      <c r="S5" s="126"/>
      <c r="T5" s="10"/>
      <c r="U5" s="10"/>
      <c r="V5" s="219"/>
      <c r="W5" s="9"/>
    </row>
    <row r="6" spans="2:23" x14ac:dyDescent="0.25">
      <c r="B6" s="230"/>
      <c r="C6" s="10"/>
      <c r="D6" s="10"/>
      <c r="E6" s="10"/>
      <c r="F6" s="51"/>
      <c r="H6" s="50"/>
      <c r="I6" s="10" t="s">
        <v>8</v>
      </c>
      <c r="J6" s="10">
        <v>0.75711393400000004</v>
      </c>
      <c r="K6" s="251"/>
      <c r="L6" s="88"/>
      <c r="M6" s="10"/>
      <c r="N6" s="77" t="s">
        <v>7</v>
      </c>
      <c r="O6" s="126">
        <f>D8-$D$18</f>
        <v>-162.5</v>
      </c>
      <c r="P6" s="126">
        <f>E8-$E$18</f>
        <v>197.25</v>
      </c>
      <c r="Q6" s="126">
        <f>F8-$F$18</f>
        <v>-37.5</v>
      </c>
      <c r="R6" s="93">
        <f>SQRT(O6*O6+P6*P6+Q6*Q6)</f>
        <v>258.30226963772503</v>
      </c>
      <c r="S6" s="126"/>
      <c r="T6" s="11">
        <f>$D$18</f>
        <v>-37.5</v>
      </c>
      <c r="U6" s="11">
        <f>$E$19</f>
        <v>0</v>
      </c>
      <c r="V6" s="219" t="s">
        <v>18</v>
      </c>
      <c r="W6" s="9"/>
    </row>
    <row r="7" spans="2:23" x14ac:dyDescent="0.25">
      <c r="B7" s="230"/>
      <c r="C7" s="10"/>
      <c r="D7" s="10" t="s">
        <v>5</v>
      </c>
      <c r="E7" s="10" t="s">
        <v>6</v>
      </c>
      <c r="F7" s="51" t="s">
        <v>42</v>
      </c>
      <c r="H7" s="50"/>
      <c r="I7" s="10" t="s">
        <v>18</v>
      </c>
      <c r="J7" s="10">
        <v>1.0499863599999999</v>
      </c>
      <c r="K7" s="251"/>
      <c r="L7" s="88"/>
      <c r="M7" s="10"/>
      <c r="N7" s="77" t="s">
        <v>8</v>
      </c>
      <c r="O7" s="126">
        <f t="shared" ref="O7:O9" si="0">D9-$D$18</f>
        <v>37.5</v>
      </c>
      <c r="P7" s="126">
        <f t="shared" ref="P7:P9" si="1">E9-$E$18</f>
        <v>197.25</v>
      </c>
      <c r="Q7" s="126">
        <f t="shared" ref="Q7:Q9" si="2">F9-$F$18</f>
        <v>162.5</v>
      </c>
      <c r="R7" s="93">
        <f t="shared" ref="R7:R9" si="3">SQRT(O7*O7+P7*P7+Q7*Q7)</f>
        <v>258.30226963772503</v>
      </c>
      <c r="S7" s="126"/>
      <c r="T7" s="11">
        <f>$D$18+O53*$D$32</f>
        <v>-42.403068244557154</v>
      </c>
      <c r="U7" s="11">
        <f>$D$19+P53*$D$32</f>
        <v>29.586493280875757</v>
      </c>
      <c r="V7" s="219"/>
      <c r="W7" s="9"/>
    </row>
    <row r="8" spans="2:23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50"/>
      <c r="I8" s="10" t="s">
        <v>10</v>
      </c>
      <c r="J8" s="10">
        <v>0.92270547199999997</v>
      </c>
      <c r="K8" s="251"/>
      <c r="L8" s="88"/>
      <c r="M8" s="10"/>
      <c r="N8" s="164" t="s">
        <v>18</v>
      </c>
      <c r="O8" s="126">
        <f t="shared" si="0"/>
        <v>237.5</v>
      </c>
      <c r="P8" s="126">
        <f t="shared" si="1"/>
        <v>197.25</v>
      </c>
      <c r="Q8" s="126">
        <f t="shared" si="2"/>
        <v>-37.5</v>
      </c>
      <c r="R8" s="93">
        <f t="shared" si="3"/>
        <v>310.99849276162098</v>
      </c>
      <c r="S8" s="126"/>
      <c r="T8" s="10"/>
      <c r="U8" s="10"/>
      <c r="V8" s="219"/>
      <c r="W8" s="9"/>
    </row>
    <row r="9" spans="2:23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52"/>
      <c r="I9" s="242"/>
      <c r="J9" s="207"/>
      <c r="K9" s="207"/>
      <c r="L9" s="91"/>
      <c r="M9" s="10"/>
      <c r="N9" s="164" t="s">
        <v>10</v>
      </c>
      <c r="O9" s="126">
        <f t="shared" si="0"/>
        <v>37.5</v>
      </c>
      <c r="P9" s="126">
        <f t="shared" si="1"/>
        <v>197.25</v>
      </c>
      <c r="Q9" s="126">
        <f t="shared" si="2"/>
        <v>-237.5</v>
      </c>
      <c r="R9" s="93">
        <f t="shared" si="3"/>
        <v>310.99849276162098</v>
      </c>
      <c r="S9" s="126"/>
      <c r="T9" s="11"/>
      <c r="U9" s="11"/>
      <c r="V9" s="219"/>
      <c r="W9" s="9"/>
    </row>
    <row r="10" spans="2:23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9"/>
      <c r="I10" s="219"/>
      <c r="J10" s="188"/>
      <c r="K10" s="148"/>
      <c r="L10" s="11"/>
      <c r="M10" s="10"/>
      <c r="N10" s="71"/>
      <c r="O10" s="126"/>
      <c r="P10" s="126"/>
      <c r="Q10" s="126"/>
      <c r="R10" s="144"/>
      <c r="S10" s="13"/>
      <c r="T10" s="10"/>
      <c r="U10" s="10"/>
      <c r="V10" s="219"/>
      <c r="W10" s="9"/>
    </row>
    <row r="11" spans="2:23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229" t="s">
        <v>152</v>
      </c>
      <c r="I11" s="241"/>
      <c r="J11" s="252"/>
      <c r="K11" s="193"/>
      <c r="L11" s="87"/>
      <c r="M11" s="10"/>
      <c r="N11" s="71" t="s">
        <v>86</v>
      </c>
      <c r="O11" s="126" t="s">
        <v>125</v>
      </c>
      <c r="P11" s="126" t="s">
        <v>126</v>
      </c>
      <c r="Q11" s="126" t="s">
        <v>127</v>
      </c>
      <c r="R11" s="93"/>
      <c r="S11" s="126"/>
      <c r="T11" s="10"/>
      <c r="U11" s="10"/>
      <c r="V11" s="219"/>
      <c r="W11" s="9"/>
    </row>
    <row r="12" spans="2:23" x14ac:dyDescent="0.25">
      <c r="B12" s="230"/>
      <c r="C12" s="10"/>
      <c r="D12" s="11"/>
      <c r="E12" s="11"/>
      <c r="F12" s="88"/>
      <c r="H12" s="50"/>
      <c r="I12" s="219"/>
      <c r="J12" s="188" t="s">
        <v>62</v>
      </c>
      <c r="K12" s="10" t="s">
        <v>151</v>
      </c>
      <c r="L12" s="141"/>
      <c r="M12" s="219"/>
      <c r="N12" s="77" t="s">
        <v>7</v>
      </c>
      <c r="O12" s="126">
        <f>O6/$R6</f>
        <v>-0.62910790612838996</v>
      </c>
      <c r="P12" s="126">
        <f>P6/$R6</f>
        <v>0.76364021220815337</v>
      </c>
      <c r="Q12" s="126">
        <f>Q6/$R6</f>
        <v>-0.14517874756808999</v>
      </c>
      <c r="R12" s="93"/>
      <c r="S12" s="126"/>
      <c r="T12" s="261"/>
      <c r="U12" s="261"/>
      <c r="V12" s="219"/>
      <c r="W12" s="9"/>
    </row>
    <row r="13" spans="2:23" x14ac:dyDescent="0.25">
      <c r="B13" s="230"/>
      <c r="C13" s="10" t="s">
        <v>13</v>
      </c>
      <c r="D13" s="11">
        <v>100</v>
      </c>
      <c r="E13" s="11"/>
      <c r="F13" s="88"/>
      <c r="H13" s="50"/>
      <c r="I13" s="10" t="s">
        <v>7</v>
      </c>
      <c r="J13" s="254">
        <f>shadex(D8,E8,F8,$D$13,$D$18,$E$18,$F$18,$O$51,$P$51,$Q$51)</f>
        <v>0.33343839094810113</v>
      </c>
      <c r="K13" s="251">
        <f>INT(J13*255+0.5)</f>
        <v>85</v>
      </c>
      <c r="L13" s="253"/>
      <c r="M13" s="144"/>
      <c r="N13" s="77" t="s">
        <v>8</v>
      </c>
      <c r="O13" s="126">
        <f t="shared" ref="O13:Q15" si="4">O7/$R7</f>
        <v>0.14517874756808999</v>
      </c>
      <c r="P13" s="126">
        <f t="shared" si="4"/>
        <v>0.76364021220815337</v>
      </c>
      <c r="Q13" s="126">
        <f t="shared" si="4"/>
        <v>0.62910790612838996</v>
      </c>
      <c r="R13" s="93"/>
      <c r="S13" s="126"/>
      <c r="T13" s="10"/>
      <c r="U13" s="10"/>
      <c r="V13" s="219"/>
      <c r="W13" s="9"/>
    </row>
    <row r="14" spans="2:23" x14ac:dyDescent="0.25">
      <c r="B14" s="232"/>
      <c r="C14" s="58"/>
      <c r="D14" s="207"/>
      <c r="E14" s="207"/>
      <c r="F14" s="91"/>
      <c r="H14" s="50"/>
      <c r="I14" s="10" t="s">
        <v>8</v>
      </c>
      <c r="J14" s="254">
        <f>shadex(D9,E9,F9,$D$13,$D$18,$E$18,$F$18,$O$52,$P$52,$Q$52)</f>
        <v>0.28138400140479936</v>
      </c>
      <c r="K14" s="251">
        <f>INT(J14*255+0.5)</f>
        <v>72</v>
      </c>
      <c r="L14" s="253"/>
      <c r="M14" s="243"/>
      <c r="N14" s="164" t="s">
        <v>18</v>
      </c>
      <c r="O14" s="126">
        <f t="shared" si="4"/>
        <v>0.76366929592177391</v>
      </c>
      <c r="P14" s="126">
        <f t="shared" si="4"/>
        <v>0.63424744682345224</v>
      </c>
      <c r="Q14" s="126">
        <f t="shared" si="4"/>
        <v>-0.12057936251396431</v>
      </c>
      <c r="R14" s="93"/>
      <c r="S14" s="126"/>
      <c r="T14" s="10"/>
      <c r="U14" s="10"/>
      <c r="V14" s="219"/>
      <c r="W14" s="9"/>
    </row>
    <row r="15" spans="2:23" x14ac:dyDescent="0.25">
      <c r="B15" s="219"/>
      <c r="C15" s="10"/>
      <c r="D15" s="11"/>
      <c r="E15" s="11"/>
      <c r="F15" s="11"/>
      <c r="H15" s="50"/>
      <c r="I15" s="10" t="s">
        <v>18</v>
      </c>
      <c r="J15" s="254">
        <f>shadex(D10,E10,F10,$D$13,$D$18,$E$18,$F$18,$O$53,$P$53,$Q$53)</f>
        <v>0.15999527042069381</v>
      </c>
      <c r="K15" s="251">
        <f>INT(J15*255+0.5)</f>
        <v>41</v>
      </c>
      <c r="L15" s="253"/>
      <c r="M15" s="244"/>
      <c r="N15" s="164" t="s">
        <v>10</v>
      </c>
      <c r="O15" s="126">
        <f t="shared" si="4"/>
        <v>0.12057936251396431</v>
      </c>
      <c r="P15" s="126">
        <f t="shared" si="4"/>
        <v>0.63424744682345224</v>
      </c>
      <c r="Q15" s="126">
        <f t="shared" si="4"/>
        <v>-0.76366929592177391</v>
      </c>
      <c r="R15" s="93"/>
      <c r="S15" s="126"/>
      <c r="T15" s="10"/>
      <c r="U15" s="10"/>
      <c r="V15" s="219"/>
      <c r="W15" s="9"/>
    </row>
    <row r="16" spans="2:23" x14ac:dyDescent="0.25">
      <c r="B16" s="229" t="s">
        <v>136</v>
      </c>
      <c r="C16" s="224"/>
      <c r="D16" s="143"/>
      <c r="E16" s="143"/>
      <c r="F16" s="87"/>
      <c r="H16" s="50"/>
      <c r="I16" s="10" t="s">
        <v>10</v>
      </c>
      <c r="J16" s="254">
        <f>shadex(D11,E11,F11,$D$13,$D$18,$E$18,$F$18,$O$54,$P$54,$Q$54)</f>
        <v>0.1941055915833842</v>
      </c>
      <c r="K16" s="251">
        <f>INT(J16*255+0.5)</f>
        <v>49</v>
      </c>
      <c r="L16" s="51"/>
      <c r="M16" s="243"/>
      <c r="N16" s="71"/>
      <c r="O16" s="126"/>
      <c r="P16" s="226"/>
      <c r="Q16" s="123"/>
      <c r="R16" s="167"/>
      <c r="S16" s="166"/>
      <c r="T16" s="10"/>
      <c r="U16" s="10"/>
      <c r="V16" s="219"/>
      <c r="W16" s="9"/>
    </row>
    <row r="17" spans="2:25" x14ac:dyDescent="0.25">
      <c r="B17" s="230"/>
      <c r="C17" s="10"/>
      <c r="D17" s="11" t="s">
        <v>5</v>
      </c>
      <c r="E17" s="11" t="s">
        <v>6</v>
      </c>
      <c r="F17" s="88" t="s">
        <v>42</v>
      </c>
      <c r="H17" s="52"/>
      <c r="I17" s="257"/>
      <c r="J17" s="142"/>
      <c r="K17" s="142"/>
      <c r="L17" s="55"/>
      <c r="M17" s="244"/>
      <c r="N17" s="71" t="s">
        <v>114</v>
      </c>
      <c r="O17" s="126" t="s">
        <v>128</v>
      </c>
      <c r="P17" s="126" t="s">
        <v>129</v>
      </c>
      <c r="Q17" s="123"/>
      <c r="R17" s="144"/>
      <c r="S17" s="13"/>
      <c r="T17" s="10"/>
      <c r="U17" s="10"/>
      <c r="V17" s="219"/>
      <c r="W17" s="9"/>
    </row>
    <row r="18" spans="2:25" x14ac:dyDescent="0.25">
      <c r="B18" s="230" t="s">
        <v>43</v>
      </c>
      <c r="C18" s="10"/>
      <c r="D18" s="11">
        <v>-37.5</v>
      </c>
      <c r="E18" s="11">
        <f>J4</f>
        <v>2.75</v>
      </c>
      <c r="F18" s="88">
        <v>37.5</v>
      </c>
      <c r="H18" s="9"/>
      <c r="I18" s="219"/>
      <c r="J18" s="236"/>
      <c r="K18" s="10"/>
      <c r="L18" s="10"/>
      <c r="M18" s="10"/>
      <c r="N18" s="77" t="s">
        <v>7</v>
      </c>
      <c r="O18" s="126">
        <f>IF(O12&gt;0,DEGREES(ATAN(Q12/O12)),180+DEGREES(ATAN(Q12/O12)))</f>
        <v>192.99461679191651</v>
      </c>
      <c r="P18" s="126">
        <f>RADIANS(O18)</f>
        <v>3.3683915016436794</v>
      </c>
      <c r="Q18" s="123"/>
      <c r="R18" s="243"/>
      <c r="S18" s="168"/>
      <c r="T18" s="9"/>
      <c r="U18" s="9"/>
      <c r="V18" s="9"/>
      <c r="W18" s="9"/>
    </row>
    <row r="19" spans="2:25" x14ac:dyDescent="0.25">
      <c r="B19" s="230"/>
      <c r="C19" s="10"/>
      <c r="D19" s="11"/>
      <c r="E19" s="11"/>
      <c r="F19" s="88"/>
      <c r="H19" s="9"/>
      <c r="I19" s="219"/>
      <c r="J19" s="10"/>
      <c r="K19" s="10"/>
      <c r="L19" s="10"/>
      <c r="M19" s="10"/>
      <c r="N19" s="77" t="s">
        <v>8</v>
      </c>
      <c r="O19" s="126">
        <f t="shared" ref="O19:O21" si="5">IF(O13&gt;0,DEGREES(ATAN(Q13/O13)),180-DEGREES(ATAN(Q13/O13)))</f>
        <v>77.005383208083501</v>
      </c>
      <c r="P19" s="126">
        <f t="shared" ref="P19:P21" si="6">RADIANS(O19)</f>
        <v>1.3439974787410107</v>
      </c>
      <c r="Q19" s="123"/>
      <c r="R19" s="244"/>
      <c r="S19" s="178"/>
      <c r="T19" s="9"/>
      <c r="U19" s="9"/>
      <c r="V19" s="9"/>
      <c r="W19" s="9"/>
    </row>
    <row r="20" spans="2:25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46"/>
      <c r="I20" s="47"/>
      <c r="J20" s="224"/>
      <c r="K20" s="47"/>
      <c r="L20" s="70"/>
      <c r="M20" s="9"/>
      <c r="N20" s="164" t="s">
        <v>18</v>
      </c>
      <c r="O20" s="126">
        <f t="shared" si="5"/>
        <v>-8.9726266148963951</v>
      </c>
      <c r="P20" s="126">
        <f t="shared" si="6"/>
        <v>-0.15660187698201539</v>
      </c>
      <c r="Q20" s="10"/>
      <c r="R20" s="243"/>
      <c r="S20" s="168"/>
      <c r="T20" s="9"/>
      <c r="U20" s="9"/>
      <c r="V20" s="9"/>
      <c r="W20" s="9"/>
      <c r="X20" s="9"/>
      <c r="Y20" s="9"/>
    </row>
    <row r="21" spans="2:25" x14ac:dyDescent="0.25">
      <c r="B21" s="230"/>
      <c r="C21" s="10"/>
      <c r="D21" s="126"/>
      <c r="E21" s="10"/>
      <c r="F21" s="144"/>
      <c r="H21" s="50"/>
      <c r="I21" s="10">
        <v>0</v>
      </c>
      <c r="J21" s="10">
        <v>2.75</v>
      </c>
      <c r="K21" s="10">
        <v>5</v>
      </c>
      <c r="L21" s="51"/>
      <c r="M21" s="10"/>
      <c r="N21" s="164" t="s">
        <v>10</v>
      </c>
      <c r="O21" s="126">
        <f t="shared" si="5"/>
        <v>-81.027373385103616</v>
      </c>
      <c r="P21" s="126">
        <f t="shared" si="6"/>
        <v>-1.4141944498128813</v>
      </c>
      <c r="Q21" s="10"/>
      <c r="R21" s="244"/>
      <c r="S21" s="178"/>
      <c r="T21" s="9"/>
      <c r="U21" s="9"/>
      <c r="V21" s="9"/>
      <c r="W21" s="9"/>
      <c r="X21" s="9"/>
      <c r="Y21" s="9"/>
    </row>
    <row r="22" spans="2:25" x14ac:dyDescent="0.25">
      <c r="B22" s="230"/>
      <c r="C22" s="10"/>
      <c r="D22" s="126"/>
      <c r="E22" s="10"/>
      <c r="F22" s="144"/>
      <c r="H22" s="50"/>
      <c r="I22" s="10">
        <v>0.51901969999999997</v>
      </c>
      <c r="J22" s="10">
        <v>0.53301507199999998</v>
      </c>
      <c r="K22" s="10">
        <v>0.54414570299999998</v>
      </c>
      <c r="L22" s="51"/>
      <c r="M22" s="10"/>
      <c r="N22" s="71"/>
      <c r="O22" s="126"/>
      <c r="P22" s="126"/>
      <c r="Q22" s="13"/>
      <c r="R22" s="167"/>
      <c r="S22" s="166"/>
      <c r="T22" s="9"/>
      <c r="U22" s="9"/>
      <c r="V22" s="9"/>
      <c r="W22" s="9"/>
      <c r="X22" s="9"/>
      <c r="Y22" s="9"/>
    </row>
    <row r="23" spans="2:25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50"/>
      <c r="I23" s="10">
        <v>0.748435199</v>
      </c>
      <c r="J23" s="10">
        <v>0.75711393400000004</v>
      </c>
      <c r="K23" s="10">
        <v>0.764103949</v>
      </c>
      <c r="L23" s="51"/>
      <c r="M23" s="10"/>
      <c r="N23" s="230" t="s">
        <v>117</v>
      </c>
      <c r="O23" s="9"/>
      <c r="P23" s="9"/>
      <c r="Q23" s="9"/>
      <c r="R23" s="72"/>
      <c r="S23" s="9"/>
      <c r="T23" s="9"/>
      <c r="U23" s="9"/>
      <c r="V23" s="9"/>
      <c r="W23" s="9"/>
      <c r="X23" s="9"/>
      <c r="Y23" s="9"/>
    </row>
    <row r="24" spans="2:25" x14ac:dyDescent="0.25">
      <c r="B24" s="230"/>
      <c r="C24" s="10" t="s">
        <v>70</v>
      </c>
      <c r="D24" s="11">
        <v>0</v>
      </c>
      <c r="E24" s="11"/>
      <c r="F24" s="144"/>
      <c r="G24" s="13"/>
      <c r="H24" s="50"/>
      <c r="I24" s="10">
        <v>1.0499863599999999</v>
      </c>
      <c r="J24" s="10">
        <v>1.0499863599999999</v>
      </c>
      <c r="K24" s="10">
        <v>1.0499863599999999</v>
      </c>
      <c r="L24" s="51"/>
      <c r="M24" s="10"/>
      <c r="N24" s="230"/>
      <c r="O24" s="9"/>
      <c r="P24" s="9"/>
      <c r="Q24" s="9"/>
      <c r="R24" s="72"/>
      <c r="S24" s="9"/>
      <c r="T24" s="9"/>
      <c r="U24" s="9"/>
      <c r="V24" s="9"/>
      <c r="W24" s="9"/>
      <c r="X24" s="9"/>
      <c r="Y24" s="9"/>
    </row>
    <row r="25" spans="2:25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50"/>
      <c r="I25" s="10">
        <v>0.91842180500000004</v>
      </c>
      <c r="J25" s="10">
        <v>0.92270547199999997</v>
      </c>
      <c r="K25" s="10">
        <v>0.92615312299999997</v>
      </c>
      <c r="L25" s="262"/>
      <c r="M25" s="11"/>
      <c r="N25" s="77" t="s">
        <v>7</v>
      </c>
      <c r="O25" s="126">
        <f>Q12*SIN(P18)+O12*COS(P18)</f>
        <v>0.64564202643468493</v>
      </c>
      <c r="P25" s="126">
        <f>P12</f>
        <v>0.76364021220815337</v>
      </c>
      <c r="Q25" s="126">
        <f>Q12*COS(P18)-O12*SIN(P18)</f>
        <v>0</v>
      </c>
      <c r="R25" s="167"/>
      <c r="S25" s="166"/>
      <c r="T25" s="10"/>
      <c r="U25" s="9"/>
      <c r="V25" s="9"/>
      <c r="W25" s="9"/>
      <c r="X25" s="9"/>
      <c r="Y25" s="9"/>
    </row>
    <row r="26" spans="2:25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52"/>
      <c r="I26" s="242"/>
      <c r="J26" s="242"/>
      <c r="K26" s="58"/>
      <c r="L26" s="55"/>
      <c r="M26" s="10"/>
      <c r="N26" s="77" t="s">
        <v>8</v>
      </c>
      <c r="O26" s="126">
        <f>Q13*SIN(P19)+O13*COS(P19)</f>
        <v>0.64564202643468493</v>
      </c>
      <c r="P26" s="126">
        <f>P13</f>
        <v>0.76364021220815337</v>
      </c>
      <c r="Q26" s="126">
        <f>Q13*COS(P19)-O13*SIN(P19)</f>
        <v>0</v>
      </c>
      <c r="R26" s="167"/>
      <c r="S26" s="166"/>
      <c r="T26" s="10"/>
      <c r="U26" s="9"/>
      <c r="V26" s="9"/>
      <c r="W26" s="9"/>
      <c r="X26" s="9"/>
      <c r="Y26" s="9"/>
    </row>
    <row r="27" spans="2:25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9"/>
      <c r="I27" s="9"/>
      <c r="J27" s="219"/>
      <c r="K27" s="208"/>
      <c r="L27" s="208"/>
      <c r="M27" s="208"/>
      <c r="N27" s="164" t="s">
        <v>18</v>
      </c>
      <c r="O27" s="126">
        <f>Q14*SIN(P20)+O14*COS(P20)</f>
        <v>0.77313011595586678</v>
      </c>
      <c r="P27" s="126">
        <f>P14</f>
        <v>0.63424744682345224</v>
      </c>
      <c r="Q27" s="126">
        <f>Q14*COS(P20)-O14*SIN(P20)</f>
        <v>0</v>
      </c>
      <c r="R27" s="167"/>
      <c r="S27" s="166"/>
      <c r="T27" s="10"/>
      <c r="U27" s="9"/>
      <c r="V27" s="9"/>
      <c r="W27" s="9"/>
      <c r="X27" s="9"/>
      <c r="Y27" s="9"/>
    </row>
    <row r="28" spans="2:25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9"/>
      <c r="I28" s="9"/>
      <c r="J28" s="219"/>
      <c r="K28" s="208"/>
      <c r="L28" s="208"/>
      <c r="M28" s="208"/>
      <c r="N28" s="164" t="s">
        <v>10</v>
      </c>
      <c r="O28" s="126">
        <f>Q15*SIN(P21)+O15*COS(P21)</f>
        <v>0.77313011595586667</v>
      </c>
      <c r="P28" s="126">
        <f>P15</f>
        <v>0.63424744682345224</v>
      </c>
      <c r="Q28" s="126">
        <f>Q15*COS(P21)-O15*SIN(P21)</f>
        <v>0</v>
      </c>
      <c r="R28" s="72"/>
      <c r="S28" s="9"/>
      <c r="T28" s="10"/>
      <c r="U28" s="9"/>
      <c r="V28" s="9"/>
      <c r="W28" s="9"/>
      <c r="X28" s="9"/>
      <c r="Y28" s="9"/>
    </row>
    <row r="29" spans="2:25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9"/>
      <c r="I29" s="9"/>
      <c r="J29" s="219"/>
      <c r="K29" s="11"/>
      <c r="L29" s="11"/>
      <c r="M29" s="11"/>
      <c r="N29" s="71"/>
      <c r="O29" s="13"/>
      <c r="P29" s="9"/>
      <c r="Q29" s="9"/>
      <c r="R29" s="72"/>
      <c r="S29" s="9"/>
      <c r="T29" s="10"/>
      <c r="U29" s="9"/>
      <c r="V29" s="9"/>
      <c r="W29" s="9"/>
      <c r="X29" s="9"/>
      <c r="Y29" s="9"/>
    </row>
    <row r="30" spans="2:25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9"/>
      <c r="I30" s="219"/>
      <c r="J30" s="219"/>
      <c r="K30" s="10"/>
      <c r="L30" s="10"/>
      <c r="M30" s="10"/>
      <c r="N30" s="146" t="s">
        <v>160</v>
      </c>
      <c r="O30" s="148" t="s">
        <v>84</v>
      </c>
      <c r="P30" s="13"/>
      <c r="Q30" s="13"/>
      <c r="R30" s="144"/>
      <c r="S30" s="13"/>
      <c r="T30" s="10"/>
      <c r="U30" s="10"/>
      <c r="V30" s="10"/>
      <c r="W30" s="10"/>
      <c r="X30" s="9"/>
      <c r="Y30" s="9"/>
    </row>
    <row r="31" spans="2:25" x14ac:dyDescent="0.25">
      <c r="B31" s="230"/>
      <c r="C31" s="10"/>
      <c r="D31" s="149"/>
      <c r="E31" s="149"/>
      <c r="F31" s="144"/>
      <c r="G31" s="4"/>
      <c r="H31" s="9"/>
      <c r="I31" s="9"/>
      <c r="J31" s="219"/>
      <c r="K31" s="11"/>
      <c r="L31" s="11"/>
      <c r="M31" s="11"/>
      <c r="N31" s="146"/>
      <c r="O31" s="148" t="s">
        <v>83</v>
      </c>
      <c r="P31" s="13"/>
      <c r="Q31" s="182"/>
      <c r="R31" s="183"/>
      <c r="S31" s="182"/>
      <c r="T31" s="10"/>
      <c r="U31" s="9"/>
      <c r="V31" s="9"/>
      <c r="W31" s="9"/>
      <c r="X31" s="9"/>
      <c r="Y31" s="9"/>
    </row>
    <row r="32" spans="2:25" x14ac:dyDescent="0.25">
      <c r="B32" s="232"/>
      <c r="C32" s="58" t="s">
        <v>61</v>
      </c>
      <c r="D32" s="150">
        <v>30</v>
      </c>
      <c r="E32" s="150"/>
      <c r="F32" s="151"/>
      <c r="G32" s="4"/>
      <c r="H32" s="9"/>
      <c r="I32" s="9"/>
      <c r="J32" s="219"/>
      <c r="K32" s="11"/>
      <c r="L32" s="11"/>
      <c r="M32" s="11"/>
      <c r="N32" s="146"/>
      <c r="O32" s="9"/>
      <c r="P32" s="62"/>
      <c r="Q32" s="126"/>
      <c r="R32" s="93"/>
      <c r="S32" s="126"/>
      <c r="T32" s="11"/>
      <c r="U32" s="11"/>
      <c r="V32" s="11"/>
      <c r="W32" s="10"/>
      <c r="X32" s="9"/>
      <c r="Y32" s="9"/>
    </row>
    <row r="33" spans="7:25" x14ac:dyDescent="0.25">
      <c r="G33" s="4"/>
      <c r="H33" s="9"/>
      <c r="I33" s="9"/>
      <c r="J33" s="219"/>
      <c r="K33" s="10"/>
      <c r="L33" s="10"/>
      <c r="M33" s="10"/>
      <c r="N33" s="146" t="s">
        <v>100</v>
      </c>
      <c r="O33" s="126"/>
      <c r="P33" s="126"/>
      <c r="Q33" s="126"/>
      <c r="R33" s="93"/>
      <c r="S33" s="126"/>
      <c r="T33" s="219"/>
      <c r="U33" s="10"/>
      <c r="V33" s="10"/>
      <c r="W33" s="10"/>
      <c r="X33" s="9"/>
      <c r="Y33" s="9"/>
    </row>
    <row r="34" spans="7:25" x14ac:dyDescent="0.25">
      <c r="G34" s="4"/>
      <c r="H34" s="9"/>
      <c r="I34" s="9"/>
      <c r="J34" s="219"/>
      <c r="K34" s="10"/>
      <c r="L34" s="10"/>
      <c r="M34" s="10"/>
      <c r="N34" s="77" t="s">
        <v>7</v>
      </c>
      <c r="O34" s="126">
        <f>O25*COS($J5)-P25*SIN($J5)</f>
        <v>0.16804749144620451</v>
      </c>
      <c r="P34" s="126">
        <f>O25*SIN($J5)+P25*COS($J5)</f>
        <v>0.98577890047344674</v>
      </c>
      <c r="Q34" s="126">
        <f>Q25</f>
        <v>0</v>
      </c>
      <c r="R34" s="93"/>
      <c r="S34" s="126"/>
      <c r="T34" s="10"/>
      <c r="U34" s="62"/>
      <c r="V34" s="62"/>
      <c r="W34" s="10"/>
      <c r="X34" s="9"/>
      <c r="Y34" s="9"/>
    </row>
    <row r="35" spans="7:25" x14ac:dyDescent="0.25">
      <c r="G35" s="4"/>
      <c r="H35" s="9"/>
      <c r="I35" s="9"/>
      <c r="J35" s="219"/>
      <c r="K35" s="188"/>
      <c r="L35" s="10"/>
      <c r="M35" s="10"/>
      <c r="N35" s="77" t="s">
        <v>8</v>
      </c>
      <c r="O35" s="126">
        <f>O26*COS($J6)-P26*SIN($J6)</f>
        <v>-5.5222099575080896E-2</v>
      </c>
      <c r="P35" s="126">
        <f>O26*SIN($J6)+P26*COS($J6)</f>
        <v>0.99847409566724354</v>
      </c>
      <c r="Q35" s="126">
        <f t="shared" ref="Q35:Q37" si="7">Q26</f>
        <v>0</v>
      </c>
      <c r="R35" s="93"/>
      <c r="S35" s="126"/>
      <c r="T35" s="188"/>
      <c r="U35" s="62"/>
      <c r="V35" s="62"/>
      <c r="W35" s="10"/>
      <c r="X35" s="9"/>
      <c r="Y35" s="9"/>
    </row>
    <row r="36" spans="7:25" x14ac:dyDescent="0.25">
      <c r="G36" s="4"/>
      <c r="H36" s="9"/>
      <c r="I36" s="9"/>
      <c r="J36" s="219"/>
      <c r="K36" s="10"/>
      <c r="L36" s="10"/>
      <c r="M36" s="10"/>
      <c r="N36" s="164" t="s">
        <v>18</v>
      </c>
      <c r="O36" s="126">
        <f>O27*COS($J7)-P27*SIN($J7)</f>
        <v>-0.16546035221866939</v>
      </c>
      <c r="P36" s="126">
        <f>O27*SIN($J7)+P27*COS($J7)</f>
        <v>0.98621644269585862</v>
      </c>
      <c r="Q36" s="126">
        <f t="shared" si="7"/>
        <v>0</v>
      </c>
      <c r="R36" s="93"/>
      <c r="S36" s="126"/>
      <c r="T36" s="10"/>
      <c r="U36" s="62"/>
      <c r="V36" s="62"/>
      <c r="W36" s="10"/>
      <c r="X36" s="9"/>
      <c r="Y36" s="9"/>
    </row>
    <row r="37" spans="7:25" x14ac:dyDescent="0.25">
      <c r="G37" s="4"/>
      <c r="H37" s="9"/>
      <c r="I37" s="9"/>
      <c r="J37" s="219"/>
      <c r="K37" s="188"/>
      <c r="L37" s="188"/>
      <c r="M37" s="188"/>
      <c r="N37" s="164" t="s">
        <v>10</v>
      </c>
      <c r="O37" s="126">
        <f>O28*COS($J8)-P28*SIN($J8)</f>
        <v>-3.8934048098642482E-2</v>
      </c>
      <c r="P37" s="126">
        <f>O28*SIN($J8)+P28*COS($J8)</f>
        <v>0.99924178250243934</v>
      </c>
      <c r="Q37" s="126">
        <f t="shared" si="7"/>
        <v>0</v>
      </c>
      <c r="R37" s="93"/>
      <c r="S37" s="126"/>
      <c r="T37" s="188"/>
      <c r="U37" s="62"/>
      <c r="V37" s="62"/>
      <c r="W37" s="10"/>
      <c r="X37" s="9"/>
      <c r="Y37" s="9"/>
    </row>
    <row r="38" spans="7:25" x14ac:dyDescent="0.25">
      <c r="G38" s="4"/>
      <c r="H38" s="9"/>
      <c r="I38" s="9"/>
      <c r="J38" s="219"/>
      <c r="K38" s="11"/>
      <c r="L38" s="10"/>
      <c r="M38" s="10"/>
      <c r="N38" s="71"/>
      <c r="O38" s="13"/>
      <c r="P38" s="13"/>
      <c r="Q38" s="126"/>
      <c r="R38" s="93"/>
      <c r="S38" s="126"/>
      <c r="T38" s="11"/>
      <c r="U38" s="62"/>
      <c r="V38" s="62"/>
      <c r="W38" s="10"/>
      <c r="X38" s="9"/>
      <c r="Y38" s="9"/>
    </row>
    <row r="39" spans="7:25" x14ac:dyDescent="0.25">
      <c r="G39" s="4"/>
      <c r="H39" s="9"/>
      <c r="I39" s="9"/>
      <c r="J39" s="219"/>
      <c r="K39" s="188"/>
      <c r="L39" s="10"/>
      <c r="M39" s="10"/>
      <c r="N39" s="71" t="s">
        <v>101</v>
      </c>
      <c r="O39" s="13"/>
      <c r="P39" s="13"/>
      <c r="Q39" s="126"/>
      <c r="R39" s="93"/>
      <c r="S39" s="126"/>
      <c r="T39" s="188"/>
      <c r="U39" s="62"/>
      <c r="V39" s="62"/>
      <c r="W39" s="10"/>
      <c r="X39" s="9"/>
      <c r="Y39" s="9"/>
    </row>
    <row r="40" spans="7:25" x14ac:dyDescent="0.25">
      <c r="G40" s="4"/>
      <c r="H40" s="9"/>
      <c r="I40" s="9"/>
      <c r="J40" s="219"/>
      <c r="K40" s="10"/>
      <c r="L40" s="10"/>
      <c r="M40" s="10"/>
      <c r="N40" s="77" t="s">
        <v>7</v>
      </c>
      <c r="O40" s="126">
        <f>O25*COS(-$J5)-P25*SIN(-$J5)</f>
        <v>0.94410825808189269</v>
      </c>
      <c r="P40" s="126">
        <f>O25*SIN(-$J5)+P25*COS(-$J5)</f>
        <v>0.32963555181681214</v>
      </c>
      <c r="Q40" s="126">
        <f>Q31</f>
        <v>0</v>
      </c>
      <c r="R40" s="93"/>
      <c r="S40" s="126"/>
      <c r="T40" s="10"/>
      <c r="U40" s="62"/>
      <c r="V40" s="62"/>
      <c r="W40" s="62"/>
      <c r="X40" s="9"/>
      <c r="Y40" s="9"/>
    </row>
    <row r="41" spans="7:25" x14ac:dyDescent="0.25">
      <c r="G41" s="4"/>
      <c r="H41" s="9"/>
      <c r="I41" s="9"/>
      <c r="J41" s="219"/>
      <c r="K41" s="235"/>
      <c r="L41" s="10"/>
      <c r="M41" s="10"/>
      <c r="N41" s="77" t="s">
        <v>8</v>
      </c>
      <c r="O41" s="126">
        <f>O26*COS(-$J6)-P26*SIN(-$J6)</f>
        <v>0.99375480451570208</v>
      </c>
      <c r="P41" s="126">
        <f>O26*SIN(-$J6)+P26*COS(-$J6)</f>
        <v>0.11158578987468976</v>
      </c>
      <c r="Q41" s="126">
        <f t="shared" ref="Q41:Q43" si="8">Q32</f>
        <v>0</v>
      </c>
      <c r="R41" s="93"/>
      <c r="S41" s="126"/>
      <c r="T41" s="235"/>
      <c r="U41" s="62"/>
      <c r="V41" s="62"/>
      <c r="W41" s="10"/>
      <c r="X41" s="9"/>
      <c r="Y41" s="9"/>
    </row>
    <row r="42" spans="7:25" x14ac:dyDescent="0.25">
      <c r="H42" s="9"/>
      <c r="I42" s="9"/>
      <c r="J42" s="219"/>
      <c r="K42" s="236"/>
      <c r="L42" s="10"/>
      <c r="M42" s="10"/>
      <c r="N42" s="164" t="s">
        <v>18</v>
      </c>
      <c r="O42" s="126">
        <f>O27*COS(-$J7)-P27*SIN(-$J7)</f>
        <v>0.9348529708669221</v>
      </c>
      <c r="P42" s="126">
        <f>O27*SIN(-$J7)+P27*COS(-$J7)</f>
        <v>-0.35503510088622142</v>
      </c>
      <c r="Q42" s="126">
        <f t="shared" si="8"/>
        <v>0</v>
      </c>
      <c r="R42" s="93"/>
      <c r="S42" s="126"/>
      <c r="T42" s="236"/>
      <c r="U42" s="62"/>
      <c r="V42" s="62"/>
      <c r="W42" s="10"/>
      <c r="X42" s="9"/>
      <c r="Y42" s="9"/>
    </row>
    <row r="43" spans="7:25" x14ac:dyDescent="0.25">
      <c r="H43" s="9"/>
      <c r="I43" s="9"/>
      <c r="J43" s="9"/>
      <c r="K43" s="236"/>
      <c r="L43" s="9"/>
      <c r="M43" s="9"/>
      <c r="N43" s="164" t="s">
        <v>10</v>
      </c>
      <c r="O43" s="126">
        <f>O28*COS(-$J8)-P28*SIN(-$J8)</f>
        <v>0.97235794875472181</v>
      </c>
      <c r="P43" s="126">
        <f>O28*SIN(-$J8)+P28*COS(-$J8)</f>
        <v>-0.23349522370598841</v>
      </c>
      <c r="Q43" s="126">
        <f t="shared" si="8"/>
        <v>0</v>
      </c>
      <c r="R43" s="93"/>
      <c r="S43" s="126"/>
      <c r="T43" s="236"/>
      <c r="U43" s="62"/>
      <c r="V43" s="62"/>
      <c r="W43" s="9"/>
      <c r="X43" s="9"/>
      <c r="Y43" s="9"/>
    </row>
    <row r="44" spans="7:25" x14ac:dyDescent="0.25">
      <c r="H44" s="9"/>
      <c r="I44" s="219"/>
      <c r="J44" s="11"/>
      <c r="K44" s="11"/>
      <c r="L44" s="11"/>
      <c r="M44" s="10"/>
      <c r="N44" s="71"/>
      <c r="O44" s="10"/>
      <c r="P44" s="62"/>
      <c r="Q44" s="10"/>
      <c r="R44" s="51"/>
      <c r="S44" s="10"/>
      <c r="T44" s="9"/>
      <c r="U44" s="62"/>
      <c r="V44" s="62"/>
      <c r="W44" s="9"/>
      <c r="X44" s="9"/>
      <c r="Y44" s="9"/>
    </row>
    <row r="45" spans="7:25" x14ac:dyDescent="0.25">
      <c r="H45" s="9"/>
      <c r="I45" s="219"/>
      <c r="J45" s="10"/>
      <c r="K45" s="10"/>
      <c r="L45" s="10"/>
      <c r="M45" s="10"/>
      <c r="N45" s="71" t="s">
        <v>160</v>
      </c>
      <c r="O45" s="148" t="s">
        <v>94</v>
      </c>
      <c r="P45" s="62"/>
      <c r="Q45" s="9"/>
      <c r="R45" s="245"/>
      <c r="S45" s="104"/>
      <c r="T45" s="9"/>
      <c r="U45" s="62"/>
      <c r="V45" s="62"/>
    </row>
    <row r="46" spans="7:25" x14ac:dyDescent="0.25">
      <c r="H46" s="9"/>
      <c r="I46" s="219"/>
      <c r="J46" s="10"/>
      <c r="K46" s="10"/>
      <c r="L46" s="10"/>
      <c r="M46" s="10"/>
      <c r="N46" s="71"/>
      <c r="O46" s="148" t="s">
        <v>95</v>
      </c>
      <c r="P46" s="62"/>
      <c r="Q46" s="9"/>
      <c r="R46" s="245"/>
      <c r="S46" s="104"/>
      <c r="T46" s="9"/>
      <c r="U46" s="62"/>
      <c r="V46" s="62"/>
    </row>
    <row r="47" spans="7:25" x14ac:dyDescent="0.25">
      <c r="H47" s="9"/>
      <c r="I47" s="219"/>
      <c r="J47" s="188"/>
      <c r="K47" s="10"/>
      <c r="L47" s="10"/>
      <c r="M47" s="10"/>
      <c r="N47" s="71"/>
      <c r="O47" s="10"/>
      <c r="P47" s="62"/>
      <c r="Q47" s="9"/>
      <c r="R47" s="93"/>
      <c r="S47" s="126"/>
      <c r="T47" s="9"/>
      <c r="U47" s="62"/>
      <c r="V47" s="62"/>
    </row>
    <row r="48" spans="7:25" x14ac:dyDescent="0.25">
      <c r="H48" s="9"/>
      <c r="I48" s="219"/>
      <c r="J48" s="10"/>
      <c r="K48" s="10"/>
      <c r="L48" s="10"/>
      <c r="M48" s="10"/>
      <c r="N48" s="230" t="s">
        <v>118</v>
      </c>
      <c r="O48" s="10"/>
      <c r="P48" s="62"/>
      <c r="Q48" s="9"/>
      <c r="R48" s="93"/>
      <c r="S48" s="126"/>
      <c r="T48" s="9" t="s">
        <v>153</v>
      </c>
      <c r="U48" s="62"/>
      <c r="V48" s="62"/>
    </row>
    <row r="49" spans="8:25" x14ac:dyDescent="0.25">
      <c r="H49" s="9"/>
      <c r="I49" s="9"/>
      <c r="J49" s="9"/>
      <c r="K49" s="9"/>
      <c r="L49" s="9"/>
      <c r="M49" s="10"/>
      <c r="N49" s="230"/>
      <c r="O49" s="10"/>
      <c r="P49" s="62"/>
      <c r="Q49" s="9"/>
      <c r="R49" s="93"/>
      <c r="S49" s="126"/>
      <c r="T49" s="9"/>
      <c r="U49" s="62"/>
      <c r="V49" s="62"/>
    </row>
    <row r="50" spans="8:25" x14ac:dyDescent="0.25">
      <c r="H50" s="9"/>
      <c r="I50" s="9"/>
      <c r="J50" s="9"/>
      <c r="K50" s="9"/>
      <c r="L50" s="9"/>
      <c r="M50" s="10"/>
      <c r="N50" s="146" t="s">
        <v>100</v>
      </c>
      <c r="O50" s="10"/>
      <c r="P50" s="62"/>
      <c r="Q50" s="9"/>
      <c r="R50" s="93"/>
      <c r="S50" s="126"/>
      <c r="T50" s="13" t="s">
        <v>100</v>
      </c>
      <c r="U50" s="62"/>
      <c r="V50" s="62"/>
    </row>
    <row r="51" spans="8:25" x14ac:dyDescent="0.25">
      <c r="H51" s="9"/>
      <c r="I51" s="9"/>
      <c r="J51" s="9"/>
      <c r="K51" s="9"/>
      <c r="L51" s="9"/>
      <c r="M51" s="10"/>
      <c r="N51" s="255" t="s">
        <v>7</v>
      </c>
      <c r="O51" s="258">
        <f>O34*COS(-P18)</f>
        <v>-0.16374399612374863</v>
      </c>
      <c r="P51" s="258">
        <f>P34</f>
        <v>0.98577890047344674</v>
      </c>
      <c r="Q51" s="258">
        <f>-O34*SIN(-P18)</f>
        <v>-3.7787076028557416E-2</v>
      </c>
      <c r="R51" s="93"/>
      <c r="S51" s="126"/>
      <c r="T51" s="121" t="s">
        <v>7</v>
      </c>
      <c r="U51" s="62">
        <f>shadex(D8,E8,F8,$D$13,$D$18,$E$18,$F$18,O51,P51,Q51)</f>
        <v>0.33343839094810113</v>
      </c>
      <c r="V51" s="62"/>
      <c r="W51" s="118"/>
      <c r="X51" s="118"/>
      <c r="Y51" s="118"/>
    </row>
    <row r="52" spans="8:25" x14ac:dyDescent="0.25">
      <c r="H52" s="9"/>
      <c r="I52" s="9"/>
      <c r="J52" s="9"/>
      <c r="K52" s="9"/>
      <c r="L52" s="9"/>
      <c r="M52" s="10"/>
      <c r="N52" s="77" t="s">
        <v>8</v>
      </c>
      <c r="O52" s="259">
        <f>O35*COS(-P19)</f>
        <v>-1.241721406932241E-2</v>
      </c>
      <c r="P52" s="259">
        <f t="shared" ref="P52:P54" si="9">P35</f>
        <v>0.99847409566724354</v>
      </c>
      <c r="Q52" s="259">
        <f>-O35*SIN(-P19)</f>
        <v>-5.3807927633730435E-2</v>
      </c>
      <c r="R52" s="93"/>
      <c r="S52" s="126"/>
      <c r="T52" s="121" t="s">
        <v>8</v>
      </c>
      <c r="U52" s="62">
        <f t="shared" ref="U52:U54" si="10">shadex(D9,E9,F9,$D$13,$D$18,$E$18,$F$18,O52,P52,Q52)</f>
        <v>0.28138400140479936</v>
      </c>
      <c r="V52" s="62"/>
    </row>
    <row r="53" spans="8:25" x14ac:dyDescent="0.25">
      <c r="H53" s="9"/>
      <c r="I53" s="9"/>
      <c r="J53" s="9"/>
      <c r="K53" s="9"/>
      <c r="L53" s="9"/>
      <c r="M53" s="10"/>
      <c r="N53" s="256" t="s">
        <v>18</v>
      </c>
      <c r="O53" s="258">
        <f>O36*COS(-P20)</f>
        <v>-0.16343560815190508</v>
      </c>
      <c r="P53" s="258">
        <f t="shared" si="9"/>
        <v>0.98621644269585862</v>
      </c>
      <c r="Q53" s="258">
        <f>-O36*SIN(-P20)</f>
        <v>2.5805622339774494E-2</v>
      </c>
      <c r="R53" s="93"/>
      <c r="S53" s="126"/>
      <c r="T53" s="122" t="s">
        <v>18</v>
      </c>
      <c r="U53" s="62">
        <f t="shared" si="10"/>
        <v>0.15999527042069381</v>
      </c>
      <c r="V53" s="62"/>
    </row>
    <row r="54" spans="8:25" x14ac:dyDescent="0.25">
      <c r="H54" s="9"/>
      <c r="I54" s="9"/>
      <c r="J54" s="9"/>
      <c r="K54" s="9"/>
      <c r="L54" s="9"/>
      <c r="M54" s="10"/>
      <c r="N54" s="164" t="s">
        <v>10</v>
      </c>
      <c r="O54" s="259">
        <f>O37*COS(-P21)</f>
        <v>-6.072254337186265E-3</v>
      </c>
      <c r="P54" s="259">
        <f t="shared" si="9"/>
        <v>0.99924178250243934</v>
      </c>
      <c r="Q54" s="259">
        <f>-O37*SIN(-P21)</f>
        <v>3.8457610802179701E-2</v>
      </c>
      <c r="R54" s="93"/>
      <c r="S54" s="126"/>
      <c r="T54" s="122" t="s">
        <v>10</v>
      </c>
      <c r="U54" s="62">
        <f t="shared" si="10"/>
        <v>0.1941055915833842</v>
      </c>
      <c r="V54" s="62"/>
    </row>
    <row r="55" spans="8:25" x14ac:dyDescent="0.25">
      <c r="H55" s="9"/>
      <c r="I55" s="9"/>
      <c r="J55" s="9"/>
      <c r="K55" s="9"/>
      <c r="L55" s="9"/>
      <c r="N55" s="71"/>
      <c r="O55" s="188"/>
      <c r="P55" s="188"/>
      <c r="Q55" s="190"/>
      <c r="R55" s="93"/>
      <c r="S55" s="126"/>
      <c r="T55" s="9"/>
      <c r="U55" s="62"/>
      <c r="V55" s="62"/>
    </row>
    <row r="56" spans="8:25" x14ac:dyDescent="0.25">
      <c r="H56" s="9"/>
      <c r="I56" s="9"/>
      <c r="J56" s="9"/>
      <c r="K56" s="9"/>
      <c r="L56" s="9"/>
      <c r="N56" s="146" t="s">
        <v>101</v>
      </c>
      <c r="O56" s="188"/>
      <c r="P56" s="188"/>
      <c r="Q56" s="190"/>
      <c r="R56" s="93"/>
      <c r="S56" s="126"/>
      <c r="T56" s="13" t="s">
        <v>101</v>
      </c>
      <c r="U56" s="62"/>
    </row>
    <row r="57" spans="8:25" x14ac:dyDescent="0.25">
      <c r="H57" s="9"/>
      <c r="I57" s="9"/>
      <c r="J57" s="9"/>
      <c r="K57" s="9"/>
      <c r="L57" s="9"/>
      <c r="N57" s="255" t="s">
        <v>7</v>
      </c>
      <c r="O57" s="258">
        <f>O40*COS(-P18)</f>
        <v>-0.9199307744575802</v>
      </c>
      <c r="P57" s="258">
        <f>P40</f>
        <v>0.32963555181681214</v>
      </c>
      <c r="Q57" s="258">
        <f>-O40*SIN(-P18)</f>
        <v>-0.21229171718251877</v>
      </c>
      <c r="R57" s="93"/>
      <c r="S57" s="126"/>
      <c r="T57" s="121" t="s">
        <v>7</v>
      </c>
      <c r="U57" s="62">
        <f>shadex(D8,E8,F8,$D$13,$D$18,$E$18,$F$18,O57,P57,Q57)</f>
        <v>0.33343839094810113</v>
      </c>
    </row>
    <row r="58" spans="8:25" x14ac:dyDescent="0.25">
      <c r="H58" s="9"/>
      <c r="I58" s="9"/>
      <c r="J58" s="9"/>
      <c r="K58" s="9"/>
      <c r="L58" s="9"/>
      <c r="N58" s="77" t="s">
        <v>8</v>
      </c>
      <c r="O58" s="259">
        <f>Q41*SIN(-P19)+O41*COS(-P19)</f>
        <v>0.22345521512292191</v>
      </c>
      <c r="P58" s="259">
        <f t="shared" ref="P58:P60" si="11">P41</f>
        <v>0.11158578987468976</v>
      </c>
      <c r="Q58" s="259">
        <f t="shared" ref="Q58:Q60" si="12">-O41*SIN(-P19)</f>
        <v>0.96830593219932815</v>
      </c>
      <c r="R58" s="93"/>
      <c r="S58" s="126"/>
      <c r="T58" s="121" t="s">
        <v>8</v>
      </c>
      <c r="U58" s="62">
        <f t="shared" ref="U58:U60" si="13">shadex(D9,E9,F9,$D$13,$D$18,$E$18,$F$18,O58,P58,Q58)</f>
        <v>0.28138400140479924</v>
      </c>
    </row>
    <row r="59" spans="8:25" x14ac:dyDescent="0.25">
      <c r="H59" s="9"/>
      <c r="I59" s="9"/>
      <c r="J59" s="9"/>
      <c r="K59" s="9"/>
      <c r="L59" s="9"/>
      <c r="N59" s="256" t="s">
        <v>18</v>
      </c>
      <c r="O59" s="258">
        <f>Q42*SIN(-P20)+O42*COS(-P20)</f>
        <v>0.9234131426502008</v>
      </c>
      <c r="P59" s="258">
        <f t="shared" si="11"/>
        <v>-0.35503510088622142</v>
      </c>
      <c r="Q59" s="258">
        <f t="shared" si="12"/>
        <v>-0.14580207515529489</v>
      </c>
      <c r="R59" s="93"/>
      <c r="S59" s="126"/>
      <c r="T59" s="122" t="s">
        <v>18</v>
      </c>
      <c r="U59" s="62">
        <f t="shared" si="13"/>
        <v>0.15999527042069378</v>
      </c>
    </row>
    <row r="60" spans="8:25" x14ac:dyDescent="0.25">
      <c r="N60" s="246" t="s">
        <v>10</v>
      </c>
      <c r="O60" s="260">
        <f>Q43*SIN(-P21)+O43*COS(-P21)</f>
        <v>0.15165144802472438</v>
      </c>
      <c r="P60" s="260">
        <f t="shared" si="11"/>
        <v>-0.23349522370598841</v>
      </c>
      <c r="Q60" s="260">
        <f t="shared" si="12"/>
        <v>-0.96045917082325494</v>
      </c>
      <c r="R60" s="94"/>
      <c r="S60" s="126"/>
      <c r="T60" s="122" t="s">
        <v>10</v>
      </c>
      <c r="U60" s="62">
        <f t="shared" si="13"/>
        <v>0.1941055915833842</v>
      </c>
    </row>
    <row r="61" spans="8:25" x14ac:dyDescent="0.25">
      <c r="T61" s="9"/>
      <c r="U61" s="9"/>
    </row>
    <row r="62" spans="8:25" x14ac:dyDescent="0.25">
      <c r="T62" s="9"/>
      <c r="U62" s="9"/>
    </row>
    <row r="63" spans="8:25" x14ac:dyDescent="0.25">
      <c r="T63" s="9"/>
      <c r="U63" s="9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34851-48C7-43C8-8F71-9D2F0481499C}">
  <sheetPr codeName="Sheet13"/>
  <dimension ref="B1:Y63"/>
  <sheetViews>
    <sheetView workbookViewId="0">
      <selection activeCell="O27" sqref="O27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1" width="9.5703125" style="4" customWidth="1"/>
    <col min="12" max="13" width="9.140625" style="4"/>
    <col min="17" max="17" width="9.140625" style="227"/>
    <col min="18" max="19" width="9.5703125" style="4" customWidth="1"/>
    <col min="20" max="20" width="9.5703125" customWidth="1"/>
  </cols>
  <sheetData>
    <row r="1" spans="2:23" x14ac:dyDescent="0.25">
      <c r="B1" s="227" t="s">
        <v>167</v>
      </c>
      <c r="H1" s="9"/>
      <c r="I1" s="219"/>
      <c r="J1" s="10"/>
      <c r="K1" s="10"/>
      <c r="L1" s="10"/>
      <c r="M1" s="10"/>
      <c r="N1" s="10"/>
      <c r="O1" s="9"/>
      <c r="P1" s="9"/>
      <c r="Q1" s="219"/>
      <c r="R1" s="10"/>
      <c r="S1" s="10"/>
      <c r="T1" s="9"/>
      <c r="U1" s="9"/>
      <c r="V1" s="9"/>
      <c r="W1" s="9"/>
    </row>
    <row r="2" spans="2:23" x14ac:dyDescent="0.25">
      <c r="H2" s="9"/>
      <c r="I2" s="219"/>
      <c r="J2" s="10"/>
      <c r="K2" s="10"/>
      <c r="L2" s="10"/>
      <c r="M2" s="10"/>
      <c r="N2" s="9"/>
      <c r="O2" s="9"/>
      <c r="P2" s="9"/>
      <c r="Q2" s="219"/>
      <c r="R2" s="10"/>
      <c r="S2" s="10"/>
      <c r="T2" s="9"/>
      <c r="U2" s="9"/>
      <c r="V2" s="9"/>
      <c r="W2" s="9"/>
    </row>
    <row r="3" spans="2:23" x14ac:dyDescent="0.25">
      <c r="B3" s="229" t="s">
        <v>138</v>
      </c>
      <c r="C3" s="216"/>
      <c r="D3" s="216"/>
      <c r="E3" s="216"/>
      <c r="F3" s="217"/>
      <c r="H3" s="229" t="s">
        <v>165</v>
      </c>
      <c r="I3" s="241"/>
      <c r="J3" s="216"/>
      <c r="K3" s="216"/>
      <c r="L3" s="217"/>
      <c r="M3" s="10"/>
      <c r="N3" s="229" t="s">
        <v>112</v>
      </c>
      <c r="O3" s="216"/>
      <c r="P3" s="135"/>
      <c r="Q3" s="216"/>
      <c r="R3" s="70"/>
      <c r="S3" s="9"/>
      <c r="T3" s="219" t="s">
        <v>163</v>
      </c>
      <c r="U3" s="10"/>
      <c r="V3" s="10"/>
      <c r="W3" s="9"/>
    </row>
    <row r="4" spans="2:23" x14ac:dyDescent="0.25">
      <c r="B4" s="230"/>
      <c r="C4" s="10"/>
      <c r="D4" s="10"/>
      <c r="E4" s="10"/>
      <c r="F4" s="51"/>
      <c r="H4" s="50"/>
      <c r="I4" s="219"/>
      <c r="J4" s="10" t="s">
        <v>62</v>
      </c>
      <c r="K4" s="10"/>
      <c r="L4" s="51"/>
      <c r="M4" s="10"/>
      <c r="N4" s="71"/>
      <c r="O4" s="10"/>
      <c r="P4" s="10"/>
      <c r="Q4" s="10"/>
      <c r="R4" s="93"/>
      <c r="S4" s="126"/>
      <c r="T4" s="10"/>
      <c r="U4" s="10"/>
      <c r="V4" s="10"/>
      <c r="W4" s="9"/>
    </row>
    <row r="5" spans="2:23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10" t="s">
        <v>7</v>
      </c>
      <c r="J5" s="10">
        <v>0.53301507199999998</v>
      </c>
      <c r="K5" s="251"/>
      <c r="L5" s="88"/>
      <c r="M5" s="10"/>
      <c r="N5" s="71" t="s">
        <v>113</v>
      </c>
      <c r="O5" s="10" t="s">
        <v>23</v>
      </c>
      <c r="P5" s="10" t="s">
        <v>24</v>
      </c>
      <c r="Q5" s="13" t="s">
        <v>121</v>
      </c>
      <c r="R5" s="93" t="s">
        <v>124</v>
      </c>
      <c r="S5" s="126"/>
      <c r="T5" s="11"/>
      <c r="U5" s="11"/>
      <c r="V5" s="10"/>
      <c r="W5" s="9"/>
    </row>
    <row r="6" spans="2:23" x14ac:dyDescent="0.25">
      <c r="B6" s="230"/>
      <c r="C6" s="10"/>
      <c r="D6" s="10"/>
      <c r="E6" s="10"/>
      <c r="F6" s="51"/>
      <c r="H6" s="50"/>
      <c r="I6" s="10" t="s">
        <v>8</v>
      </c>
      <c r="J6" s="10">
        <v>0.75711393400000004</v>
      </c>
      <c r="K6" s="251"/>
      <c r="L6" s="88"/>
      <c r="M6" s="10"/>
      <c r="N6" s="77" t="s">
        <v>7</v>
      </c>
      <c r="O6" s="126">
        <f>D8-$D$18</f>
        <v>-162.5</v>
      </c>
      <c r="P6" s="126">
        <f>E8-$E$18</f>
        <v>197.25</v>
      </c>
      <c r="Q6" s="126">
        <f>F8-$F$18</f>
        <v>-37.5</v>
      </c>
      <c r="R6" s="93">
        <f>SQRT(O6*O6+P6*P6+Q6*Q6)</f>
        <v>258.30226963772503</v>
      </c>
      <c r="S6" s="126"/>
      <c r="T6" s="11"/>
      <c r="U6" s="11"/>
      <c r="V6" s="10"/>
      <c r="W6" s="9"/>
    </row>
    <row r="7" spans="2:23" x14ac:dyDescent="0.25">
      <c r="B7" s="230"/>
      <c r="C7" s="10"/>
      <c r="D7" s="10" t="s">
        <v>5</v>
      </c>
      <c r="E7" s="10" t="s">
        <v>6</v>
      </c>
      <c r="F7" s="51" t="s">
        <v>42</v>
      </c>
      <c r="H7" s="50"/>
      <c r="I7" s="10" t="s">
        <v>18</v>
      </c>
      <c r="J7" s="10">
        <v>1.0499863599999999</v>
      </c>
      <c r="K7" s="251"/>
      <c r="L7" s="88"/>
      <c r="M7" s="10"/>
      <c r="N7" s="77" t="s">
        <v>8</v>
      </c>
      <c r="O7" s="126">
        <f t="shared" ref="O7:O9" si="0">D9-$D$18</f>
        <v>37.5</v>
      </c>
      <c r="P7" s="126">
        <f t="shared" ref="P7:P9" si="1">E9-$E$18</f>
        <v>197.25</v>
      </c>
      <c r="Q7" s="126">
        <f t="shared" ref="Q7:Q9" si="2">F9-$F$18</f>
        <v>162.5</v>
      </c>
      <c r="R7" s="93">
        <f t="shared" ref="R7:R9" si="3">SQRT(O7*O7+P7*P7+Q7*Q7)</f>
        <v>258.30226963772503</v>
      </c>
      <c r="S7" s="126"/>
      <c r="T7" s="11"/>
      <c r="U7" s="11"/>
      <c r="V7" s="10"/>
      <c r="W7" s="9"/>
    </row>
    <row r="8" spans="2:23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50"/>
      <c r="I8" s="10" t="s">
        <v>10</v>
      </c>
      <c r="J8" s="10">
        <v>0.92270547199999997</v>
      </c>
      <c r="K8" s="251"/>
      <c r="L8" s="88"/>
      <c r="M8" s="10"/>
      <c r="N8" s="164" t="s">
        <v>18</v>
      </c>
      <c r="O8" s="126">
        <f t="shared" si="0"/>
        <v>237.5</v>
      </c>
      <c r="P8" s="126">
        <f t="shared" si="1"/>
        <v>197.25</v>
      </c>
      <c r="Q8" s="126">
        <f t="shared" si="2"/>
        <v>-37.5</v>
      </c>
      <c r="R8" s="93">
        <f t="shared" si="3"/>
        <v>310.99849276162098</v>
      </c>
      <c r="S8" s="126"/>
      <c r="T8" s="11"/>
      <c r="U8" s="11"/>
      <c r="V8" s="10"/>
      <c r="W8" s="9"/>
    </row>
    <row r="9" spans="2:23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52"/>
      <c r="I9" s="242"/>
      <c r="J9" s="207"/>
      <c r="K9" s="207"/>
      <c r="L9" s="91"/>
      <c r="M9" s="10"/>
      <c r="N9" s="164" t="s">
        <v>10</v>
      </c>
      <c r="O9" s="126">
        <f t="shared" si="0"/>
        <v>37.5</v>
      </c>
      <c r="P9" s="126">
        <f t="shared" si="1"/>
        <v>197.25</v>
      </c>
      <c r="Q9" s="126">
        <f t="shared" si="2"/>
        <v>-237.5</v>
      </c>
      <c r="R9" s="93">
        <f t="shared" si="3"/>
        <v>310.99849276162098</v>
      </c>
      <c r="S9" s="126"/>
      <c r="T9" s="9" t="s">
        <v>162</v>
      </c>
      <c r="U9" s="11"/>
      <c r="V9" s="10"/>
      <c r="W9" s="9"/>
    </row>
    <row r="10" spans="2:23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9"/>
      <c r="I10" s="219"/>
      <c r="J10" s="188"/>
      <c r="K10" s="148"/>
      <c r="L10" s="11"/>
      <c r="M10" s="10"/>
      <c r="N10" s="71"/>
      <c r="O10" s="126"/>
      <c r="P10" s="126"/>
      <c r="Q10" s="126"/>
      <c r="R10" s="144"/>
      <c r="S10" s="13"/>
      <c r="U10" s="11"/>
      <c r="V10" s="10"/>
      <c r="W10" s="9"/>
    </row>
    <row r="11" spans="2:23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229" t="s">
        <v>152</v>
      </c>
      <c r="I11" s="241"/>
      <c r="J11" s="252"/>
      <c r="K11" s="193"/>
      <c r="L11" s="87"/>
      <c r="M11" s="10"/>
      <c r="N11" s="71" t="s">
        <v>86</v>
      </c>
      <c r="O11" s="126" t="s">
        <v>125</v>
      </c>
      <c r="P11" s="126" t="s">
        <v>126</v>
      </c>
      <c r="Q11" s="126" t="s">
        <v>127</v>
      </c>
      <c r="R11" s="93"/>
      <c r="S11" s="126"/>
      <c r="T11" s="148"/>
      <c r="U11" s="9" t="s">
        <v>155</v>
      </c>
      <c r="V11" s="10" t="s">
        <v>154</v>
      </c>
      <c r="W11" s="9"/>
    </row>
    <row r="12" spans="2:23" x14ac:dyDescent="0.25">
      <c r="B12" s="230"/>
      <c r="C12" s="10"/>
      <c r="D12" s="11"/>
      <c r="E12" s="11"/>
      <c r="F12" s="88"/>
      <c r="H12" s="50"/>
      <c r="I12" s="219"/>
      <c r="J12" s="188" t="s">
        <v>62</v>
      </c>
      <c r="K12" s="10" t="s">
        <v>151</v>
      </c>
      <c r="L12" s="141"/>
      <c r="M12" s="219"/>
      <c r="N12" s="77" t="s">
        <v>7</v>
      </c>
      <c r="O12" s="126">
        <f>O6/$R6</f>
        <v>-0.62910790612838996</v>
      </c>
      <c r="P12" s="126">
        <f>P6/$R6</f>
        <v>0.76364021220815337</v>
      </c>
      <c r="Q12" s="126">
        <f>Q6/$R6</f>
        <v>-0.14517874756808999</v>
      </c>
      <c r="R12" s="93"/>
      <c r="S12" s="126"/>
      <c r="T12" s="121" t="s">
        <v>7</v>
      </c>
      <c r="U12" s="188">
        <f>shadex(D8,E8,F8,$D$13,$D$18,$E$18,$F$18,O12,P12,Q12)</f>
        <v>0.38714332684823993</v>
      </c>
      <c r="V12" s="188">
        <f>shade(D8,E8,F8,1,$D$18,$E$18,$F$18,O12,P12,Q12)</f>
        <v>0.99999999999999978</v>
      </c>
      <c r="W12" s="9"/>
    </row>
    <row r="13" spans="2:23" x14ac:dyDescent="0.25">
      <c r="B13" s="230"/>
      <c r="C13" s="10" t="s">
        <v>13</v>
      </c>
      <c r="D13" s="11">
        <v>100</v>
      </c>
      <c r="E13" s="11"/>
      <c r="F13" s="88"/>
      <c r="H13" s="50"/>
      <c r="I13" s="10" t="s">
        <v>7</v>
      </c>
      <c r="J13" s="254">
        <f>shadex(D8,E8,F8,$D$13,$D$18,$E$18,$F$18,$D$20,$E$20,$F$20)</f>
        <v>0.33343967289079535</v>
      </c>
      <c r="K13" s="251">
        <f>INT(J13*255+0.5)</f>
        <v>85</v>
      </c>
      <c r="L13" s="253"/>
      <c r="M13" s="144"/>
      <c r="N13" s="77" t="s">
        <v>8</v>
      </c>
      <c r="O13" s="126">
        <f t="shared" ref="O13:Q13" si="4">O7/$R7</f>
        <v>0.14517874756808999</v>
      </c>
      <c r="P13" s="126">
        <f t="shared" si="4"/>
        <v>0.76364021220815337</v>
      </c>
      <c r="Q13" s="126">
        <f t="shared" si="4"/>
        <v>0.62910790612838996</v>
      </c>
      <c r="R13" s="93"/>
      <c r="S13" s="126"/>
      <c r="T13" s="121" t="s">
        <v>8</v>
      </c>
      <c r="U13" s="188">
        <f>shadex(D9,E9,F9,$D$13,$D$18,$E$18,$F$18,O13,P13,Q13)</f>
        <v>0.38714332684823993</v>
      </c>
      <c r="V13" s="188">
        <f>shade(D9,E9,F9,1,$D$18,$E$18,$F$18,O13,P13,Q13)</f>
        <v>0.99999999999999978</v>
      </c>
      <c r="W13" s="9"/>
    </row>
    <row r="14" spans="2:23" x14ac:dyDescent="0.25">
      <c r="B14" s="232"/>
      <c r="C14" s="58"/>
      <c r="D14" s="207"/>
      <c r="E14" s="207"/>
      <c r="F14" s="91"/>
      <c r="H14" s="50"/>
      <c r="I14" s="10" t="s">
        <v>8</v>
      </c>
      <c r="J14" s="254">
        <f t="shared" ref="J14:J16" si="5">shadex(D9,E9,F9,$D$13,$D$18,$E$18,$F$18,$D$20,$E$20,$F$20)</f>
        <v>0.28138691060001347</v>
      </c>
      <c r="K14" s="251">
        <f>INT(J14*255+0.5)</f>
        <v>72</v>
      </c>
      <c r="L14" s="253"/>
      <c r="M14" s="243"/>
      <c r="N14" s="164" t="s">
        <v>18</v>
      </c>
      <c r="O14" s="126">
        <f>O8/$R8</f>
        <v>0.76366929592177391</v>
      </c>
      <c r="P14" s="126">
        <f t="shared" ref="O14:Q14" si="6">P8/$R8</f>
        <v>0.63424744682345224</v>
      </c>
      <c r="Q14" s="126">
        <f t="shared" si="6"/>
        <v>-0.12057936251396431</v>
      </c>
      <c r="R14" s="93"/>
      <c r="S14" s="126"/>
      <c r="T14" s="122" t="s">
        <v>18</v>
      </c>
      <c r="U14" s="188">
        <f>shadex(D10,E10,F10,$D$13,$D$18,$E$18,$F$18,O14,P14,Q14)</f>
        <v>0.3215449667039047</v>
      </c>
      <c r="V14" s="188">
        <f>shade(D10,E10,F10,1,$D$18,$E$18,$F$18,O14,P14,Q14)</f>
        <v>0.99999999999999978</v>
      </c>
      <c r="W14" s="9"/>
    </row>
    <row r="15" spans="2:23" x14ac:dyDescent="0.25">
      <c r="B15" s="219"/>
      <c r="C15" s="10"/>
      <c r="D15" s="11"/>
      <c r="E15" s="11"/>
      <c r="F15" s="11"/>
      <c r="H15" s="50"/>
      <c r="I15" s="10" t="s">
        <v>18</v>
      </c>
      <c r="J15" s="254">
        <f t="shared" si="5"/>
        <v>0.15820077358382811</v>
      </c>
      <c r="K15" s="251">
        <f>INT(J15*255+0.5)</f>
        <v>40</v>
      </c>
      <c r="L15" s="253"/>
      <c r="M15" s="244"/>
      <c r="N15" s="164" t="s">
        <v>10</v>
      </c>
      <c r="O15" s="126">
        <f t="shared" ref="O15:Q15" si="7">O9/$R9</f>
        <v>0.12057936251396431</v>
      </c>
      <c r="P15" s="126">
        <f t="shared" si="7"/>
        <v>0.63424744682345224</v>
      </c>
      <c r="Q15" s="126">
        <f t="shared" si="7"/>
        <v>-0.76366929592177391</v>
      </c>
      <c r="R15" s="93"/>
      <c r="S15" s="126"/>
      <c r="T15" s="122" t="s">
        <v>10</v>
      </c>
      <c r="U15" s="188">
        <f>shadex(D11,E11,F11,$D$13,$D$18,$E$18,$F$18,O15,P15,Q15)</f>
        <v>0.3215449667039047</v>
      </c>
      <c r="V15" s="188">
        <f>shade(D11,E11,F11,1,$D$18,$E$18,$F$18,O15,P15,Q15)</f>
        <v>0.99999999999999978</v>
      </c>
      <c r="W15" s="9"/>
    </row>
    <row r="16" spans="2:23" x14ac:dyDescent="0.25">
      <c r="B16" s="229" t="s">
        <v>136</v>
      </c>
      <c r="C16" s="216"/>
      <c r="D16" s="143"/>
      <c r="E16" s="143"/>
      <c r="F16" s="87"/>
      <c r="H16" s="50"/>
      <c r="I16" s="10" t="s">
        <v>10</v>
      </c>
      <c r="J16" s="254">
        <f t="shared" si="5"/>
        <v>0.19410814857480896</v>
      </c>
      <c r="K16" s="251">
        <f>INT(J16*255+0.5)</f>
        <v>49</v>
      </c>
      <c r="L16" s="51"/>
      <c r="M16" s="243"/>
      <c r="N16" s="71"/>
      <c r="O16" s="126"/>
      <c r="P16" s="218"/>
      <c r="Q16" s="123"/>
      <c r="R16" s="167"/>
      <c r="S16" s="166"/>
      <c r="T16" s="10"/>
      <c r="U16" s="10"/>
      <c r="V16" s="10"/>
      <c r="W16" s="9"/>
    </row>
    <row r="17" spans="2:25" x14ac:dyDescent="0.25">
      <c r="B17" s="230"/>
      <c r="C17" s="10"/>
      <c r="D17" s="11" t="s">
        <v>5</v>
      </c>
      <c r="E17" s="11" t="s">
        <v>6</v>
      </c>
      <c r="F17" s="88" t="s">
        <v>42</v>
      </c>
      <c r="H17" s="52"/>
      <c r="I17" s="257"/>
      <c r="J17" s="142"/>
      <c r="K17" s="142"/>
      <c r="L17" s="55"/>
      <c r="M17" s="244"/>
      <c r="N17" s="71" t="s">
        <v>114</v>
      </c>
      <c r="O17" s="126" t="s">
        <v>128</v>
      </c>
      <c r="P17" s="126" t="s">
        <v>129</v>
      </c>
      <c r="Q17" s="123"/>
      <c r="R17" s="144"/>
      <c r="S17" s="13"/>
      <c r="T17" s="228"/>
      <c r="U17" s="188"/>
      <c r="V17" s="10"/>
      <c r="W17" s="9"/>
    </row>
    <row r="18" spans="2:25" x14ac:dyDescent="0.25">
      <c r="B18" s="230" t="s">
        <v>43</v>
      </c>
      <c r="C18" s="10"/>
      <c r="D18" s="11">
        <v>-37.5</v>
      </c>
      <c r="E18" s="11">
        <v>2.75</v>
      </c>
      <c r="F18" s="88">
        <v>37.5</v>
      </c>
      <c r="H18" s="9"/>
      <c r="I18" s="219"/>
      <c r="J18" s="236"/>
      <c r="K18" s="10"/>
      <c r="L18" s="10"/>
      <c r="M18" s="10"/>
      <c r="N18" s="77" t="s">
        <v>7</v>
      </c>
      <c r="O18" s="126">
        <f>IF(O12&gt;0,DEGREES(ATAN(Q12/O12)),180+DEGREES(ATAN(Q12/O12)))</f>
        <v>192.99461679191651</v>
      </c>
      <c r="P18" s="126">
        <f>RADIANS(O18)</f>
        <v>3.3683915016436794</v>
      </c>
      <c r="Q18" s="123">
        <f>ATAN(Q12/O12)</f>
        <v>0.22679884805388587</v>
      </c>
      <c r="R18" s="243"/>
      <c r="S18" s="168"/>
      <c r="T18" s="9"/>
      <c r="U18" s="9"/>
      <c r="V18" s="9"/>
      <c r="W18" s="9"/>
    </row>
    <row r="19" spans="2:25" x14ac:dyDescent="0.25">
      <c r="B19" s="230"/>
      <c r="C19" s="10"/>
      <c r="D19" s="11"/>
      <c r="E19" s="11"/>
      <c r="F19" s="88"/>
      <c r="H19" s="9"/>
      <c r="I19" s="219"/>
      <c r="J19" s="10"/>
      <c r="K19" s="10"/>
      <c r="L19" s="10"/>
      <c r="M19" s="10"/>
      <c r="N19" s="77" t="s">
        <v>8</v>
      </c>
      <c r="O19" s="126">
        <f t="shared" ref="O19:O21" si="8">IF(O13&gt;0,DEGREES(ATAN(Q13/O13)),180-DEGREES(ATAN(Q13/O13)))</f>
        <v>77.005383208083501</v>
      </c>
      <c r="P19" s="126">
        <f t="shared" ref="P19:P21" si="9">RADIANS(O19)</f>
        <v>1.3439974787410107</v>
      </c>
      <c r="Q19" s="123"/>
      <c r="R19" s="244"/>
      <c r="S19" s="178"/>
      <c r="T19" s="9"/>
      <c r="U19" s="9"/>
      <c r="V19" s="9"/>
      <c r="W19" s="9"/>
    </row>
    <row r="20" spans="2:25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9"/>
      <c r="I20" s="9"/>
      <c r="J20" s="10"/>
      <c r="K20" s="9"/>
      <c r="L20" s="9"/>
      <c r="M20" s="9"/>
      <c r="N20" s="164" t="s">
        <v>18</v>
      </c>
      <c r="O20" s="126">
        <f t="shared" si="8"/>
        <v>-8.9726266148963951</v>
      </c>
      <c r="P20" s="126">
        <f t="shared" si="9"/>
        <v>-0.15660187698201539</v>
      </c>
      <c r="Q20" s="10"/>
      <c r="R20" s="243"/>
      <c r="S20" s="168"/>
      <c r="T20" s="9"/>
      <c r="U20" s="9"/>
      <c r="V20" s="9"/>
      <c r="W20" s="9"/>
      <c r="X20" s="9"/>
      <c r="Y20" s="9"/>
    </row>
    <row r="21" spans="2:25" x14ac:dyDescent="0.25">
      <c r="B21" s="230"/>
      <c r="C21" s="10"/>
      <c r="D21" s="126"/>
      <c r="E21" s="10"/>
      <c r="F21" s="144"/>
      <c r="H21" s="9"/>
      <c r="I21" s="10"/>
      <c r="J21" s="10"/>
      <c r="K21" s="10"/>
      <c r="L21" s="10"/>
      <c r="M21" s="10"/>
      <c r="N21" s="164" t="s">
        <v>10</v>
      </c>
      <c r="O21" s="126">
        <f t="shared" si="8"/>
        <v>-81.027373385103616</v>
      </c>
      <c r="P21" s="126">
        <f t="shared" si="9"/>
        <v>-1.4141944498128813</v>
      </c>
      <c r="Q21" s="10"/>
      <c r="R21" s="244"/>
      <c r="S21" s="178"/>
      <c r="T21" s="9"/>
      <c r="U21" s="9"/>
      <c r="V21" s="9"/>
      <c r="W21" s="9"/>
      <c r="X21" s="9"/>
      <c r="Y21" s="9"/>
    </row>
    <row r="22" spans="2:25" x14ac:dyDescent="0.25">
      <c r="B22" s="230"/>
      <c r="C22" s="10"/>
      <c r="D22" s="126"/>
      <c r="E22" s="10"/>
      <c r="F22" s="144"/>
      <c r="H22" s="9"/>
      <c r="I22" s="10"/>
      <c r="J22" s="10"/>
      <c r="K22" s="10"/>
      <c r="L22" s="10"/>
      <c r="M22" s="10"/>
      <c r="N22" s="71"/>
      <c r="O22" s="126"/>
      <c r="P22" s="126"/>
      <c r="Q22" s="13"/>
      <c r="R22" s="167"/>
      <c r="S22" s="166"/>
      <c r="T22" s="9"/>
      <c r="U22" s="9"/>
      <c r="V22" s="9"/>
      <c r="W22" s="9"/>
      <c r="X22" s="9"/>
      <c r="Y22" s="9"/>
    </row>
    <row r="23" spans="2:25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9"/>
      <c r="I23" s="10"/>
      <c r="J23" s="10"/>
      <c r="K23" s="10"/>
      <c r="L23" s="10"/>
      <c r="M23" s="10"/>
      <c r="N23" s="230" t="s">
        <v>117</v>
      </c>
      <c r="O23" s="9"/>
      <c r="P23" s="9"/>
      <c r="Q23" s="9"/>
      <c r="R23" s="72"/>
      <c r="S23" s="9"/>
      <c r="T23" s="9"/>
      <c r="U23" s="9"/>
      <c r="V23" s="9"/>
      <c r="W23" s="9"/>
      <c r="X23" s="9"/>
      <c r="Y23" s="9"/>
    </row>
    <row r="24" spans="2:25" x14ac:dyDescent="0.25">
      <c r="B24" s="230"/>
      <c r="C24" s="10" t="s">
        <v>70</v>
      </c>
      <c r="D24" s="11">
        <v>0</v>
      </c>
      <c r="E24" s="11"/>
      <c r="F24" s="144"/>
      <c r="G24" s="13"/>
      <c r="H24" s="9"/>
      <c r="I24" s="10"/>
      <c r="J24" s="10"/>
      <c r="K24" s="10"/>
      <c r="L24" s="10"/>
      <c r="M24" s="10"/>
      <c r="N24" s="230"/>
      <c r="O24" s="9"/>
      <c r="P24" s="9"/>
      <c r="Q24" s="9"/>
      <c r="R24" s="72"/>
      <c r="S24" s="9"/>
      <c r="T24" s="9"/>
      <c r="U24" s="9"/>
      <c r="V24" s="9"/>
      <c r="W24" s="9"/>
      <c r="X24" s="9"/>
      <c r="Y24" s="9"/>
    </row>
    <row r="25" spans="2:25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9"/>
      <c r="I25" s="10"/>
      <c r="J25" s="10"/>
      <c r="K25" s="10"/>
      <c r="L25" s="234"/>
      <c r="M25" s="11"/>
      <c r="N25" s="77" t="s">
        <v>7</v>
      </c>
      <c r="O25" s="126">
        <f>Q12*SIN(P18)+O12*COS(P18)</f>
        <v>0.64564202643468493</v>
      </c>
      <c r="P25" s="126">
        <f>P12</f>
        <v>0.76364021220815337</v>
      </c>
      <c r="Q25" s="126">
        <f>Q12*COS(P18)-O12*SIN(P18)</f>
        <v>0</v>
      </c>
      <c r="R25" s="167"/>
      <c r="S25" s="166"/>
      <c r="T25" s="10"/>
      <c r="U25" s="9"/>
      <c r="V25" s="9"/>
      <c r="W25" s="9"/>
      <c r="X25" s="9"/>
      <c r="Y25" s="9"/>
    </row>
    <row r="26" spans="2:25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9"/>
      <c r="I26" s="219"/>
      <c r="J26" s="219"/>
      <c r="K26" s="10"/>
      <c r="L26" s="10"/>
      <c r="M26" s="10"/>
      <c r="N26" s="77" t="s">
        <v>8</v>
      </c>
      <c r="O26" s="126">
        <f>Q13*SIN(P19)+O13*COS(P19)</f>
        <v>0.64564202643468493</v>
      </c>
      <c r="P26" s="126">
        <f>P13</f>
        <v>0.76364021220815337</v>
      </c>
      <c r="Q26" s="126">
        <f>Q13*COS(P19)-O13*SIN(P19)</f>
        <v>0</v>
      </c>
      <c r="R26" s="167"/>
      <c r="S26" s="166"/>
      <c r="T26" s="10"/>
      <c r="U26" s="9"/>
      <c r="V26" s="9"/>
      <c r="W26" s="9"/>
      <c r="X26" s="9"/>
      <c r="Y26" s="9"/>
    </row>
    <row r="27" spans="2:25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9"/>
      <c r="I27" s="9"/>
      <c r="J27" s="219"/>
      <c r="K27" s="208"/>
      <c r="L27" s="208"/>
      <c r="M27" s="208"/>
      <c r="N27" s="164" t="s">
        <v>18</v>
      </c>
      <c r="O27" s="126">
        <f>Q14*SIN(P20)+O14*COS(P20)</f>
        <v>0.77313011595586678</v>
      </c>
      <c r="P27" s="126">
        <f>P14</f>
        <v>0.63424744682345224</v>
      </c>
      <c r="Q27" s="126">
        <f>Q14*COS(P20)-O14*SIN(P20)</f>
        <v>0</v>
      </c>
      <c r="R27" s="167"/>
      <c r="S27" s="166"/>
      <c r="T27" s="10"/>
      <c r="U27" s="9"/>
      <c r="V27" s="9"/>
      <c r="W27" s="9"/>
      <c r="X27" s="9"/>
      <c r="Y27" s="9"/>
    </row>
    <row r="28" spans="2:25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9"/>
      <c r="I28" s="9"/>
      <c r="J28" s="219"/>
      <c r="K28" s="208"/>
      <c r="L28" s="208"/>
      <c r="M28" s="208"/>
      <c r="N28" s="164" t="s">
        <v>10</v>
      </c>
      <c r="O28" s="126">
        <f>Q15*SIN(P21)+O15*COS(P21)</f>
        <v>0.77313011595586667</v>
      </c>
      <c r="P28" s="126">
        <f>P15</f>
        <v>0.63424744682345224</v>
      </c>
      <c r="Q28" s="126">
        <f>Q15*COS(P21)-O15*SIN(P21)</f>
        <v>0</v>
      </c>
      <c r="R28" s="72"/>
      <c r="S28" s="9"/>
      <c r="T28" s="10"/>
      <c r="U28" s="9"/>
      <c r="V28" s="9"/>
      <c r="W28" s="9"/>
      <c r="X28" s="9"/>
      <c r="Y28" s="9"/>
    </row>
    <row r="29" spans="2:25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9"/>
      <c r="I29" s="9"/>
      <c r="J29" s="219"/>
      <c r="K29" s="11"/>
      <c r="L29" s="11"/>
      <c r="M29" s="11"/>
      <c r="N29" s="71"/>
      <c r="O29" s="13"/>
      <c r="P29" s="9"/>
      <c r="Q29" s="9"/>
      <c r="R29" s="72"/>
      <c r="S29" s="9"/>
      <c r="T29" s="10"/>
      <c r="U29" s="9"/>
      <c r="V29" s="9"/>
      <c r="W29" s="9"/>
      <c r="X29" s="9"/>
      <c r="Y29" s="9"/>
    </row>
    <row r="30" spans="2:25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9"/>
      <c r="I30" s="219"/>
      <c r="J30" s="219"/>
      <c r="K30" s="10"/>
      <c r="L30" s="10"/>
      <c r="M30" s="10"/>
      <c r="N30" s="146" t="s">
        <v>160</v>
      </c>
      <c r="O30" s="148" t="s">
        <v>84</v>
      </c>
      <c r="P30" s="13"/>
      <c r="Q30" s="13"/>
      <c r="R30" s="144"/>
      <c r="S30" s="13"/>
      <c r="T30" s="10"/>
      <c r="U30" s="10"/>
      <c r="V30" s="10"/>
      <c r="W30" s="10"/>
      <c r="X30" s="9"/>
      <c r="Y30" s="9"/>
    </row>
    <row r="31" spans="2:25" x14ac:dyDescent="0.25">
      <c r="B31" s="230"/>
      <c r="C31" s="10"/>
      <c r="D31" s="149"/>
      <c r="E31" s="149"/>
      <c r="F31" s="144"/>
      <c r="G31" s="4"/>
      <c r="H31" s="9"/>
      <c r="I31" s="9"/>
      <c r="J31" s="219"/>
      <c r="K31" s="11"/>
      <c r="L31" s="11"/>
      <c r="M31" s="11"/>
      <c r="N31" s="146"/>
      <c r="O31" s="148" t="s">
        <v>83</v>
      </c>
      <c r="P31" s="13"/>
      <c r="Q31" s="182"/>
      <c r="R31" s="183"/>
      <c r="S31" s="182"/>
      <c r="T31" s="10"/>
      <c r="U31" s="9"/>
      <c r="V31" s="9"/>
      <c r="W31" s="9"/>
      <c r="X31" s="9"/>
      <c r="Y31" s="9"/>
    </row>
    <row r="32" spans="2:25" x14ac:dyDescent="0.25">
      <c r="B32" s="232"/>
      <c r="C32" s="58" t="s">
        <v>61</v>
      </c>
      <c r="D32" s="150">
        <v>30</v>
      </c>
      <c r="E32" s="150"/>
      <c r="F32" s="151"/>
      <c r="G32" s="4"/>
      <c r="H32" s="9"/>
      <c r="I32" s="9"/>
      <c r="J32" s="219"/>
      <c r="K32" s="11"/>
      <c r="L32" s="11"/>
      <c r="M32" s="11"/>
      <c r="N32" s="146"/>
      <c r="O32" s="9"/>
      <c r="P32" s="62"/>
      <c r="Q32" s="126"/>
      <c r="R32" s="93"/>
      <c r="S32" s="126"/>
      <c r="T32" s="11"/>
      <c r="U32" s="11"/>
      <c r="V32" s="11"/>
      <c r="W32" s="10"/>
      <c r="X32" s="9"/>
      <c r="Y32" s="9"/>
    </row>
    <row r="33" spans="7:25" x14ac:dyDescent="0.25">
      <c r="G33" s="4"/>
      <c r="H33" s="9"/>
      <c r="I33" s="9"/>
      <c r="J33" s="219"/>
      <c r="K33" s="10"/>
      <c r="L33" s="10"/>
      <c r="M33" s="10"/>
      <c r="N33" s="146" t="s">
        <v>100</v>
      </c>
      <c r="O33" s="126"/>
      <c r="P33" s="126"/>
      <c r="Q33" s="126"/>
      <c r="R33" s="93"/>
      <c r="S33" s="126"/>
      <c r="T33" s="219" t="s">
        <v>164</v>
      </c>
      <c r="U33" s="10"/>
      <c r="V33" s="10"/>
      <c r="W33" s="10"/>
      <c r="X33" s="9"/>
      <c r="Y33" s="9"/>
    </row>
    <row r="34" spans="7:25" x14ac:dyDescent="0.25">
      <c r="G34" s="4"/>
      <c r="H34" s="9"/>
      <c r="I34" s="9"/>
      <c r="J34" s="219"/>
      <c r="K34" s="10"/>
      <c r="L34" s="10"/>
      <c r="M34" s="10"/>
      <c r="N34" s="77" t="s">
        <v>7</v>
      </c>
      <c r="O34" s="126">
        <f>O25*COS($J5)-P25*SIN($J5)</f>
        <v>0.16804749144620451</v>
      </c>
      <c r="P34" s="126">
        <f>O25*SIN($J5)+P25*COS($J5)</f>
        <v>0.98577890047344674</v>
      </c>
      <c r="Q34" s="126">
        <f>Q25</f>
        <v>0</v>
      </c>
      <c r="R34" s="93"/>
      <c r="S34" s="126"/>
      <c r="T34" s="10"/>
      <c r="U34" s="62"/>
      <c r="V34" s="62"/>
      <c r="W34" s="10"/>
      <c r="X34" s="9"/>
      <c r="Y34" s="9"/>
    </row>
    <row r="35" spans="7:25" x14ac:dyDescent="0.25">
      <c r="G35" s="4"/>
      <c r="H35" s="9"/>
      <c r="I35" s="9"/>
      <c r="J35" s="219"/>
      <c r="K35" s="188"/>
      <c r="L35" s="10"/>
      <c r="M35" s="10"/>
      <c r="N35" s="77" t="s">
        <v>8</v>
      </c>
      <c r="O35" s="126">
        <f>O26*COS($J6)-P26*SIN($J6)</f>
        <v>-5.5222099575080896E-2</v>
      </c>
      <c r="P35" s="126">
        <f>O26*SIN($J6)+P26*COS($J6)</f>
        <v>0.99847409566724354</v>
      </c>
      <c r="Q35" s="126">
        <f t="shared" ref="Q35:Q37" si="10">Q26</f>
        <v>0</v>
      </c>
      <c r="R35" s="93"/>
      <c r="S35" s="126"/>
      <c r="T35" s="188"/>
      <c r="U35" s="62"/>
      <c r="V35" s="62"/>
      <c r="W35" s="10"/>
      <c r="X35" s="9"/>
      <c r="Y35" s="9"/>
    </row>
    <row r="36" spans="7:25" x14ac:dyDescent="0.25">
      <c r="G36" s="4"/>
      <c r="H36" s="9"/>
      <c r="I36" s="9"/>
      <c r="J36" s="219"/>
      <c r="K36" s="10"/>
      <c r="L36" s="10"/>
      <c r="M36" s="10"/>
      <c r="N36" s="164" t="s">
        <v>18</v>
      </c>
      <c r="O36" s="126">
        <f>O27*COS($J7)-P27*SIN($J7)</f>
        <v>-0.16546035221866939</v>
      </c>
      <c r="P36" s="126">
        <f>O27*SIN($J7)+P27*COS($J7)</f>
        <v>0.98621644269585862</v>
      </c>
      <c r="Q36" s="126">
        <f t="shared" si="10"/>
        <v>0</v>
      </c>
      <c r="R36" s="93"/>
      <c r="S36" s="126"/>
      <c r="T36" s="10"/>
      <c r="U36" s="62"/>
      <c r="V36" s="62"/>
      <c r="W36" s="10"/>
      <c r="X36" s="9"/>
      <c r="Y36" s="9"/>
    </row>
    <row r="37" spans="7:25" x14ac:dyDescent="0.25">
      <c r="G37" s="4"/>
      <c r="H37" s="9"/>
      <c r="I37" s="9"/>
      <c r="J37" s="219"/>
      <c r="K37" s="188"/>
      <c r="L37" s="188"/>
      <c r="M37" s="188"/>
      <c r="N37" s="164" t="s">
        <v>10</v>
      </c>
      <c r="O37" s="126">
        <f>O28*COS($J8)-P28*SIN($J8)</f>
        <v>-3.8934048098642482E-2</v>
      </c>
      <c r="P37" s="126">
        <f>O28*SIN($J8)+P28*COS($J8)</f>
        <v>0.99924178250243934</v>
      </c>
      <c r="Q37" s="126">
        <f t="shared" si="10"/>
        <v>0</v>
      </c>
      <c r="R37" s="93"/>
      <c r="S37" s="126"/>
      <c r="T37" s="188"/>
      <c r="U37" s="62"/>
      <c r="V37" s="62"/>
      <c r="W37" s="10"/>
      <c r="X37" s="9"/>
      <c r="Y37" s="9"/>
    </row>
    <row r="38" spans="7:25" x14ac:dyDescent="0.25">
      <c r="G38" s="4"/>
      <c r="H38" s="9"/>
      <c r="I38" s="9"/>
      <c r="J38" s="219"/>
      <c r="K38" s="11"/>
      <c r="L38" s="10"/>
      <c r="M38" s="10"/>
      <c r="N38" s="71"/>
      <c r="O38" s="13"/>
      <c r="P38" s="13"/>
      <c r="Q38" s="126"/>
      <c r="R38" s="93"/>
      <c r="S38" s="126"/>
      <c r="T38" s="11"/>
      <c r="U38" s="62"/>
      <c r="V38" s="62"/>
      <c r="W38" s="10"/>
      <c r="X38" s="9"/>
      <c r="Y38" s="9"/>
    </row>
    <row r="39" spans="7:25" x14ac:dyDescent="0.25">
      <c r="G39" s="4"/>
      <c r="H39" s="9"/>
      <c r="I39" s="9"/>
      <c r="J39" s="219"/>
      <c r="K39" s="188"/>
      <c r="L39" s="10"/>
      <c r="M39" s="10"/>
      <c r="N39" s="71" t="s">
        <v>101</v>
      </c>
      <c r="O39" s="13"/>
      <c r="P39" s="13"/>
      <c r="Q39" s="126"/>
      <c r="R39" s="93"/>
      <c r="S39" s="126"/>
      <c r="T39" s="188"/>
      <c r="U39" s="62"/>
      <c r="V39" s="62"/>
      <c r="W39" s="10"/>
      <c r="X39" s="9"/>
      <c r="Y39" s="9"/>
    </row>
    <row r="40" spans="7:25" x14ac:dyDescent="0.25">
      <c r="G40" s="4"/>
      <c r="H40" s="9"/>
      <c r="I40" s="9"/>
      <c r="J40" s="219"/>
      <c r="K40" s="10"/>
      <c r="L40" s="10"/>
      <c r="M40" s="10"/>
      <c r="N40" s="77" t="s">
        <v>7</v>
      </c>
      <c r="O40" s="126">
        <f>O25*COS(-$J5)-P25*SIN(-$J5)</f>
        <v>0.94410825808189269</v>
      </c>
      <c r="P40" s="126">
        <f>O25*SIN(-$J5)+P25*COS(-$J5)</f>
        <v>0.32963555181681214</v>
      </c>
      <c r="Q40" s="126">
        <f>Q31</f>
        <v>0</v>
      </c>
      <c r="R40" s="93"/>
      <c r="S40" s="126"/>
      <c r="T40" s="10"/>
      <c r="U40" s="62"/>
      <c r="V40" s="62"/>
      <c r="W40" s="10"/>
      <c r="X40" s="9"/>
      <c r="Y40" s="9"/>
    </row>
    <row r="41" spans="7:25" x14ac:dyDescent="0.25">
      <c r="G41" s="4"/>
      <c r="H41" s="9"/>
      <c r="I41" s="9"/>
      <c r="J41" s="219"/>
      <c r="K41" s="235"/>
      <c r="L41" s="10"/>
      <c r="M41" s="10"/>
      <c r="N41" s="77" t="s">
        <v>8</v>
      </c>
      <c r="O41" s="126">
        <f>O26*COS(-$J6)-P26*SIN(-$J6)</f>
        <v>0.99375480451570208</v>
      </c>
      <c r="P41" s="126">
        <f>O26*SIN(-$J6)+P26*COS(-$J6)</f>
        <v>0.11158578987468976</v>
      </c>
      <c r="Q41" s="126">
        <f t="shared" ref="Q41:Q43" si="11">Q32</f>
        <v>0</v>
      </c>
      <c r="R41" s="93"/>
      <c r="S41" s="126"/>
      <c r="T41" s="235"/>
      <c r="U41" s="62"/>
      <c r="V41" s="62"/>
      <c r="W41" s="10"/>
      <c r="X41" s="9"/>
      <c r="Y41" s="9"/>
    </row>
    <row r="42" spans="7:25" x14ac:dyDescent="0.25">
      <c r="H42" s="9"/>
      <c r="I42" s="9"/>
      <c r="J42" s="219"/>
      <c r="K42" s="236"/>
      <c r="L42" s="10"/>
      <c r="M42" s="10"/>
      <c r="N42" s="164" t="s">
        <v>18</v>
      </c>
      <c r="O42" s="126">
        <f>O27*COS(-$J7)-P27*SIN(-$J7)</f>
        <v>0.9348529708669221</v>
      </c>
      <c r="P42" s="126">
        <f>O27*SIN(-$J7)+P27*COS(-$J7)</f>
        <v>-0.35503510088622142</v>
      </c>
      <c r="Q42" s="126">
        <f t="shared" si="11"/>
        <v>0</v>
      </c>
      <c r="R42" s="93"/>
      <c r="S42" s="126"/>
      <c r="T42" s="236"/>
      <c r="U42" s="62"/>
      <c r="V42" s="62"/>
      <c r="W42" s="10"/>
      <c r="X42" s="9"/>
      <c r="Y42" s="9"/>
    </row>
    <row r="43" spans="7:25" x14ac:dyDescent="0.25">
      <c r="H43" s="9"/>
      <c r="I43" s="9"/>
      <c r="J43" s="9"/>
      <c r="K43" s="236"/>
      <c r="L43" s="9"/>
      <c r="M43" s="9"/>
      <c r="N43" s="164" t="s">
        <v>10</v>
      </c>
      <c r="O43" s="126">
        <f>O28*COS(-$J8)-P28*SIN(-$J8)</f>
        <v>0.97235794875472181</v>
      </c>
      <c r="P43" s="126">
        <f>O28*SIN(-$J8)+P28*COS(-$J8)</f>
        <v>-0.23349522370598841</v>
      </c>
      <c r="Q43" s="126">
        <f t="shared" si="11"/>
        <v>0</v>
      </c>
      <c r="R43" s="93"/>
      <c r="S43" s="126"/>
      <c r="T43" s="236"/>
      <c r="U43" s="62"/>
      <c r="V43" s="62"/>
      <c r="W43" s="9"/>
      <c r="X43" s="9"/>
      <c r="Y43" s="9"/>
    </row>
    <row r="44" spans="7:25" x14ac:dyDescent="0.25">
      <c r="H44" s="9"/>
      <c r="I44" s="219"/>
      <c r="J44" s="11"/>
      <c r="K44" s="11"/>
      <c r="L44" s="11"/>
      <c r="M44" s="10"/>
      <c r="N44" s="71"/>
      <c r="O44" s="10"/>
      <c r="P44" s="62"/>
      <c r="Q44" s="10"/>
      <c r="R44" s="51"/>
      <c r="S44" s="10"/>
      <c r="T44" s="9"/>
      <c r="U44" s="62"/>
      <c r="V44" s="62"/>
      <c r="W44" s="9"/>
      <c r="X44" s="9"/>
      <c r="Y44" s="9"/>
    </row>
    <row r="45" spans="7:25" x14ac:dyDescent="0.25">
      <c r="H45" s="9"/>
      <c r="I45" s="219"/>
      <c r="J45" s="10"/>
      <c r="K45" s="10"/>
      <c r="L45" s="10"/>
      <c r="M45" s="10"/>
      <c r="N45" s="71" t="s">
        <v>160</v>
      </c>
      <c r="O45" s="148" t="s">
        <v>94</v>
      </c>
      <c r="P45" s="62"/>
      <c r="Q45" s="9"/>
      <c r="R45" s="245"/>
      <c r="S45" s="104"/>
      <c r="T45" s="9"/>
      <c r="U45" s="62"/>
      <c r="V45" s="62"/>
    </row>
    <row r="46" spans="7:25" x14ac:dyDescent="0.25">
      <c r="H46" s="9"/>
      <c r="I46" s="219"/>
      <c r="J46" s="10"/>
      <c r="K46" s="10"/>
      <c r="L46" s="10"/>
      <c r="M46" s="10"/>
      <c r="N46" s="71"/>
      <c r="O46" s="148" t="s">
        <v>95</v>
      </c>
      <c r="P46" s="62"/>
      <c r="Q46" s="9"/>
      <c r="R46" s="245"/>
      <c r="S46" s="104"/>
      <c r="T46" s="9"/>
      <c r="U46" s="62"/>
      <c r="V46" s="62"/>
    </row>
    <row r="47" spans="7:25" x14ac:dyDescent="0.25">
      <c r="H47" s="9"/>
      <c r="I47" s="219"/>
      <c r="J47" s="188"/>
      <c r="K47" s="10"/>
      <c r="L47" s="10"/>
      <c r="M47" s="10"/>
      <c r="N47" s="71"/>
      <c r="O47" s="10"/>
      <c r="P47" s="62"/>
      <c r="Q47" s="9"/>
      <c r="R47" s="93"/>
      <c r="S47" s="126"/>
      <c r="T47" s="9"/>
      <c r="U47" s="62"/>
      <c r="V47" s="62"/>
    </row>
    <row r="48" spans="7:25" x14ac:dyDescent="0.25">
      <c r="H48" s="9"/>
      <c r="I48" s="219"/>
      <c r="J48" s="10"/>
      <c r="K48" s="10"/>
      <c r="L48" s="10"/>
      <c r="M48" s="10"/>
      <c r="N48" s="230" t="s">
        <v>118</v>
      </c>
      <c r="O48" s="10"/>
      <c r="P48" s="62"/>
      <c r="Q48" s="9"/>
      <c r="R48" s="93"/>
      <c r="S48" s="126"/>
      <c r="T48" s="9" t="s">
        <v>153</v>
      </c>
      <c r="U48" s="62"/>
      <c r="V48" s="62"/>
    </row>
    <row r="49" spans="8:23" x14ac:dyDescent="0.25">
      <c r="H49" s="9"/>
      <c r="I49" s="9"/>
      <c r="J49" s="9"/>
      <c r="K49" s="9"/>
      <c r="L49" s="9"/>
      <c r="M49" s="10"/>
      <c r="N49" s="230"/>
      <c r="O49" s="10"/>
      <c r="P49" s="62"/>
      <c r="Q49" s="9"/>
      <c r="R49" s="93"/>
      <c r="S49" s="126"/>
      <c r="T49" s="9"/>
      <c r="U49" s="62"/>
      <c r="V49" s="62"/>
    </row>
    <row r="50" spans="8:23" x14ac:dyDescent="0.25">
      <c r="H50" s="9"/>
      <c r="I50" s="9"/>
      <c r="J50" s="9"/>
      <c r="K50" s="9"/>
      <c r="L50" s="9"/>
      <c r="M50" s="10"/>
      <c r="N50" s="146" t="s">
        <v>100</v>
      </c>
      <c r="O50" s="10"/>
      <c r="P50" s="62"/>
      <c r="Q50" s="9"/>
      <c r="R50" s="93"/>
      <c r="S50" s="126"/>
      <c r="T50" s="13" t="s">
        <v>100</v>
      </c>
      <c r="U50" s="62"/>
      <c r="V50" s="62"/>
    </row>
    <row r="51" spans="8:23" x14ac:dyDescent="0.25">
      <c r="H51" s="9"/>
      <c r="I51" s="9"/>
      <c r="J51" s="9"/>
      <c r="K51" s="9"/>
      <c r="L51" s="9"/>
      <c r="M51" s="10"/>
      <c r="N51" s="255" t="s">
        <v>7</v>
      </c>
      <c r="O51" s="258">
        <f>O34*COS(-P18)</f>
        <v>-0.16374399612374863</v>
      </c>
      <c r="P51" s="258">
        <f>P34</f>
        <v>0.98577890047344674</v>
      </c>
      <c r="Q51" s="258">
        <f>-O34*SIN(-P18)</f>
        <v>-3.7787076028557416E-2</v>
      </c>
      <c r="R51" s="93"/>
      <c r="S51" s="126"/>
      <c r="T51" s="121" t="s">
        <v>7</v>
      </c>
      <c r="U51" s="62">
        <f>shadex(D8,E8,F8,$D$13,$D$18,$E$18,$F$18,O51,P51,Q51)</f>
        <v>0.33343839094810113</v>
      </c>
      <c r="V51" s="62"/>
      <c r="W51">
        <f>O51*O53+P51*P53+Q51*Q53</f>
        <v>0.99797784108394827</v>
      </c>
    </row>
    <row r="52" spans="8:23" x14ac:dyDescent="0.25">
      <c r="H52" s="9"/>
      <c r="I52" s="9"/>
      <c r="J52" s="9"/>
      <c r="K52" s="9"/>
      <c r="L52" s="9"/>
      <c r="M52" s="10"/>
      <c r="N52" s="77" t="s">
        <v>8</v>
      </c>
      <c r="O52" s="259">
        <f>O35*COS(-P19)</f>
        <v>-1.241721406932241E-2</v>
      </c>
      <c r="P52" s="259">
        <f t="shared" ref="P52:P54" si="12">P35</f>
        <v>0.99847409566724354</v>
      </c>
      <c r="Q52" s="259">
        <f>-O35*SIN(-P19)</f>
        <v>-5.3807927633730435E-2</v>
      </c>
      <c r="R52" s="93"/>
      <c r="S52" s="126"/>
      <c r="T52" s="121" t="s">
        <v>8</v>
      </c>
      <c r="U52" s="62">
        <f t="shared" ref="U52:U54" si="13">shadex(D9,E9,F9,$D$13,$D$18,$E$18,$F$18,O52,P52,Q52)</f>
        <v>0.28138400140479936</v>
      </c>
      <c r="V52" s="62"/>
    </row>
    <row r="53" spans="8:23" x14ac:dyDescent="0.25">
      <c r="H53" s="9"/>
      <c r="I53" s="9"/>
      <c r="J53" s="9"/>
      <c r="K53" s="9"/>
      <c r="L53" s="9"/>
      <c r="M53" s="10"/>
      <c r="N53" s="256" t="s">
        <v>18</v>
      </c>
      <c r="O53" s="258">
        <f>O36*COS(-P20)</f>
        <v>-0.16343560815190508</v>
      </c>
      <c r="P53" s="258">
        <f t="shared" si="12"/>
        <v>0.98621644269585862</v>
      </c>
      <c r="Q53" s="258">
        <f>-O36*SIN(-P20)</f>
        <v>2.5805622339774494E-2</v>
      </c>
      <c r="R53" s="93"/>
      <c r="S53" s="126"/>
      <c r="T53" s="122" t="s">
        <v>18</v>
      </c>
      <c r="U53" s="62">
        <f t="shared" si="13"/>
        <v>0.15999527042069381</v>
      </c>
      <c r="V53" s="62"/>
    </row>
    <row r="54" spans="8:23" x14ac:dyDescent="0.25">
      <c r="H54" s="9"/>
      <c r="I54" s="9"/>
      <c r="J54" s="9"/>
      <c r="K54" s="9"/>
      <c r="L54" s="9"/>
      <c r="M54" s="10"/>
      <c r="N54" s="164" t="s">
        <v>10</v>
      </c>
      <c r="O54" s="259">
        <f>O37*COS(-P21)</f>
        <v>-6.072254337186265E-3</v>
      </c>
      <c r="P54" s="259">
        <f t="shared" si="12"/>
        <v>0.99924178250243934</v>
      </c>
      <c r="Q54" s="259">
        <f>-O37*SIN(-P21)</f>
        <v>3.8457610802179701E-2</v>
      </c>
      <c r="R54" s="93"/>
      <c r="S54" s="126"/>
      <c r="T54" s="122" t="s">
        <v>10</v>
      </c>
      <c r="U54" s="62">
        <f t="shared" si="13"/>
        <v>0.1941055915833842</v>
      </c>
      <c r="V54" s="62"/>
    </row>
    <row r="55" spans="8:23" x14ac:dyDescent="0.25">
      <c r="H55" s="9"/>
      <c r="I55" s="9"/>
      <c r="J55" s="9"/>
      <c r="K55" s="9"/>
      <c r="L55" s="9"/>
      <c r="N55" s="71"/>
      <c r="O55" s="188"/>
      <c r="P55" s="188"/>
      <c r="Q55" s="190"/>
      <c r="R55" s="93"/>
      <c r="S55" s="126"/>
      <c r="T55" s="9"/>
      <c r="U55" s="62"/>
      <c r="V55" s="62"/>
    </row>
    <row r="56" spans="8:23" x14ac:dyDescent="0.25">
      <c r="H56" s="9"/>
      <c r="I56" s="9"/>
      <c r="J56" s="9"/>
      <c r="K56" s="9"/>
      <c r="L56" s="9"/>
      <c r="N56" s="146" t="s">
        <v>101</v>
      </c>
      <c r="O56" s="188"/>
      <c r="P56" s="188"/>
      <c r="Q56" s="190"/>
      <c r="R56" s="93"/>
      <c r="S56" s="126"/>
      <c r="T56" s="13" t="s">
        <v>101</v>
      </c>
      <c r="U56" s="62"/>
    </row>
    <row r="57" spans="8:23" x14ac:dyDescent="0.25">
      <c r="H57" s="9"/>
      <c r="I57" s="9"/>
      <c r="J57" s="9"/>
      <c r="K57" s="9"/>
      <c r="L57" s="9"/>
      <c r="N57" s="255" t="s">
        <v>7</v>
      </c>
      <c r="O57" s="258">
        <f>O40*COS(-P18)</f>
        <v>-0.9199307744575802</v>
      </c>
      <c r="P57" s="258">
        <f>P40</f>
        <v>0.32963555181681214</v>
      </c>
      <c r="Q57" s="258">
        <f>-O40*SIN(-P18)</f>
        <v>-0.21229171718251877</v>
      </c>
      <c r="R57" s="93"/>
      <c r="S57" s="126"/>
      <c r="T57" s="121" t="s">
        <v>7</v>
      </c>
      <c r="U57" s="62">
        <f>shadex(D8,E8,F8,$D$13,$D$18,$E$18,$F$18,O57,P57,Q57)</f>
        <v>0.33343839094810113</v>
      </c>
      <c r="W57">
        <f>O57*O59+P57*P59+Q57*Q59</f>
        <v>-0.93555578595398214</v>
      </c>
    </row>
    <row r="58" spans="8:23" x14ac:dyDescent="0.25">
      <c r="H58" s="9"/>
      <c r="I58" s="9"/>
      <c r="J58" s="9"/>
      <c r="K58" s="9"/>
      <c r="L58" s="9"/>
      <c r="N58" s="77" t="s">
        <v>8</v>
      </c>
      <c r="O58" s="259">
        <f>Q41*SIN(-P19)+O41*COS(-P19)</f>
        <v>0.22345521512292191</v>
      </c>
      <c r="P58" s="259">
        <f t="shared" ref="P58:P60" si="14">P41</f>
        <v>0.11158578987468976</v>
      </c>
      <c r="Q58" s="259">
        <f t="shared" ref="Q58:Q60" si="15">-O41*SIN(-P19)</f>
        <v>0.96830593219932815</v>
      </c>
      <c r="R58" s="93"/>
      <c r="S58" s="126"/>
      <c r="T58" s="121" t="s">
        <v>8</v>
      </c>
      <c r="U58" s="62">
        <f t="shared" ref="U58:U60" si="16">shadex(D9,E9,F9,$D$13,$D$18,$E$18,$F$18,O58,P58,Q58)</f>
        <v>0.28138400140479924</v>
      </c>
    </row>
    <row r="59" spans="8:23" x14ac:dyDescent="0.25">
      <c r="H59" s="9"/>
      <c r="I59" s="9"/>
      <c r="J59" s="9"/>
      <c r="K59" s="9"/>
      <c r="L59" s="9"/>
      <c r="N59" s="256" t="s">
        <v>18</v>
      </c>
      <c r="O59" s="258">
        <f>Q42*SIN(-P20)+O42*COS(-P20)</f>
        <v>0.9234131426502008</v>
      </c>
      <c r="P59" s="258">
        <f t="shared" si="14"/>
        <v>-0.35503510088622142</v>
      </c>
      <c r="Q59" s="258">
        <f t="shared" si="15"/>
        <v>-0.14580207515529489</v>
      </c>
      <c r="R59" s="93"/>
      <c r="S59" s="126"/>
      <c r="T59" s="122" t="s">
        <v>18</v>
      </c>
      <c r="U59" s="62">
        <f t="shared" si="16"/>
        <v>0.15999527042069378</v>
      </c>
    </row>
    <row r="60" spans="8:23" x14ac:dyDescent="0.25">
      <c r="N60" s="246" t="s">
        <v>10</v>
      </c>
      <c r="O60" s="260">
        <f>Q43*SIN(-P21)+O43*COS(-P21)</f>
        <v>0.15165144802472438</v>
      </c>
      <c r="P60" s="260">
        <f t="shared" si="14"/>
        <v>-0.23349522370598841</v>
      </c>
      <c r="Q60" s="260">
        <f t="shared" si="15"/>
        <v>-0.96045917082325494</v>
      </c>
      <c r="R60" s="94"/>
      <c r="S60" s="126"/>
      <c r="T60" s="122" t="s">
        <v>10</v>
      </c>
      <c r="U60" s="62">
        <f t="shared" si="16"/>
        <v>0.1941055915833842</v>
      </c>
    </row>
    <row r="61" spans="8:23" x14ac:dyDescent="0.25">
      <c r="T61" s="9"/>
      <c r="U61" s="9"/>
    </row>
    <row r="62" spans="8:23" x14ac:dyDescent="0.25">
      <c r="T62" s="9"/>
      <c r="U62" s="9"/>
    </row>
    <row r="63" spans="8:23" x14ac:dyDescent="0.25">
      <c r="T63" s="9"/>
      <c r="U63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1DDB-26DD-45C2-BD40-BFFA99C8892E}">
  <sheetPr codeName="Sheet12"/>
  <dimension ref="B1:W51"/>
  <sheetViews>
    <sheetView topLeftCell="C1" workbookViewId="0">
      <selection activeCell="E37" sqref="E37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0" width="14.7109375" style="4" customWidth="1"/>
    <col min="11" max="11" width="9.5703125" style="4" bestFit="1" customWidth="1"/>
    <col min="12" max="13" width="9.140625" style="4"/>
    <col min="17" max="17" width="9.140625" style="227"/>
    <col min="18" max="18" width="14.7109375" style="4" customWidth="1"/>
    <col min="19" max="19" width="9.5703125" bestFit="1" customWidth="1"/>
  </cols>
  <sheetData>
    <row r="1" spans="2:22" x14ac:dyDescent="0.25">
      <c r="B1" s="227" t="s">
        <v>148</v>
      </c>
      <c r="N1" s="4"/>
    </row>
    <row r="3" spans="2:22" x14ac:dyDescent="0.25">
      <c r="B3" s="229" t="s">
        <v>138</v>
      </c>
      <c r="C3" s="216"/>
      <c r="D3" s="216" t="s">
        <v>5</v>
      </c>
      <c r="E3" s="216" t="s">
        <v>6</v>
      </c>
      <c r="F3" s="217" t="s">
        <v>42</v>
      </c>
      <c r="H3" s="229" t="s">
        <v>17</v>
      </c>
      <c r="I3" s="241" t="s">
        <v>7</v>
      </c>
      <c r="J3" s="216" t="s">
        <v>145</v>
      </c>
      <c r="K3" s="216" t="s">
        <v>146</v>
      </c>
      <c r="L3" s="216" t="s">
        <v>147</v>
      </c>
      <c r="M3" s="216" t="s">
        <v>137</v>
      </c>
      <c r="N3" s="70"/>
      <c r="O3" s="9"/>
      <c r="P3" s="229" t="s">
        <v>17</v>
      </c>
      <c r="Q3" s="241" t="s">
        <v>8</v>
      </c>
      <c r="R3" s="216" t="s">
        <v>145</v>
      </c>
      <c r="S3" s="216" t="s">
        <v>146</v>
      </c>
      <c r="T3" s="216" t="s">
        <v>147</v>
      </c>
      <c r="U3" s="216" t="s">
        <v>137</v>
      </c>
      <c r="V3" s="70"/>
    </row>
    <row r="4" spans="2:22" x14ac:dyDescent="0.25">
      <c r="B4" s="230"/>
      <c r="C4" s="10"/>
      <c r="D4" s="10"/>
      <c r="E4" s="10"/>
      <c r="F4" s="51"/>
      <c r="H4" s="50"/>
      <c r="I4" s="219"/>
      <c r="J4" s="10"/>
      <c r="K4" s="10"/>
      <c r="L4" s="10"/>
      <c r="M4" s="10"/>
      <c r="N4" s="72"/>
      <c r="O4" s="9"/>
      <c r="P4" s="50"/>
      <c r="Q4" s="219"/>
      <c r="R4" s="10"/>
      <c r="S4" s="10"/>
      <c r="T4" s="10"/>
      <c r="U4" s="10"/>
      <c r="V4" s="72"/>
    </row>
    <row r="5" spans="2:22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219" t="s">
        <v>139</v>
      </c>
      <c r="J5" s="11">
        <f>D6-D10</f>
        <v>-180</v>
      </c>
      <c r="K5" s="11">
        <f>E6-E10</f>
        <v>197.25</v>
      </c>
      <c r="L5" s="11">
        <f>F6-F10</f>
        <v>20</v>
      </c>
      <c r="M5" s="10">
        <f>SQRT(J5*J5+K5*K5+L5*L5)</f>
        <v>267.78267774447249</v>
      </c>
      <c r="N5" s="72"/>
      <c r="O5" s="9"/>
      <c r="P5" s="50"/>
      <c r="Q5" s="219" t="s">
        <v>139</v>
      </c>
      <c r="R5" s="11">
        <f>D7-D10</f>
        <v>220</v>
      </c>
      <c r="S5" s="11">
        <f>E7-E10</f>
        <v>197.25</v>
      </c>
      <c r="T5" s="11">
        <f>F7-F10</f>
        <v>20</v>
      </c>
      <c r="U5" s="10">
        <f>SQRT(R5*R5+S5*S5+T5*T5)</f>
        <v>296.15462599797422</v>
      </c>
      <c r="V5" s="72"/>
    </row>
    <row r="6" spans="2:22" x14ac:dyDescent="0.25">
      <c r="B6" s="230"/>
      <c r="C6" s="10" t="s">
        <v>7</v>
      </c>
      <c r="D6" s="11">
        <f>-D5</f>
        <v>-200</v>
      </c>
      <c r="E6" s="11">
        <f>D5</f>
        <v>200</v>
      </c>
      <c r="F6" s="88">
        <v>0</v>
      </c>
      <c r="H6" s="50"/>
      <c r="I6" s="219" t="s">
        <v>43</v>
      </c>
      <c r="J6" s="11"/>
      <c r="K6" s="11"/>
      <c r="L6" s="11"/>
      <c r="M6" s="10"/>
      <c r="N6" s="72"/>
      <c r="O6" s="9"/>
      <c r="P6" s="50"/>
      <c r="Q6" s="219" t="s">
        <v>43</v>
      </c>
      <c r="R6" s="11"/>
      <c r="S6" s="11"/>
      <c r="T6" s="11"/>
      <c r="U6" s="10"/>
      <c r="V6" s="72"/>
    </row>
    <row r="7" spans="2:22" x14ac:dyDescent="0.25">
      <c r="B7" s="230"/>
      <c r="C7" s="10" t="s">
        <v>8</v>
      </c>
      <c r="D7" s="11">
        <v>200</v>
      </c>
      <c r="E7" s="11">
        <f>D5</f>
        <v>200</v>
      </c>
      <c r="F7" s="88">
        <v>0</v>
      </c>
      <c r="H7" s="50"/>
      <c r="I7" s="219"/>
      <c r="J7" s="11"/>
      <c r="K7" s="11"/>
      <c r="L7" s="11"/>
      <c r="M7" s="10"/>
      <c r="N7" s="72"/>
      <c r="O7" s="9"/>
      <c r="P7" s="50"/>
      <c r="Q7" s="219"/>
      <c r="R7" s="11"/>
      <c r="S7" s="11"/>
      <c r="T7" s="11"/>
      <c r="U7" s="10"/>
      <c r="V7" s="72"/>
    </row>
    <row r="8" spans="2:22" x14ac:dyDescent="0.25">
      <c r="B8" s="230"/>
      <c r="C8" s="10" t="s">
        <v>13</v>
      </c>
      <c r="D8" s="11">
        <v>100</v>
      </c>
      <c r="E8" s="11"/>
      <c r="F8" s="88"/>
      <c r="H8" s="50"/>
      <c r="I8" s="219" t="s">
        <v>140</v>
      </c>
      <c r="J8" s="188">
        <f>1/(M5*M5)</f>
        <v>1.3945530501054194E-5</v>
      </c>
      <c r="K8" s="148" t="s">
        <v>141</v>
      </c>
      <c r="L8" s="11"/>
      <c r="M8" s="10"/>
      <c r="N8" s="72"/>
      <c r="O8" s="9"/>
      <c r="P8" s="50"/>
      <c r="Q8" s="219" t="s">
        <v>140</v>
      </c>
      <c r="R8" s="188">
        <f>1/(U5*U5)</f>
        <v>1.140152538157699E-5</v>
      </c>
      <c r="S8" s="148"/>
      <c r="T8" s="11"/>
      <c r="U8" s="10"/>
      <c r="V8" s="72"/>
    </row>
    <row r="9" spans="2:22" x14ac:dyDescent="0.25">
      <c r="B9" s="230"/>
      <c r="C9" s="10"/>
      <c r="D9" s="11"/>
      <c r="E9" s="11"/>
      <c r="F9" s="88"/>
      <c r="H9" s="50"/>
      <c r="I9" s="219"/>
      <c r="J9" s="188"/>
      <c r="K9" s="148"/>
      <c r="L9" s="11"/>
      <c r="M9" s="10"/>
      <c r="N9" s="72"/>
      <c r="O9" s="9"/>
      <c r="P9" s="50"/>
      <c r="Q9" s="219"/>
      <c r="R9" s="188"/>
      <c r="S9" s="148"/>
      <c r="T9" s="11"/>
      <c r="U9" s="10"/>
      <c r="V9" s="72"/>
    </row>
    <row r="10" spans="2:22" x14ac:dyDescent="0.25">
      <c r="B10" s="230" t="s">
        <v>43</v>
      </c>
      <c r="C10" s="10"/>
      <c r="D10" s="11">
        <v>-20</v>
      </c>
      <c r="E10" s="11">
        <v>2.75</v>
      </c>
      <c r="F10" s="88">
        <v>-20</v>
      </c>
      <c r="H10" s="50"/>
      <c r="I10" s="219" t="s">
        <v>61</v>
      </c>
      <c r="J10" s="188">
        <f>J5*$J8</f>
        <v>-2.5101954901897549E-3</v>
      </c>
      <c r="K10" s="188">
        <f>K5*$J8</f>
        <v>2.7507558913329399E-3</v>
      </c>
      <c r="L10" s="188">
        <f>L5*$J8</f>
        <v>2.7891061002108388E-4</v>
      </c>
      <c r="M10" s="219" t="s">
        <v>142</v>
      </c>
      <c r="N10" s="72"/>
      <c r="O10" s="9"/>
      <c r="P10" s="50"/>
      <c r="Q10" s="219" t="s">
        <v>61</v>
      </c>
      <c r="R10" s="188">
        <f>R5*$R8</f>
        <v>2.5083355839469377E-3</v>
      </c>
      <c r="S10" s="188">
        <f>S5*$R8</f>
        <v>2.2489508815160611E-3</v>
      </c>
      <c r="T10" s="188">
        <f>T5*$R8</f>
        <v>2.280305076315398E-4</v>
      </c>
      <c r="U10" s="219"/>
      <c r="V10" s="72"/>
    </row>
    <row r="11" spans="2:22" x14ac:dyDescent="0.25">
      <c r="B11" s="230"/>
      <c r="C11" s="10"/>
      <c r="D11" s="11"/>
      <c r="E11" s="11"/>
      <c r="F11" s="88"/>
      <c r="H11" s="50"/>
      <c r="I11" s="219"/>
      <c r="J11" s="11"/>
      <c r="K11" s="11"/>
      <c r="L11" s="11"/>
      <c r="M11" s="10"/>
      <c r="N11" s="72"/>
      <c r="O11" s="9"/>
      <c r="P11" s="50"/>
      <c r="Q11" s="219"/>
      <c r="R11" s="11"/>
      <c r="S11" s="11"/>
      <c r="T11" s="11"/>
      <c r="U11" s="10"/>
      <c r="V11" s="72"/>
    </row>
    <row r="12" spans="2:22" x14ac:dyDescent="0.25">
      <c r="B12" s="230" t="s">
        <v>44</v>
      </c>
      <c r="C12" s="10"/>
      <c r="D12" s="11">
        <f>D20</f>
        <v>-0.49999999999999994</v>
      </c>
      <c r="E12" s="11">
        <f>D21</f>
        <v>0.86602540378443871</v>
      </c>
      <c r="F12" s="88">
        <f>D22</f>
        <v>0</v>
      </c>
      <c r="H12" s="50"/>
      <c r="I12" s="219" t="s">
        <v>62</v>
      </c>
      <c r="J12" s="188">
        <f>J10*D12 + K10*E12 + L10*F12</f>
        <v>3.6373222265989099E-3</v>
      </c>
      <c r="K12" s="228" t="s">
        <v>143</v>
      </c>
      <c r="L12" s="188"/>
      <c r="M12" s="10"/>
      <c r="N12" s="72"/>
      <c r="O12" s="9"/>
      <c r="P12" s="50"/>
      <c r="Q12" s="219" t="s">
        <v>62</v>
      </c>
      <c r="R12" s="188">
        <f>R10*D12 + S10*E12 + T10*F12</f>
        <v>6.9348080328284758E-4</v>
      </c>
      <c r="S12" s="228"/>
      <c r="T12" s="188"/>
      <c r="U12" s="10"/>
      <c r="V12" s="72"/>
    </row>
    <row r="13" spans="2:22" x14ac:dyDescent="0.25">
      <c r="B13" s="230"/>
      <c r="C13" s="10"/>
      <c r="D13" s="126"/>
      <c r="E13" s="10"/>
      <c r="F13" s="144"/>
      <c r="H13" s="50"/>
      <c r="I13" s="219"/>
      <c r="J13" s="10"/>
      <c r="K13" s="10"/>
      <c r="L13" s="10"/>
      <c r="M13" s="10"/>
      <c r="N13" s="72"/>
      <c r="O13" s="9"/>
      <c r="P13" s="50"/>
      <c r="Q13" s="219"/>
      <c r="R13" s="10"/>
      <c r="S13" s="10"/>
      <c r="T13" s="10"/>
      <c r="U13" s="10"/>
      <c r="V13" s="72"/>
    </row>
    <row r="14" spans="2:22" x14ac:dyDescent="0.25">
      <c r="B14" s="230"/>
      <c r="C14" s="10"/>
      <c r="D14" s="126"/>
      <c r="E14" s="10"/>
      <c r="F14" s="144"/>
      <c r="H14" s="50"/>
      <c r="I14" s="219" t="s">
        <v>119</v>
      </c>
      <c r="J14" s="235">
        <f>J12*D8</f>
        <v>0.36373222265989097</v>
      </c>
      <c r="K14" s="228" t="s">
        <v>144</v>
      </c>
      <c r="L14" s="188"/>
      <c r="M14" s="10"/>
      <c r="N14" s="72"/>
      <c r="O14" s="9"/>
      <c r="P14" s="50"/>
      <c r="Q14" s="219" t="s">
        <v>119</v>
      </c>
      <c r="R14" s="235">
        <f>R12*D8</f>
        <v>6.9348080328284753E-2</v>
      </c>
      <c r="S14" s="228"/>
      <c r="T14" s="188"/>
      <c r="U14" s="10"/>
      <c r="V14" s="72"/>
    </row>
    <row r="15" spans="2:22" x14ac:dyDescent="0.25">
      <c r="B15" s="231" t="s">
        <v>12</v>
      </c>
      <c r="C15" s="10" t="s">
        <v>103</v>
      </c>
      <c r="D15" s="11">
        <v>30</v>
      </c>
      <c r="E15" s="10"/>
      <c r="F15" s="144"/>
      <c r="H15" s="52"/>
      <c r="I15" s="242"/>
      <c r="J15" s="237"/>
      <c r="K15" s="58"/>
      <c r="L15" s="58"/>
      <c r="M15" s="58"/>
      <c r="N15" s="74"/>
      <c r="P15" s="52"/>
      <c r="Q15" s="242"/>
      <c r="R15" s="237"/>
      <c r="S15" s="57"/>
      <c r="T15" s="57"/>
      <c r="U15" s="57"/>
      <c r="V15" s="74"/>
    </row>
    <row r="16" spans="2:22" x14ac:dyDescent="0.25">
      <c r="B16" s="230"/>
      <c r="C16" s="10" t="s">
        <v>70</v>
      </c>
      <c r="D16" s="11">
        <v>0</v>
      </c>
      <c r="E16" s="11"/>
      <c r="F16" s="144"/>
    </row>
    <row r="17" spans="2:23" x14ac:dyDescent="0.25">
      <c r="B17" s="230"/>
      <c r="C17" s="10" t="s">
        <v>130</v>
      </c>
      <c r="D17" s="126">
        <f>-SIN(RADIANS(D15))</f>
        <v>-0.49999999999999994</v>
      </c>
      <c r="E17" s="148" t="s">
        <v>94</v>
      </c>
      <c r="F17" s="144"/>
    </row>
    <row r="18" spans="2:23" x14ac:dyDescent="0.25">
      <c r="B18" s="230"/>
      <c r="C18" s="10" t="s">
        <v>131</v>
      </c>
      <c r="D18" s="126">
        <f>COS(RADIANS(D15))</f>
        <v>0.86602540378443871</v>
      </c>
      <c r="E18" s="148" t="s">
        <v>95</v>
      </c>
      <c r="F18" s="144"/>
    </row>
    <row r="19" spans="2:23" x14ac:dyDescent="0.25">
      <c r="B19" s="230"/>
      <c r="C19" s="10" t="s">
        <v>132</v>
      </c>
      <c r="D19" s="126">
        <v>0</v>
      </c>
      <c r="E19" s="148" t="s">
        <v>104</v>
      </c>
      <c r="F19" s="144"/>
      <c r="I19" s="238" t="s">
        <v>49</v>
      </c>
      <c r="J19" s="160" t="s">
        <v>149</v>
      </c>
      <c r="K19" s="250">
        <v>256</v>
      </c>
      <c r="L19" s="160"/>
      <c r="M19" s="239"/>
    </row>
    <row r="20" spans="2:23" x14ac:dyDescent="0.25">
      <c r="B20" s="230"/>
      <c r="C20" s="10" t="s">
        <v>133</v>
      </c>
      <c r="D20" s="11">
        <f>D17* COS(D16)</f>
        <v>-0.49999999999999994</v>
      </c>
      <c r="E20" s="148" t="s">
        <v>84</v>
      </c>
      <c r="F20" s="144"/>
      <c r="G20" s="13"/>
      <c r="I20" s="219"/>
      <c r="J20" s="10"/>
      <c r="K20" s="10"/>
      <c r="L20" s="10"/>
      <c r="M20" s="10"/>
    </row>
    <row r="21" spans="2:23" x14ac:dyDescent="0.25">
      <c r="B21" s="230"/>
      <c r="C21" s="10" t="s">
        <v>134</v>
      </c>
      <c r="D21" s="11">
        <f>D18</f>
        <v>0.86602540378443871</v>
      </c>
      <c r="E21" s="148" t="s">
        <v>85</v>
      </c>
      <c r="F21" s="144"/>
      <c r="G21" s="13"/>
    </row>
    <row r="22" spans="2:23" x14ac:dyDescent="0.25">
      <c r="B22" s="230"/>
      <c r="C22" s="10" t="s">
        <v>135</v>
      </c>
      <c r="D22" s="11">
        <f>-D17*SIN(D16)</f>
        <v>0</v>
      </c>
      <c r="E22" s="148" t="s">
        <v>83</v>
      </c>
      <c r="F22" s="144"/>
      <c r="G22" s="13"/>
      <c r="I22" s="46" t="s">
        <v>43</v>
      </c>
      <c r="J22" s="241"/>
      <c r="K22" s="143">
        <f>D10</f>
        <v>-20</v>
      </c>
      <c r="L22" s="233">
        <v>3</v>
      </c>
      <c r="M22" s="143">
        <f>F10</f>
        <v>-20</v>
      </c>
      <c r="N22" s="216"/>
      <c r="O22" s="70"/>
      <c r="Q22"/>
      <c r="R22" s="227"/>
      <c r="S22" s="4"/>
    </row>
    <row r="23" spans="2:23" x14ac:dyDescent="0.25">
      <c r="B23" s="230"/>
      <c r="C23" s="10"/>
      <c r="D23" s="149"/>
      <c r="E23" s="149"/>
      <c r="F23" s="144"/>
      <c r="G23" s="13"/>
      <c r="I23" s="50"/>
      <c r="J23" s="219"/>
      <c r="K23" s="10"/>
      <c r="L23" s="10"/>
      <c r="M23" s="10"/>
      <c r="N23" s="10"/>
      <c r="O23" s="72"/>
      <c r="Q23"/>
      <c r="R23" s="227"/>
      <c r="S23" s="4"/>
    </row>
    <row r="24" spans="2:23" x14ac:dyDescent="0.25">
      <c r="B24" s="232"/>
      <c r="C24" s="58" t="s">
        <v>61</v>
      </c>
      <c r="D24" s="150">
        <v>30</v>
      </c>
      <c r="E24" s="150"/>
      <c r="F24" s="151"/>
      <c r="G24" s="13"/>
      <c r="I24" s="52" t="s">
        <v>44</v>
      </c>
      <c r="J24" s="242"/>
      <c r="K24" s="240">
        <f>D12</f>
        <v>-0.49999999999999994</v>
      </c>
      <c r="L24" s="240">
        <f>E12</f>
        <v>0.86602540378443871</v>
      </c>
      <c r="M24" s="240">
        <f>F12</f>
        <v>0</v>
      </c>
      <c r="N24" s="207"/>
      <c r="O24" s="74"/>
      <c r="Q24"/>
      <c r="R24" s="227"/>
      <c r="S24" s="4"/>
    </row>
    <row r="25" spans="2:23" x14ac:dyDescent="0.25">
      <c r="G25" s="4"/>
      <c r="I25" s="9"/>
      <c r="J25" s="219"/>
      <c r="K25" s="208"/>
      <c r="L25" s="208"/>
      <c r="M25" s="208"/>
      <c r="N25" s="11"/>
      <c r="O25" s="9"/>
      <c r="Q25"/>
      <c r="R25" s="227"/>
      <c r="S25" s="4"/>
    </row>
    <row r="26" spans="2:23" x14ac:dyDescent="0.25">
      <c r="G26" s="4"/>
      <c r="I26" s="9"/>
      <c r="J26" s="219"/>
      <c r="K26" s="11"/>
      <c r="L26" s="11"/>
      <c r="M26" s="11"/>
      <c r="N26" s="11"/>
      <c r="O26" s="9"/>
      <c r="Q26"/>
      <c r="R26" s="227"/>
      <c r="S26" s="4"/>
    </row>
    <row r="27" spans="2:23" x14ac:dyDescent="0.25">
      <c r="G27" s="10"/>
      <c r="I27" s="229" t="s">
        <v>17</v>
      </c>
      <c r="J27" s="241" t="s">
        <v>7</v>
      </c>
      <c r="K27" s="216" t="s">
        <v>145</v>
      </c>
      <c r="L27" s="216" t="s">
        <v>146</v>
      </c>
      <c r="M27" s="216" t="s">
        <v>147</v>
      </c>
      <c r="N27" s="216" t="s">
        <v>137</v>
      </c>
      <c r="O27" s="70"/>
      <c r="Q27" s="229" t="s">
        <v>17</v>
      </c>
      <c r="R27" s="241" t="s">
        <v>8</v>
      </c>
      <c r="S27" s="216" t="s">
        <v>145</v>
      </c>
      <c r="T27" s="216" t="s">
        <v>146</v>
      </c>
      <c r="U27" s="216" t="s">
        <v>147</v>
      </c>
      <c r="V27" s="216" t="s">
        <v>137</v>
      </c>
      <c r="W27" s="70"/>
    </row>
    <row r="28" spans="2:23" x14ac:dyDescent="0.25">
      <c r="G28" s="4"/>
      <c r="I28" s="50"/>
      <c r="J28" s="219"/>
      <c r="K28" s="11"/>
      <c r="L28" s="11"/>
      <c r="M28" s="11"/>
      <c r="N28" s="11"/>
      <c r="O28" s="72"/>
      <c r="Q28" s="50"/>
      <c r="R28" s="219"/>
      <c r="S28" s="10"/>
      <c r="T28" s="9"/>
      <c r="U28" s="9"/>
      <c r="V28" s="9"/>
      <c r="W28" s="72"/>
    </row>
    <row r="29" spans="2:23" x14ac:dyDescent="0.25">
      <c r="G29" s="4"/>
      <c r="I29" s="50"/>
      <c r="J29" s="219" t="s">
        <v>139</v>
      </c>
      <c r="K29" s="11">
        <f>D6-K22</f>
        <v>-180</v>
      </c>
      <c r="L29" s="11">
        <f>E6-L22</f>
        <v>197</v>
      </c>
      <c r="M29" s="11">
        <f>F6-M22</f>
        <v>20</v>
      </c>
      <c r="N29" s="10">
        <f>SQRT(K29*K29+L29*L29+M29*M29)</f>
        <v>267.5985799663369</v>
      </c>
      <c r="O29" s="72"/>
      <c r="Q29" s="50"/>
      <c r="R29" s="219" t="s">
        <v>139</v>
      </c>
      <c r="S29" s="11">
        <f>D7-K22</f>
        <v>220</v>
      </c>
      <c r="T29" s="11">
        <f>E7-L22</f>
        <v>197</v>
      </c>
      <c r="U29" s="11">
        <f>F7-M22</f>
        <v>20</v>
      </c>
      <c r="V29" s="10">
        <f>SQRT(S29*S29+T29*T29+U29*U29)</f>
        <v>295.98817543949286</v>
      </c>
      <c r="W29" s="72"/>
    </row>
    <row r="30" spans="2:23" x14ac:dyDescent="0.25">
      <c r="G30" s="4"/>
      <c r="I30" s="50"/>
      <c r="J30" s="219" t="s">
        <v>43</v>
      </c>
      <c r="K30" s="10"/>
      <c r="L30" s="10"/>
      <c r="M30" s="10"/>
      <c r="N30" s="10"/>
      <c r="O30" s="72"/>
      <c r="Q30" s="50"/>
      <c r="R30" s="219" t="s">
        <v>43</v>
      </c>
      <c r="S30" s="10"/>
      <c r="T30" s="10"/>
      <c r="U30" s="10"/>
      <c r="V30" s="10"/>
      <c r="W30" s="72"/>
    </row>
    <row r="31" spans="2:23" x14ac:dyDescent="0.25">
      <c r="G31" s="4"/>
      <c r="I31" s="50"/>
      <c r="J31" s="219"/>
      <c r="K31" s="10"/>
      <c r="L31" s="10"/>
      <c r="M31" s="10"/>
      <c r="N31" s="10"/>
      <c r="O31" s="72"/>
      <c r="Q31" s="50"/>
      <c r="R31" s="219"/>
      <c r="S31" s="10"/>
      <c r="T31" s="10"/>
      <c r="U31" s="10"/>
      <c r="V31" s="10"/>
      <c r="W31" s="72"/>
    </row>
    <row r="32" spans="2:23" x14ac:dyDescent="0.25">
      <c r="G32" s="4"/>
      <c r="I32" s="50"/>
      <c r="J32" s="219" t="s">
        <v>140</v>
      </c>
      <c r="K32" s="188">
        <f>1/(N29*N29)</f>
        <v>1.396472510438632E-5</v>
      </c>
      <c r="L32" s="10"/>
      <c r="M32" s="10"/>
      <c r="N32" s="10"/>
      <c r="O32" s="72"/>
      <c r="Q32" s="50"/>
      <c r="R32" s="219" t="s">
        <v>140</v>
      </c>
      <c r="S32" s="188">
        <f>1/(V29*V29)</f>
        <v>1.1414352406716204E-5</v>
      </c>
      <c r="T32" s="10"/>
      <c r="U32" s="10"/>
      <c r="V32" s="10"/>
      <c r="W32" s="72"/>
    </row>
    <row r="33" spans="7:23" x14ac:dyDescent="0.25">
      <c r="G33" s="4"/>
      <c r="I33" s="50"/>
      <c r="J33" s="219"/>
      <c r="K33" s="10"/>
      <c r="L33" s="10"/>
      <c r="M33" s="10"/>
      <c r="N33" s="10"/>
      <c r="O33" s="72"/>
      <c r="Q33" s="50"/>
      <c r="R33" s="219"/>
      <c r="S33" s="10"/>
      <c r="T33" s="10"/>
      <c r="U33" s="10"/>
      <c r="V33" s="10"/>
      <c r="W33" s="72"/>
    </row>
    <row r="34" spans="7:23" x14ac:dyDescent="0.25">
      <c r="G34" s="4"/>
      <c r="I34" s="50"/>
      <c r="J34" s="219" t="s">
        <v>61</v>
      </c>
      <c r="K34" s="188">
        <f>K29*$K32</f>
        <v>-2.5136505187895375E-3</v>
      </c>
      <c r="L34" s="188">
        <f>L29*$K32</f>
        <v>2.751050845564105E-3</v>
      </c>
      <c r="M34" s="188">
        <f>M29*$K32</f>
        <v>2.792945020877264E-4</v>
      </c>
      <c r="N34" s="10"/>
      <c r="O34" s="72"/>
      <c r="Q34" s="50"/>
      <c r="R34" s="219" t="s">
        <v>61</v>
      </c>
      <c r="S34" s="188">
        <f>S29*S32</f>
        <v>2.5111575294775651E-3</v>
      </c>
      <c r="T34" s="188">
        <f>T29*S32</f>
        <v>2.2486274241230921E-3</v>
      </c>
      <c r="U34" s="188">
        <f>U29*S32</f>
        <v>2.2828704813432409E-4</v>
      </c>
      <c r="V34" s="10"/>
      <c r="W34" s="72"/>
    </row>
    <row r="35" spans="7:23" x14ac:dyDescent="0.25">
      <c r="G35" s="4"/>
      <c r="I35" s="50"/>
      <c r="J35" s="219"/>
      <c r="K35" s="11"/>
      <c r="L35" s="10"/>
      <c r="M35" s="10"/>
      <c r="N35" s="10"/>
      <c r="O35" s="72"/>
      <c r="Q35" s="50"/>
      <c r="R35" s="219"/>
      <c r="S35" s="11"/>
      <c r="T35" s="10"/>
      <c r="U35" s="10"/>
      <c r="V35" s="10"/>
      <c r="W35" s="72"/>
    </row>
    <row r="36" spans="7:23" x14ac:dyDescent="0.25">
      <c r="G36" s="4"/>
      <c r="I36" s="50"/>
      <c r="J36" s="219" t="s">
        <v>62</v>
      </c>
      <c r="K36" s="188">
        <f>K34*K24 + L34*L24 + M34*M24</f>
        <v>3.6393051787559439E-3</v>
      </c>
      <c r="L36" s="10"/>
      <c r="M36" s="10"/>
      <c r="N36" s="10"/>
      <c r="O36" s="72"/>
      <c r="Q36" s="50"/>
      <c r="R36" s="219" t="s">
        <v>62</v>
      </c>
      <c r="S36" s="188">
        <f>K24*S34+ L24*T34 + M24*U34</f>
        <v>6.9178970819818082E-4</v>
      </c>
      <c r="T36" s="10"/>
      <c r="U36" s="10"/>
      <c r="V36" s="10"/>
      <c r="W36" s="72"/>
    </row>
    <row r="37" spans="7:23" x14ac:dyDescent="0.25">
      <c r="G37" s="4"/>
      <c r="I37" s="50"/>
      <c r="J37" s="219"/>
      <c r="K37" s="10"/>
      <c r="L37" s="10"/>
      <c r="M37" s="10"/>
      <c r="N37" s="10"/>
      <c r="O37" s="72"/>
      <c r="Q37" s="50"/>
      <c r="R37" s="219"/>
      <c r="S37" s="10"/>
      <c r="T37" s="10"/>
      <c r="U37" s="10"/>
      <c r="V37" s="10"/>
      <c r="W37" s="72"/>
    </row>
    <row r="38" spans="7:23" x14ac:dyDescent="0.25">
      <c r="G38" s="4"/>
      <c r="I38" s="50"/>
      <c r="J38" s="219" t="s">
        <v>119</v>
      </c>
      <c r="K38" s="235">
        <f>K36*D8</f>
        <v>0.36393051787559438</v>
      </c>
      <c r="L38" s="10"/>
      <c r="M38" s="10"/>
      <c r="N38" s="10"/>
      <c r="O38" s="72"/>
      <c r="Q38" s="50"/>
      <c r="R38" s="219" t="s">
        <v>119</v>
      </c>
      <c r="S38" s="235">
        <f>S36*D8</f>
        <v>6.9178970819818081E-2</v>
      </c>
      <c r="T38" s="10"/>
      <c r="U38" s="10"/>
      <c r="V38" s="10"/>
      <c r="W38" s="72"/>
    </row>
    <row r="39" spans="7:23" x14ac:dyDescent="0.25">
      <c r="H39" s="9"/>
      <c r="I39" s="50"/>
      <c r="J39" s="219"/>
      <c r="K39" s="236"/>
      <c r="L39" s="10"/>
      <c r="M39" s="10"/>
      <c r="N39" s="10"/>
      <c r="O39" s="72"/>
      <c r="Q39" s="50"/>
      <c r="R39" s="219"/>
      <c r="S39" s="236"/>
      <c r="T39" s="10"/>
      <c r="U39" s="10"/>
      <c r="V39" s="10"/>
      <c r="W39" s="72"/>
    </row>
    <row r="40" spans="7:23" x14ac:dyDescent="0.25">
      <c r="H40" s="9"/>
      <c r="I40" s="52"/>
      <c r="J40" s="57"/>
      <c r="K40" s="237">
        <f>INT(K38*K19)</f>
        <v>93</v>
      </c>
      <c r="L40" s="57"/>
      <c r="M40" s="57"/>
      <c r="N40" s="57"/>
      <c r="O40" s="74"/>
      <c r="P40" s="9"/>
      <c r="Q40" s="52"/>
      <c r="R40" s="242"/>
      <c r="S40" s="237">
        <f>INT(S38*K19)</f>
        <v>17</v>
      </c>
      <c r="T40" s="57"/>
      <c r="U40" s="57"/>
      <c r="V40" s="57"/>
      <c r="W40" s="74"/>
    </row>
    <row r="41" spans="7:23" x14ac:dyDescent="0.25">
      <c r="H41" s="9"/>
      <c r="I41" s="219"/>
      <c r="J41" s="11"/>
      <c r="K41" s="11"/>
      <c r="L41" s="11"/>
      <c r="M41" s="10"/>
      <c r="N41" s="9"/>
    </row>
    <row r="42" spans="7:23" x14ac:dyDescent="0.25">
      <c r="H42" s="9"/>
      <c r="I42" s="219"/>
      <c r="J42" s="10"/>
      <c r="K42" s="10"/>
      <c r="L42" s="10"/>
      <c r="M42" s="10"/>
      <c r="N42" s="9"/>
    </row>
    <row r="43" spans="7:23" x14ac:dyDescent="0.25">
      <c r="H43" s="9"/>
      <c r="I43" s="219"/>
      <c r="J43" s="10"/>
      <c r="K43" s="10"/>
      <c r="L43" s="10"/>
      <c r="M43" s="10"/>
      <c r="N43" s="9"/>
    </row>
    <row r="44" spans="7:23" x14ac:dyDescent="0.25">
      <c r="H44" s="9"/>
      <c r="I44" s="219"/>
      <c r="J44" s="188"/>
      <c r="K44" s="10"/>
      <c r="L44" s="10"/>
      <c r="M44" s="10"/>
      <c r="N44" s="9"/>
    </row>
    <row r="45" spans="7:23" x14ac:dyDescent="0.25">
      <c r="H45" s="9"/>
      <c r="I45" s="219"/>
      <c r="J45" s="10"/>
      <c r="K45" s="10"/>
      <c r="L45" s="10"/>
      <c r="M45" s="10"/>
      <c r="N45" s="9"/>
    </row>
    <row r="46" spans="7:23" x14ac:dyDescent="0.25">
      <c r="H46" s="9"/>
      <c r="I46" s="219"/>
      <c r="J46" s="188"/>
      <c r="K46" s="188"/>
      <c r="L46" s="188"/>
      <c r="M46" s="10"/>
      <c r="N46" s="9"/>
    </row>
    <row r="47" spans="7:23" x14ac:dyDescent="0.25">
      <c r="H47" s="9"/>
      <c r="I47" s="219"/>
      <c r="J47" s="11"/>
      <c r="K47" s="10"/>
      <c r="L47" s="10"/>
      <c r="M47" s="10"/>
      <c r="N47" s="9"/>
    </row>
    <row r="48" spans="7:23" x14ac:dyDescent="0.25">
      <c r="H48" s="9"/>
      <c r="I48" s="219"/>
      <c r="J48" s="188"/>
      <c r="K48" s="10"/>
      <c r="L48" s="10"/>
      <c r="M48" s="10"/>
      <c r="N48" s="9"/>
    </row>
    <row r="49" spans="8:14" x14ac:dyDescent="0.25">
      <c r="H49" s="9"/>
      <c r="I49" s="219"/>
      <c r="J49" s="10"/>
      <c r="K49" s="10"/>
      <c r="L49" s="10"/>
      <c r="M49" s="10"/>
      <c r="N49" s="9"/>
    </row>
    <row r="50" spans="8:14" x14ac:dyDescent="0.25">
      <c r="I50" s="219"/>
      <c r="J50" s="235"/>
      <c r="K50" s="10"/>
      <c r="L50" s="10"/>
      <c r="M50" s="10"/>
      <c r="N50" s="9"/>
    </row>
    <row r="51" spans="8:14" x14ac:dyDescent="0.25">
      <c r="I51" s="219"/>
      <c r="J51" s="236"/>
      <c r="K51" s="10"/>
      <c r="L51" s="10"/>
      <c r="M51" s="10"/>
      <c r="N51" s="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F7B0F-8338-4F38-8628-B6C6EF668F4F}">
  <sheetPr codeName="Sheet11">
    <pageSetUpPr autoPageBreaks="0"/>
  </sheetPr>
  <dimension ref="B1:AK61"/>
  <sheetViews>
    <sheetView topLeftCell="A28" zoomScale="85" zoomScaleNormal="85" workbookViewId="0">
      <selection activeCell="N52" sqref="N52"/>
    </sheetView>
  </sheetViews>
  <sheetFormatPr defaultRowHeight="15" x14ac:dyDescent="0.25"/>
  <cols>
    <col min="2" max="2" width="8.7109375" style="9" customWidth="1"/>
    <col min="3" max="3" width="12" style="10" bestFit="1" customWidth="1"/>
    <col min="4" max="5" width="10.7109375" style="10" customWidth="1"/>
    <col min="6" max="7" width="10.7109375" style="13" customWidth="1"/>
    <col min="8" max="8" width="10.7109375" style="10" customWidth="1"/>
    <col min="9" max="9" width="9.140625" style="4"/>
    <col min="10" max="10" width="9.140625" style="64"/>
    <col min="12" max="12" width="9.5703125" style="66" customWidth="1"/>
    <col min="13" max="13" width="9.5703125" style="4" customWidth="1"/>
    <col min="14" max="14" width="9.140625" style="4"/>
    <col min="16" max="16" width="9.140625" style="4"/>
    <col min="20" max="21" width="9.140625" style="4"/>
  </cols>
  <sheetData>
    <row r="1" spans="2:37" x14ac:dyDescent="0.25"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7" x14ac:dyDescent="0.25">
      <c r="B2" s="159" t="s">
        <v>1</v>
      </c>
      <c r="C2" s="160" t="s">
        <v>0</v>
      </c>
      <c r="D2" s="160">
        <v>100</v>
      </c>
      <c r="E2" s="160"/>
      <c r="F2" s="209"/>
      <c r="H2" s="176"/>
      <c r="I2" s="176"/>
      <c r="J2" s="176"/>
      <c r="K2" s="121"/>
      <c r="L2" s="10"/>
      <c r="M2" s="10"/>
      <c r="N2" s="11"/>
      <c r="O2" s="9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4"/>
      <c r="AF2" s="4"/>
      <c r="AG2" s="4"/>
      <c r="AH2" s="4"/>
      <c r="AI2" s="4"/>
      <c r="AJ2" s="4"/>
      <c r="AK2" s="4"/>
    </row>
    <row r="3" spans="2:37" x14ac:dyDescent="0.25">
      <c r="G3" s="120"/>
      <c r="I3" s="10"/>
      <c r="J3" s="10"/>
      <c r="K3" s="176"/>
      <c r="L3" s="121"/>
      <c r="M3" s="121"/>
      <c r="N3" s="126"/>
      <c r="O3" s="9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4"/>
      <c r="AF3" s="4"/>
      <c r="AG3" s="4"/>
      <c r="AH3" s="4"/>
      <c r="AI3" s="4"/>
      <c r="AJ3" s="4"/>
      <c r="AK3" s="4"/>
    </row>
    <row r="4" spans="2:37" x14ac:dyDescent="0.25">
      <c r="G4" s="120"/>
      <c r="I4" s="10"/>
      <c r="J4" s="122"/>
      <c r="K4" s="13"/>
      <c r="L4" s="62"/>
      <c r="M4" s="157"/>
      <c r="N4" s="62"/>
      <c r="O4" s="9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4"/>
      <c r="AF4" s="4"/>
      <c r="AG4" s="4"/>
      <c r="AH4" s="4"/>
      <c r="AI4" s="4"/>
      <c r="AJ4" s="4"/>
      <c r="AK4" s="4"/>
    </row>
    <row r="5" spans="2:37" x14ac:dyDescent="0.25">
      <c r="B5" s="139" t="s">
        <v>52</v>
      </c>
      <c r="C5" s="173" t="s">
        <v>13</v>
      </c>
      <c r="D5" s="140">
        <v>100</v>
      </c>
      <c r="E5" s="140"/>
      <c r="F5" s="153"/>
      <c r="H5" s="229" t="s">
        <v>112</v>
      </c>
      <c r="I5" s="216"/>
      <c r="J5" s="135"/>
      <c r="K5" s="216"/>
      <c r="L5" s="70"/>
      <c r="M5" s="10"/>
      <c r="N5" s="46" t="s">
        <v>115</v>
      </c>
      <c r="O5" s="7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69" t="s">
        <v>116</v>
      </c>
      <c r="AC5" s="217"/>
      <c r="AD5" s="10"/>
      <c r="AE5" s="4"/>
      <c r="AF5" s="4"/>
      <c r="AG5" s="4"/>
      <c r="AH5" s="4"/>
      <c r="AI5" s="4"/>
      <c r="AJ5" s="4"/>
      <c r="AK5" s="4"/>
    </row>
    <row r="6" spans="2:37" x14ac:dyDescent="0.25">
      <c r="B6" s="59"/>
      <c r="D6" s="126"/>
      <c r="E6" s="126"/>
      <c r="F6" s="93"/>
      <c r="H6" s="71"/>
      <c r="I6" s="10"/>
      <c r="J6" s="10"/>
      <c r="K6" s="10"/>
      <c r="L6" s="93"/>
      <c r="M6" s="10"/>
      <c r="N6" s="50"/>
      <c r="O6" s="72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71"/>
      <c r="AC6" s="51"/>
      <c r="AD6" s="10"/>
      <c r="AE6" s="4"/>
      <c r="AF6" s="4"/>
      <c r="AG6" s="4"/>
      <c r="AH6" s="4"/>
      <c r="AI6" s="4"/>
      <c r="AJ6" s="4"/>
      <c r="AK6" s="4"/>
    </row>
    <row r="7" spans="2:37" x14ac:dyDescent="0.25">
      <c r="B7" s="50"/>
      <c r="C7" s="10" t="s">
        <v>47</v>
      </c>
      <c r="D7" s="126">
        <f>D2*2</f>
        <v>200</v>
      </c>
      <c r="E7" s="126"/>
      <c r="F7" s="93"/>
      <c r="H7" s="71" t="s">
        <v>113</v>
      </c>
      <c r="I7" s="10" t="s">
        <v>23</v>
      </c>
      <c r="J7" s="10" t="s">
        <v>24</v>
      </c>
      <c r="K7" s="13" t="s">
        <v>121</v>
      </c>
      <c r="L7" s="93" t="s">
        <v>124</v>
      </c>
      <c r="M7" s="10"/>
      <c r="N7" s="223">
        <f>D8</f>
        <v>-200</v>
      </c>
      <c r="O7" s="93">
        <f>F8</f>
        <v>0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223">
        <f>D8</f>
        <v>-200</v>
      </c>
      <c r="AC7" s="88">
        <f>E8</f>
        <v>200</v>
      </c>
      <c r="AD7" s="10"/>
      <c r="AE7" s="4"/>
      <c r="AF7" s="4"/>
      <c r="AG7" s="4"/>
      <c r="AH7" s="4"/>
      <c r="AI7" s="4"/>
      <c r="AJ7" s="4"/>
      <c r="AK7" s="4"/>
    </row>
    <row r="8" spans="2:37" x14ac:dyDescent="0.25">
      <c r="B8" s="50"/>
      <c r="C8" s="121" t="s">
        <v>7</v>
      </c>
      <c r="D8" s="126">
        <f>-D7</f>
        <v>-200</v>
      </c>
      <c r="E8" s="126">
        <f>D7</f>
        <v>200</v>
      </c>
      <c r="F8" s="93">
        <v>0</v>
      </c>
      <c r="H8" s="77" t="s">
        <v>7</v>
      </c>
      <c r="I8" s="126">
        <f>D8-$D$26</f>
        <v>-162.5</v>
      </c>
      <c r="J8" s="126">
        <f>E8-$E$26</f>
        <v>197.25</v>
      </c>
      <c r="K8" s="126">
        <f>F8-$F$26</f>
        <v>-37.5</v>
      </c>
      <c r="L8" s="93">
        <f>SQRT(I8*I8+J8*J8+K8*K8)</f>
        <v>258.30226963772503</v>
      </c>
      <c r="M8" s="10"/>
      <c r="N8" s="223">
        <f>$D$26</f>
        <v>-37.5</v>
      </c>
      <c r="O8" s="93">
        <f>$F$26</f>
        <v>37.5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223">
        <f>$D$26</f>
        <v>-37.5</v>
      </c>
      <c r="AC8" s="88">
        <f>$E$26</f>
        <v>2.75</v>
      </c>
      <c r="AD8" s="10"/>
      <c r="AE8" s="4"/>
      <c r="AF8" s="4"/>
      <c r="AG8" s="4"/>
      <c r="AH8" s="4"/>
      <c r="AI8" s="4"/>
      <c r="AJ8" s="4"/>
      <c r="AK8" s="4"/>
    </row>
    <row r="9" spans="2:37" x14ac:dyDescent="0.25">
      <c r="B9" s="50"/>
      <c r="C9" s="121" t="s">
        <v>8</v>
      </c>
      <c r="D9" s="11">
        <v>0</v>
      </c>
      <c r="E9" s="11">
        <f>$E$8</f>
        <v>200</v>
      </c>
      <c r="F9" s="88">
        <v>200</v>
      </c>
      <c r="H9" s="77" t="s">
        <v>8</v>
      </c>
      <c r="I9" s="126">
        <f t="shared" ref="I9:I11" si="0">D9-$D$26</f>
        <v>37.5</v>
      </c>
      <c r="J9" s="126">
        <f t="shared" ref="J9:J11" si="1">E9-$E$26</f>
        <v>197.25</v>
      </c>
      <c r="K9" s="126">
        <f t="shared" ref="K9:K11" si="2">F9-$F$26</f>
        <v>162.5</v>
      </c>
      <c r="L9" s="93">
        <f t="shared" ref="L9:L11" si="3">SQRT(I9*I9+J9*J9+K9*K9)</f>
        <v>258.30226963772503</v>
      </c>
      <c r="M9" s="10"/>
      <c r="N9" s="223"/>
      <c r="O9" s="93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223"/>
      <c r="AC9" s="51"/>
      <c r="AD9" s="10"/>
      <c r="AE9" s="4"/>
      <c r="AF9" s="4"/>
      <c r="AG9" s="4"/>
      <c r="AH9" s="4"/>
      <c r="AI9" s="4"/>
      <c r="AJ9" s="4"/>
      <c r="AK9" s="4"/>
    </row>
    <row r="10" spans="2:37" x14ac:dyDescent="0.25">
      <c r="B10" s="50"/>
      <c r="C10" s="122" t="s">
        <v>18</v>
      </c>
      <c r="D10" s="11">
        <f>D7</f>
        <v>200</v>
      </c>
      <c r="E10" s="11">
        <f>$E$8</f>
        <v>200</v>
      </c>
      <c r="F10" s="88">
        <v>0</v>
      </c>
      <c r="H10" s="164" t="s">
        <v>18</v>
      </c>
      <c r="I10" s="126">
        <f t="shared" si="0"/>
        <v>237.5</v>
      </c>
      <c r="J10" s="126">
        <f t="shared" si="1"/>
        <v>197.25</v>
      </c>
      <c r="K10" s="126">
        <f t="shared" si="2"/>
        <v>-37.5</v>
      </c>
      <c r="L10" s="93">
        <f t="shared" si="3"/>
        <v>310.99849276162098</v>
      </c>
      <c r="M10" s="10"/>
      <c r="N10" s="223">
        <f>D9</f>
        <v>0</v>
      </c>
      <c r="O10" s="93">
        <f>F9</f>
        <v>200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223">
        <f>D9</f>
        <v>0</v>
      </c>
      <c r="AC10" s="88">
        <f>E9</f>
        <v>200</v>
      </c>
      <c r="AD10" s="10"/>
      <c r="AE10" s="4"/>
      <c r="AF10" s="4"/>
      <c r="AG10" s="4"/>
      <c r="AH10" s="4"/>
      <c r="AI10" s="4"/>
      <c r="AJ10" s="4"/>
      <c r="AK10" s="4"/>
    </row>
    <row r="11" spans="2:37" x14ac:dyDescent="0.25">
      <c r="B11" s="50"/>
      <c r="C11" s="122" t="s">
        <v>10</v>
      </c>
      <c r="D11" s="11">
        <v>0</v>
      </c>
      <c r="E11" s="11">
        <f>$E$8</f>
        <v>200</v>
      </c>
      <c r="F11" s="88">
        <v>-200</v>
      </c>
      <c r="H11" s="164" t="s">
        <v>10</v>
      </c>
      <c r="I11" s="126">
        <f t="shared" si="0"/>
        <v>37.5</v>
      </c>
      <c r="J11" s="126">
        <f t="shared" si="1"/>
        <v>197.25</v>
      </c>
      <c r="K11" s="126">
        <f t="shared" si="2"/>
        <v>-237.5</v>
      </c>
      <c r="L11" s="93">
        <f t="shared" si="3"/>
        <v>310.99849276162098</v>
      </c>
      <c r="M11" s="10"/>
      <c r="N11" s="223">
        <f>$D$26</f>
        <v>-37.5</v>
      </c>
      <c r="O11" s="93">
        <f>$F$26</f>
        <v>37.5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223">
        <f>$D$26</f>
        <v>-37.5</v>
      </c>
      <c r="AC11" s="88">
        <f>$E$26</f>
        <v>2.75</v>
      </c>
      <c r="AD11" s="10"/>
      <c r="AE11" s="4"/>
      <c r="AF11" s="4"/>
      <c r="AG11" s="4"/>
      <c r="AH11" s="4"/>
      <c r="AI11" s="4"/>
      <c r="AJ11" s="4"/>
      <c r="AK11" s="4"/>
    </row>
    <row r="12" spans="2:37" x14ac:dyDescent="0.25">
      <c r="B12" s="50"/>
      <c r="F12" s="144"/>
      <c r="H12" s="71"/>
      <c r="I12" s="126"/>
      <c r="J12" s="126"/>
      <c r="K12" s="126"/>
      <c r="L12" s="144"/>
      <c r="M12" s="10"/>
      <c r="N12" s="223"/>
      <c r="O12" s="93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223"/>
      <c r="AC12" s="51"/>
      <c r="AD12" s="10"/>
      <c r="AE12" s="4"/>
      <c r="AF12" s="4"/>
      <c r="AG12" s="4"/>
      <c r="AH12" s="4"/>
      <c r="AI12" s="4"/>
      <c r="AJ12" s="4"/>
      <c r="AK12" s="4"/>
    </row>
    <row r="13" spans="2:37" x14ac:dyDescent="0.25">
      <c r="B13" s="50"/>
      <c r="C13" s="10" t="s">
        <v>62</v>
      </c>
      <c r="D13" s="10" t="s">
        <v>119</v>
      </c>
      <c r="E13" s="10" t="s">
        <v>11</v>
      </c>
      <c r="F13" s="144"/>
      <c r="H13" s="71" t="s">
        <v>86</v>
      </c>
      <c r="I13" s="126" t="s">
        <v>125</v>
      </c>
      <c r="J13" s="126" t="s">
        <v>126</v>
      </c>
      <c r="K13" s="126" t="s">
        <v>127</v>
      </c>
      <c r="L13" s="93"/>
      <c r="M13" s="10"/>
      <c r="N13" s="223">
        <f>D10</f>
        <v>200</v>
      </c>
      <c r="O13" s="93">
        <f>F10</f>
        <v>0</v>
      </c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223">
        <f>D10</f>
        <v>200</v>
      </c>
      <c r="AC13" s="88">
        <f>E10</f>
        <v>200</v>
      </c>
      <c r="AD13" s="10"/>
      <c r="AE13" s="4"/>
      <c r="AF13" s="4"/>
      <c r="AG13" s="4"/>
      <c r="AH13" s="4"/>
      <c r="AI13" s="4"/>
      <c r="AJ13" s="4"/>
      <c r="AK13" s="4"/>
    </row>
    <row r="14" spans="2:37" x14ac:dyDescent="0.25">
      <c r="B14" s="50"/>
      <c r="C14" s="10" t="s">
        <v>7</v>
      </c>
      <c r="D14" s="62">
        <f>shadex($D8,$E8,$F8,$D$5,$D$26,$E$26,$F$26,$D$29,$E$29,$F$29)</f>
        <v>0.33343967289079535</v>
      </c>
      <c r="E14" s="62">
        <f>DEGREES(D14)</f>
        <v>19.104685978865302</v>
      </c>
      <c r="F14" s="144"/>
      <c r="H14" s="77" t="s">
        <v>7</v>
      </c>
      <c r="I14" s="126">
        <f>I8/$L8</f>
        <v>-0.62910790612838996</v>
      </c>
      <c r="J14" s="126">
        <f>J8/$L8</f>
        <v>0.76364021220815337</v>
      </c>
      <c r="K14" s="126">
        <f>K8/$L8</f>
        <v>-0.14517874756808999</v>
      </c>
      <c r="L14" s="93"/>
      <c r="M14" s="166"/>
      <c r="N14" s="223">
        <f>$D$26</f>
        <v>-37.5</v>
      </c>
      <c r="O14" s="93">
        <f>$F$26</f>
        <v>37.5</v>
      </c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223">
        <f>$D$26</f>
        <v>-37.5</v>
      </c>
      <c r="AC14" s="88">
        <f>$E$26</f>
        <v>2.75</v>
      </c>
      <c r="AD14" s="10"/>
      <c r="AE14" s="4"/>
      <c r="AF14" s="4"/>
      <c r="AG14" s="4"/>
      <c r="AH14" s="4"/>
      <c r="AI14" s="4"/>
      <c r="AJ14" s="4"/>
      <c r="AK14" s="4"/>
    </row>
    <row r="15" spans="2:37" x14ac:dyDescent="0.25">
      <c r="B15" s="50"/>
      <c r="C15" s="10" t="s">
        <v>8</v>
      </c>
      <c r="D15" s="62">
        <f>shadex($D9,$E9,$F9,$D$5,$D$26,$E$26,$F$26,$D$29,$E$29,$F$29)</f>
        <v>0.28138691060001347</v>
      </c>
      <c r="E15" s="62">
        <f>DEGREES(D15)</f>
        <v>16.122282387605779</v>
      </c>
      <c r="F15" s="144"/>
      <c r="H15" s="77" t="s">
        <v>8</v>
      </c>
      <c r="I15" s="126">
        <f t="shared" ref="I15:K17" si="4">I9/$L9</f>
        <v>0.14517874756808999</v>
      </c>
      <c r="J15" s="126">
        <f t="shared" si="4"/>
        <v>0.76364021220815337</v>
      </c>
      <c r="K15" s="126">
        <f t="shared" si="4"/>
        <v>0.62910790612838996</v>
      </c>
      <c r="L15" s="93"/>
      <c r="M15" s="166"/>
      <c r="N15" s="223"/>
      <c r="O15" s="93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223"/>
      <c r="AC15" s="51"/>
      <c r="AD15" s="10"/>
      <c r="AE15" s="4"/>
      <c r="AF15" s="4"/>
      <c r="AG15" s="4"/>
      <c r="AH15" s="4"/>
      <c r="AI15" s="4"/>
      <c r="AJ15" s="4"/>
      <c r="AK15" s="4"/>
    </row>
    <row r="16" spans="2:37" x14ac:dyDescent="0.25">
      <c r="B16" s="50"/>
      <c r="C16" s="10" t="s">
        <v>18</v>
      </c>
      <c r="D16" s="62">
        <f>shadex($D10,$E10,$F10,$D$5,$D$26,$E$26,$F$26,$D$29,$E$29,$F$29)</f>
        <v>0.15820077358382811</v>
      </c>
      <c r="E16" s="62">
        <f>DEGREES(D16)</f>
        <v>9.0642366420580736</v>
      </c>
      <c r="F16" s="144"/>
      <c r="H16" s="164" t="s">
        <v>18</v>
      </c>
      <c r="I16" s="126">
        <f t="shared" si="4"/>
        <v>0.76366929592177391</v>
      </c>
      <c r="J16" s="126">
        <f t="shared" si="4"/>
        <v>0.63424744682345224</v>
      </c>
      <c r="K16" s="126">
        <f t="shared" si="4"/>
        <v>-0.12057936251396431</v>
      </c>
      <c r="L16" s="93"/>
      <c r="M16" s="166"/>
      <c r="N16" s="223">
        <f>D11</f>
        <v>0</v>
      </c>
      <c r="O16" s="93">
        <f>F11</f>
        <v>-200</v>
      </c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223">
        <f>D11</f>
        <v>0</v>
      </c>
      <c r="AC16" s="88">
        <f>E11</f>
        <v>200</v>
      </c>
      <c r="AD16" s="10"/>
      <c r="AE16" s="4"/>
      <c r="AF16" s="4"/>
      <c r="AG16" s="4"/>
      <c r="AH16" s="4"/>
      <c r="AI16" s="4"/>
      <c r="AJ16" s="4"/>
      <c r="AK16" s="4"/>
    </row>
    <row r="17" spans="2:37" x14ac:dyDescent="0.25">
      <c r="B17" s="52"/>
      <c r="C17" s="58" t="s">
        <v>10</v>
      </c>
      <c r="D17" s="95">
        <f>shadex($D11,$E11,$F11,$D$5,$D$26,$E$26,$F$26,$D$29,$E$29,$F$29)</f>
        <v>0.19410814857480896</v>
      </c>
      <c r="E17" s="95">
        <f>DEGREES(D17)</f>
        <v>11.121577682434879</v>
      </c>
      <c r="F17" s="151"/>
      <c r="H17" s="164" t="s">
        <v>10</v>
      </c>
      <c r="I17" s="126">
        <f t="shared" si="4"/>
        <v>0.12057936251396431</v>
      </c>
      <c r="J17" s="126">
        <f t="shared" si="4"/>
        <v>0.63424744682345224</v>
      </c>
      <c r="K17" s="126">
        <f t="shared" si="4"/>
        <v>-0.76366929592177391</v>
      </c>
      <c r="L17" s="93"/>
      <c r="M17" s="166"/>
      <c r="N17" s="223">
        <f>$D$26</f>
        <v>-37.5</v>
      </c>
      <c r="O17" s="93">
        <f>$F$26</f>
        <v>37.5</v>
      </c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223">
        <f>$D$26</f>
        <v>-37.5</v>
      </c>
      <c r="AC17" s="88">
        <f>$E$26</f>
        <v>2.75</v>
      </c>
      <c r="AD17" s="10"/>
      <c r="AE17" s="4"/>
      <c r="AF17" s="4"/>
      <c r="AG17" s="4"/>
      <c r="AH17" s="4"/>
      <c r="AI17" s="4"/>
      <c r="AJ17" s="4"/>
      <c r="AK17" s="4"/>
    </row>
    <row r="18" spans="2:37" x14ac:dyDescent="0.25">
      <c r="H18" s="71"/>
      <c r="I18" s="126"/>
      <c r="J18" s="218"/>
      <c r="K18" s="123"/>
      <c r="L18" s="167"/>
      <c r="M18" s="13"/>
      <c r="N18" s="50"/>
      <c r="O18" s="72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71"/>
      <c r="AC18" s="51"/>
      <c r="AD18" s="10"/>
      <c r="AE18" s="4"/>
      <c r="AF18" s="4"/>
      <c r="AG18" s="4"/>
      <c r="AH18" s="4"/>
      <c r="AI18" s="4"/>
      <c r="AJ18" s="4"/>
      <c r="AK18" s="4"/>
    </row>
    <row r="19" spans="2:37" x14ac:dyDescent="0.25">
      <c r="H19" s="71" t="s">
        <v>114</v>
      </c>
      <c r="I19" s="126" t="s">
        <v>128</v>
      </c>
      <c r="J19" s="126" t="s">
        <v>129</v>
      </c>
      <c r="K19" s="123"/>
      <c r="L19" s="144"/>
      <c r="M19" s="168"/>
      <c r="N19" s="223">
        <f>-D2/2</f>
        <v>-50</v>
      </c>
      <c r="O19" s="93">
        <f>D2/2</f>
        <v>50</v>
      </c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71">
        <f>-D5/2</f>
        <v>-50</v>
      </c>
      <c r="AC19" s="51">
        <v>0</v>
      </c>
      <c r="AD19" s="10"/>
      <c r="AE19" s="4"/>
      <c r="AF19" s="4"/>
      <c r="AG19" s="4"/>
      <c r="AH19" s="4"/>
      <c r="AI19" s="4"/>
      <c r="AJ19" s="4"/>
      <c r="AK19" s="4"/>
    </row>
    <row r="20" spans="2:37" x14ac:dyDescent="0.25">
      <c r="B20" s="139" t="s">
        <v>49</v>
      </c>
      <c r="C20" s="173" t="s">
        <v>2</v>
      </c>
      <c r="D20" s="173">
        <v>1024</v>
      </c>
      <c r="E20" s="173"/>
      <c r="F20" s="181"/>
      <c r="H20" s="77" t="s">
        <v>7</v>
      </c>
      <c r="I20" s="126">
        <f>IF(I14&gt;0,DEGREES(ATAN(K14/I14)),180+DEGREES(ATAN(K14/I14)))</f>
        <v>192.99461679191651</v>
      </c>
      <c r="J20" s="126">
        <f>RADIANS(I20)</f>
        <v>3.3683915016436794</v>
      </c>
      <c r="K20" s="123"/>
      <c r="L20" s="243"/>
      <c r="M20" s="178"/>
      <c r="N20" s="223">
        <f>D2/2</f>
        <v>50</v>
      </c>
      <c r="O20" s="93">
        <f>D2/2</f>
        <v>50</v>
      </c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71">
        <f>D5/2</f>
        <v>50</v>
      </c>
      <c r="AC20" s="51">
        <v>0</v>
      </c>
      <c r="AD20" s="10"/>
      <c r="AE20" s="4"/>
      <c r="AF20" s="4"/>
      <c r="AG20" s="4"/>
      <c r="AH20" s="4"/>
      <c r="AI20" s="4"/>
      <c r="AJ20" s="4"/>
      <c r="AK20" s="4"/>
    </row>
    <row r="21" spans="2:37" s="1" customFormat="1" x14ac:dyDescent="0.25">
      <c r="B21" s="59"/>
      <c r="C21" s="10" t="s">
        <v>36</v>
      </c>
      <c r="D21" s="10">
        <v>128</v>
      </c>
      <c r="E21" s="10"/>
      <c r="F21" s="210"/>
      <c r="G21" s="14"/>
      <c r="H21" s="77" t="s">
        <v>8</v>
      </c>
      <c r="I21" s="126">
        <f t="shared" ref="I21:I23" si="5">IF(I15&gt;0,DEGREES(ATAN(K15/I15)),180-DEGREES(ATAN(K15/I15)))</f>
        <v>77.005383208083501</v>
      </c>
      <c r="J21" s="126">
        <f t="shared" ref="J21:J23" si="6">RADIANS(I21)</f>
        <v>1.3439974787410107</v>
      </c>
      <c r="K21" s="123"/>
      <c r="L21" s="244"/>
      <c r="M21" s="168"/>
      <c r="N21" s="223"/>
      <c r="O21" s="93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  <c r="AA21" s="176"/>
      <c r="AB21" s="75"/>
      <c r="AC21" s="248"/>
      <c r="AD21" s="176"/>
      <c r="AE21" s="5"/>
      <c r="AF21" s="5"/>
      <c r="AG21" s="5"/>
      <c r="AH21" s="5"/>
      <c r="AI21" s="5"/>
      <c r="AJ21" s="5"/>
      <c r="AK21" s="5"/>
    </row>
    <row r="22" spans="2:37" x14ac:dyDescent="0.25">
      <c r="B22" s="50"/>
      <c r="C22" s="10" t="s">
        <v>37</v>
      </c>
      <c r="D22" s="10">
        <v>128</v>
      </c>
      <c r="F22" s="144"/>
      <c r="H22" s="164" t="s">
        <v>18</v>
      </c>
      <c r="I22" s="126">
        <f t="shared" si="5"/>
        <v>-8.9726266148963951</v>
      </c>
      <c r="J22" s="126">
        <f t="shared" si="6"/>
        <v>-0.15660187698201539</v>
      </c>
      <c r="K22" s="10"/>
      <c r="L22" s="243"/>
      <c r="M22" s="178"/>
      <c r="N22" s="223">
        <f>D2/2</f>
        <v>50</v>
      </c>
      <c r="O22" s="93">
        <f>D2/2</f>
        <v>50</v>
      </c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54">
        <f>I52*30+$D$26</f>
        <v>-48.027683635356709</v>
      </c>
      <c r="AC22" s="88">
        <f>J52*30+$E$26</f>
        <v>30.736882192915701</v>
      </c>
      <c r="AD22" s="10" t="s">
        <v>159</v>
      </c>
      <c r="AE22" s="4"/>
      <c r="AF22" s="4"/>
      <c r="AG22" s="4"/>
      <c r="AH22" s="4"/>
      <c r="AI22" s="4"/>
      <c r="AJ22" s="4"/>
      <c r="AK22" s="4"/>
    </row>
    <row r="23" spans="2:37" x14ac:dyDescent="0.25">
      <c r="B23" s="52"/>
      <c r="C23" s="58" t="s">
        <v>68</v>
      </c>
      <c r="D23" s="142">
        <f>D2/D20</f>
        <v>9.765625E-2</v>
      </c>
      <c r="E23" s="58"/>
      <c r="F23" s="151"/>
      <c r="H23" s="164" t="s">
        <v>10</v>
      </c>
      <c r="I23" s="126">
        <f t="shared" si="5"/>
        <v>-81.027373385103616</v>
      </c>
      <c r="J23" s="126">
        <f t="shared" si="6"/>
        <v>-1.4141944498128813</v>
      </c>
      <c r="K23" s="10"/>
      <c r="L23" s="244"/>
      <c r="M23" s="166"/>
      <c r="N23" s="223">
        <f>D2/2</f>
        <v>50</v>
      </c>
      <c r="O23" s="93">
        <f>-D2/2</f>
        <v>-50</v>
      </c>
      <c r="P23" s="10"/>
      <c r="Q23" s="9"/>
      <c r="R23" s="62"/>
      <c r="S23" s="9"/>
      <c r="T23" s="10"/>
      <c r="U23" s="10"/>
      <c r="V23" s="9"/>
      <c r="W23" s="9"/>
      <c r="X23" s="9"/>
      <c r="Y23" s="9"/>
      <c r="Z23" s="9"/>
      <c r="AA23" s="9"/>
      <c r="AB23" s="223">
        <f>$D$26</f>
        <v>-37.5</v>
      </c>
      <c r="AC23" s="88">
        <f>$E$26</f>
        <v>2.75</v>
      </c>
      <c r="AD23" s="9"/>
    </row>
    <row r="24" spans="2:37" x14ac:dyDescent="0.25">
      <c r="D24" s="126"/>
      <c r="H24" s="71"/>
      <c r="I24" s="126"/>
      <c r="J24" s="126"/>
      <c r="K24" s="13"/>
      <c r="L24" s="167"/>
      <c r="M24" s="13"/>
      <c r="N24" s="223"/>
      <c r="O24" s="93"/>
      <c r="P24" s="10"/>
      <c r="Q24" s="9"/>
      <c r="R24" s="9"/>
      <c r="S24" s="10"/>
      <c r="T24" s="10"/>
      <c r="U24" s="10"/>
      <c r="V24" s="10"/>
      <c r="W24" s="13"/>
      <c r="X24" s="13"/>
      <c r="Y24" s="13"/>
      <c r="Z24" s="13"/>
      <c r="AA24" s="9"/>
      <c r="AB24" s="50"/>
      <c r="AC24" s="72"/>
      <c r="AD24" s="9"/>
    </row>
    <row r="25" spans="2:37" x14ac:dyDescent="0.25">
      <c r="D25" s="126"/>
      <c r="H25" s="230" t="s">
        <v>117</v>
      </c>
      <c r="I25" s="9"/>
      <c r="J25" s="9"/>
      <c r="K25" s="9"/>
      <c r="L25" s="72"/>
      <c r="M25" s="13"/>
      <c r="N25" s="223">
        <f>D2/2</f>
        <v>50</v>
      </c>
      <c r="O25" s="93">
        <f>-D2/2</f>
        <v>-50</v>
      </c>
      <c r="P25" s="10"/>
      <c r="Q25" s="121"/>
      <c r="R25" s="121"/>
      <c r="S25" s="9"/>
      <c r="T25" s="9"/>
      <c r="U25" s="9"/>
      <c r="V25" s="10"/>
      <c r="W25" s="13"/>
      <c r="X25" s="10"/>
      <c r="Y25" s="10"/>
      <c r="Z25" s="13"/>
      <c r="AA25" s="13"/>
      <c r="AB25" s="154">
        <f>I53*30+$D$26</f>
        <v>-34.746398916792742</v>
      </c>
      <c r="AC25" s="88">
        <f>J53*30+$E$26</f>
        <v>30.136832260274382</v>
      </c>
      <c r="AD25" s="9"/>
    </row>
    <row r="26" spans="2:37" s="175" customFormat="1" x14ac:dyDescent="0.25">
      <c r="B26" s="159" t="s">
        <v>43</v>
      </c>
      <c r="C26" s="160"/>
      <c r="D26" s="211">
        <f>D22*D23-D2/2</f>
        <v>-37.5</v>
      </c>
      <c r="E26" s="212">
        <v>2.75</v>
      </c>
      <c r="F26" s="213">
        <f>D2/2 - D21*D23</f>
        <v>37.5</v>
      </c>
      <c r="G26" s="13"/>
      <c r="H26" s="77" t="s">
        <v>7</v>
      </c>
      <c r="I26" s="126">
        <f>K14*SIN(J20)+I14*COS(J20)</f>
        <v>0.64564202643468493</v>
      </c>
      <c r="J26" s="126">
        <f>J14</f>
        <v>0.76364021220815337</v>
      </c>
      <c r="K26" s="126">
        <f>K14*COS(J20)-I14*SIN(J20)</f>
        <v>0</v>
      </c>
      <c r="L26" s="167"/>
      <c r="M26" s="13"/>
      <c r="N26" s="223">
        <f>-D2/2</f>
        <v>-50</v>
      </c>
      <c r="O26" s="93">
        <f>-D2/2</f>
        <v>-50</v>
      </c>
      <c r="P26" s="13"/>
      <c r="Q26" s="168"/>
      <c r="R26" s="168"/>
      <c r="S26" s="13"/>
      <c r="T26" s="13"/>
      <c r="U26" s="13"/>
      <c r="V26" s="166"/>
      <c r="W26" s="166"/>
      <c r="X26" s="166"/>
      <c r="Y26" s="188"/>
      <c r="Z26" s="191"/>
      <c r="AA26" s="192"/>
      <c r="AB26" s="223">
        <f>$D$26</f>
        <v>-37.5</v>
      </c>
      <c r="AC26" s="88">
        <f>$E$26</f>
        <v>2.75</v>
      </c>
      <c r="AD26" s="13"/>
    </row>
    <row r="27" spans="2:37" s="175" customFormat="1" x14ac:dyDescent="0.25">
      <c r="B27" s="12"/>
      <c r="C27" s="10"/>
      <c r="D27" s="126"/>
      <c r="E27" s="212">
        <v>2.75</v>
      </c>
      <c r="F27" s="11"/>
      <c r="G27" s="13"/>
      <c r="H27" s="77" t="s">
        <v>8</v>
      </c>
      <c r="I27" s="126">
        <f t="shared" ref="I27:I29" si="7">K15*SIN(J21)+I15*COS(J21)</f>
        <v>0.64564202643468493</v>
      </c>
      <c r="J27" s="126">
        <f t="shared" ref="J27:J29" si="8">J15</f>
        <v>0.76364021220815337</v>
      </c>
      <c r="K27" s="126">
        <f t="shared" ref="K27:K29" si="9">K15*COS(J21)-I15*SIN(J21)</f>
        <v>0</v>
      </c>
      <c r="L27" s="167"/>
      <c r="M27" s="13"/>
      <c r="N27" s="223"/>
      <c r="O27" s="93"/>
      <c r="P27" s="13"/>
      <c r="Q27" s="168"/>
      <c r="R27" s="168"/>
      <c r="S27" s="13"/>
      <c r="T27" s="13"/>
      <c r="U27" s="13"/>
      <c r="V27" s="166"/>
      <c r="W27" s="166"/>
      <c r="X27" s="166"/>
      <c r="Y27" s="188"/>
      <c r="Z27" s="191"/>
      <c r="AA27" s="192"/>
      <c r="AB27" s="146"/>
      <c r="AC27" s="144"/>
      <c r="AD27" s="13"/>
    </row>
    <row r="28" spans="2:37" s="175" customFormat="1" x14ac:dyDescent="0.25">
      <c r="B28" s="9"/>
      <c r="C28" s="10"/>
      <c r="D28" s="10"/>
      <c r="E28" s="10"/>
      <c r="F28" s="13"/>
      <c r="G28" s="13"/>
      <c r="H28" s="164" t="s">
        <v>18</v>
      </c>
      <c r="I28" s="126">
        <f t="shared" si="7"/>
        <v>0.77313011595586678</v>
      </c>
      <c r="J28" s="126">
        <f t="shared" si="8"/>
        <v>0.63424744682345224</v>
      </c>
      <c r="K28" s="126">
        <f t="shared" si="9"/>
        <v>0</v>
      </c>
      <c r="L28" s="167"/>
      <c r="M28" s="13"/>
      <c r="N28" s="223">
        <f>-D2/2</f>
        <v>-50</v>
      </c>
      <c r="O28" s="93">
        <f>-D2/2</f>
        <v>-50</v>
      </c>
      <c r="P28" s="10"/>
      <c r="Q28" s="10"/>
      <c r="R28" s="13"/>
      <c r="S28" s="13"/>
      <c r="T28" s="13"/>
      <c r="U28" s="13"/>
      <c r="V28" s="166"/>
      <c r="W28" s="166"/>
      <c r="X28" s="166"/>
      <c r="Y28" s="188"/>
      <c r="Z28" s="191"/>
      <c r="AA28" s="192"/>
      <c r="AB28" s="154">
        <f>I54*30+$D$26</f>
        <v>-17.836945337548816</v>
      </c>
      <c r="AC28" s="88">
        <f>J54*30+$E$26</f>
        <v>25.193822395077227</v>
      </c>
      <c r="AD28" s="13"/>
    </row>
    <row r="29" spans="2:37" s="175" customFormat="1" x14ac:dyDescent="0.25">
      <c r="B29" s="139" t="s">
        <v>44</v>
      </c>
      <c r="C29" s="173"/>
      <c r="D29" s="140">
        <f>D37</f>
        <v>-0.17364817766693033</v>
      </c>
      <c r="E29" s="214">
        <f>D38</f>
        <v>0.98480775301220802</v>
      </c>
      <c r="F29" s="215">
        <f>D39</f>
        <v>0</v>
      </c>
      <c r="G29" s="13"/>
      <c r="H29" s="164" t="s">
        <v>10</v>
      </c>
      <c r="I29" s="126">
        <f t="shared" si="7"/>
        <v>0.77313011595586667</v>
      </c>
      <c r="J29" s="126">
        <f t="shared" si="8"/>
        <v>0.63424744682345224</v>
      </c>
      <c r="K29" s="126">
        <f t="shared" si="9"/>
        <v>0</v>
      </c>
      <c r="L29" s="72"/>
      <c r="M29" s="13"/>
      <c r="N29" s="223">
        <f>-D2/2</f>
        <v>-50</v>
      </c>
      <c r="O29" s="93">
        <f>D2/2</f>
        <v>50</v>
      </c>
      <c r="P29" s="10"/>
      <c r="Q29" s="10"/>
      <c r="R29" s="13"/>
      <c r="S29" s="10"/>
      <c r="T29" s="10"/>
      <c r="U29" s="10"/>
      <c r="V29" s="10"/>
      <c r="W29" s="10"/>
      <c r="X29" s="10"/>
      <c r="Y29" s="10"/>
      <c r="Z29" s="13"/>
      <c r="AA29" s="13"/>
      <c r="AB29" s="223">
        <f>$D$26</f>
        <v>-37.5</v>
      </c>
      <c r="AC29" s="88">
        <f>$E$26</f>
        <v>2.75</v>
      </c>
      <c r="AD29" s="13"/>
    </row>
    <row r="30" spans="2:37" s="175" customFormat="1" x14ac:dyDescent="0.25">
      <c r="B30" s="50"/>
      <c r="C30" s="10"/>
      <c r="D30" s="126"/>
      <c r="E30" s="10"/>
      <c r="F30" s="144"/>
      <c r="G30" s="13"/>
      <c r="H30" s="71"/>
      <c r="I30" s="13"/>
      <c r="J30" s="9"/>
      <c r="K30" s="9"/>
      <c r="L30" s="72"/>
      <c r="M30" s="13"/>
      <c r="N30" s="223"/>
      <c r="O30" s="93"/>
      <c r="P30" s="104"/>
      <c r="Q30" s="10"/>
      <c r="R30" s="13"/>
      <c r="S30" s="13"/>
      <c r="T30" s="13"/>
      <c r="U30" s="13"/>
      <c r="V30" s="13"/>
      <c r="W30" s="13"/>
      <c r="X30" s="13"/>
      <c r="Y30" s="9"/>
      <c r="Z30" s="13"/>
      <c r="AA30" s="13"/>
      <c r="AB30" s="146"/>
      <c r="AC30" s="144"/>
      <c r="AD30" s="13"/>
    </row>
    <row r="31" spans="2:37" s="175" customFormat="1" x14ac:dyDescent="0.25">
      <c r="B31" s="50"/>
      <c r="C31" s="121" t="s">
        <v>12</v>
      </c>
      <c r="D31" s="126"/>
      <c r="E31" s="10"/>
      <c r="F31" s="144"/>
      <c r="G31" s="13"/>
      <c r="H31" s="146"/>
      <c r="I31" s="148" t="s">
        <v>84</v>
      </c>
      <c r="J31" s="13"/>
      <c r="K31" s="13"/>
      <c r="L31" s="144"/>
      <c r="M31" s="182"/>
      <c r="N31" s="223">
        <f>I52*30+$D$26</f>
        <v>-48.027683635356709</v>
      </c>
      <c r="O31" s="93">
        <f>K52*30+$F$26</f>
        <v>35.070534545686911</v>
      </c>
      <c r="P31" s="10" t="s">
        <v>157</v>
      </c>
      <c r="Q31" s="188"/>
      <c r="R31" s="13"/>
      <c r="S31" s="13"/>
      <c r="T31" s="13"/>
      <c r="U31" s="10"/>
      <c r="V31" s="13"/>
      <c r="W31" s="13"/>
      <c r="X31" s="13"/>
      <c r="Y31" s="10"/>
      <c r="Z31" s="13"/>
      <c r="AA31" s="13"/>
      <c r="AB31" s="154">
        <f>I55*30+$D$26</f>
        <v>-34.522971479951487</v>
      </c>
      <c r="AC31" s="88">
        <f>J55*30+$E$26</f>
        <v>25.893997159336934</v>
      </c>
      <c r="AD31" s="13"/>
    </row>
    <row r="32" spans="2:37" s="175" customFormat="1" x14ac:dyDescent="0.25">
      <c r="B32" s="146"/>
      <c r="C32" s="10" t="s">
        <v>103</v>
      </c>
      <c r="D32" s="11">
        <v>10</v>
      </c>
      <c r="E32" s="10"/>
      <c r="F32" s="147"/>
      <c r="G32" s="13"/>
      <c r="H32" s="146"/>
      <c r="I32" s="148" t="s">
        <v>83</v>
      </c>
      <c r="J32" s="13"/>
      <c r="K32" s="182"/>
      <c r="L32" s="183"/>
      <c r="M32" s="182"/>
      <c r="N32" s="223">
        <f>$D$26</f>
        <v>-37.5</v>
      </c>
      <c r="O32" s="93">
        <f>$F$26</f>
        <v>37.5</v>
      </c>
      <c r="P32" s="10"/>
      <c r="Q32" s="188"/>
      <c r="R32" s="13"/>
      <c r="S32" s="13"/>
      <c r="T32" s="10"/>
      <c r="U32" s="10"/>
      <c r="V32" s="188"/>
      <c r="W32" s="188"/>
      <c r="X32" s="188"/>
      <c r="Y32" s="10"/>
      <c r="Z32" s="188"/>
      <c r="AA32" s="188"/>
      <c r="AB32" s="223">
        <f>$D$26</f>
        <v>-37.5</v>
      </c>
      <c r="AC32" s="88">
        <f>$E$26</f>
        <v>2.75</v>
      </c>
      <c r="AD32" s="13"/>
    </row>
    <row r="33" spans="2:30" s="175" customFormat="1" x14ac:dyDescent="0.25">
      <c r="B33" s="50"/>
      <c r="C33" s="10" t="s">
        <v>70</v>
      </c>
      <c r="D33" s="11">
        <v>0</v>
      </c>
      <c r="E33" s="148"/>
      <c r="F33" s="147"/>
      <c r="G33" s="13"/>
      <c r="H33" s="146"/>
      <c r="I33" s="9"/>
      <c r="J33" s="62"/>
      <c r="K33" s="126"/>
      <c r="L33" s="93"/>
      <c r="M33" s="62"/>
      <c r="N33" s="223"/>
      <c r="O33" s="93"/>
      <c r="P33" s="13"/>
      <c r="Q33" s="9"/>
      <c r="R33" s="13"/>
      <c r="S33" s="13"/>
      <c r="T33" s="10"/>
      <c r="U33" s="13"/>
      <c r="V33" s="188"/>
      <c r="W33" s="190"/>
      <c r="X33" s="190"/>
      <c r="Y33" s="13"/>
      <c r="Z33" s="190"/>
      <c r="AA33" s="190"/>
      <c r="AB33" s="249"/>
      <c r="AC33" s="144"/>
      <c r="AD33" s="13"/>
    </row>
    <row r="34" spans="2:30" x14ac:dyDescent="0.25">
      <c r="B34" s="50"/>
      <c r="C34" s="10" t="s">
        <v>71</v>
      </c>
      <c r="D34" s="126">
        <f>-SIN(RADIANS(D32))</f>
        <v>-0.17364817766693033</v>
      </c>
      <c r="E34" s="148" t="s">
        <v>94</v>
      </c>
      <c r="F34" s="144"/>
      <c r="G34" s="11"/>
      <c r="H34" s="146" t="s">
        <v>100</v>
      </c>
      <c r="I34" s="126"/>
      <c r="J34" s="126"/>
      <c r="K34" s="126"/>
      <c r="L34" s="93"/>
      <c r="M34" s="182"/>
      <c r="N34" s="223">
        <f>I53*30+$D$26</f>
        <v>-34.746398916792742</v>
      </c>
      <c r="O34" s="93">
        <f>K53*30+$F$26</f>
        <v>49.432271360564769</v>
      </c>
      <c r="P34" s="104"/>
      <c r="Q34" s="9"/>
      <c r="R34" s="9"/>
      <c r="S34" s="13"/>
      <c r="T34" s="13"/>
      <c r="U34" s="10"/>
      <c r="V34" s="188"/>
      <c r="W34" s="190"/>
      <c r="X34" s="190"/>
      <c r="Y34" s="13"/>
      <c r="Z34" s="190"/>
      <c r="AA34" s="190"/>
      <c r="AB34" s="154">
        <f>I58*30+$D$26</f>
        <v>-62.639795974637948</v>
      </c>
      <c r="AC34" s="88">
        <f>J58*30+$E$26</f>
        <v>18.057950749062424</v>
      </c>
      <c r="AD34" s="9" t="s">
        <v>158</v>
      </c>
    </row>
    <row r="35" spans="2:30" x14ac:dyDescent="0.25">
      <c r="B35" s="50"/>
      <c r="C35" s="10" t="s">
        <v>72</v>
      </c>
      <c r="D35" s="126">
        <f>COS(RADIANS(D32))</f>
        <v>0.98480775301220802</v>
      </c>
      <c r="E35" s="148" t="s">
        <v>95</v>
      </c>
      <c r="F35" s="144"/>
      <c r="G35" s="11"/>
      <c r="H35" s="77" t="s">
        <v>7</v>
      </c>
      <c r="I35" s="126">
        <f>I26*COS(D14)-J26*SIN(D14)</f>
        <v>0.36014568829828075</v>
      </c>
      <c r="J35" s="126">
        <f>I26*SIN(D14)+J26*COS(D14)</f>
        <v>0.93289607309719003</v>
      </c>
      <c r="K35" s="126">
        <f>K26</f>
        <v>0</v>
      </c>
      <c r="L35" s="93"/>
      <c r="M35" s="182"/>
      <c r="N35" s="223">
        <f>$D$26</f>
        <v>-37.5</v>
      </c>
      <c r="O35" s="93">
        <f>$F$26</f>
        <v>37.5</v>
      </c>
      <c r="P35" s="10"/>
      <c r="Q35" s="188"/>
      <c r="R35" s="9"/>
      <c r="S35" s="13"/>
      <c r="T35" s="10"/>
      <c r="U35" s="10"/>
      <c r="V35" s="188"/>
      <c r="W35" s="188"/>
      <c r="X35" s="188"/>
      <c r="Y35" s="10"/>
      <c r="Z35" s="188"/>
      <c r="AA35" s="188"/>
      <c r="AB35" s="223">
        <f>$D$26</f>
        <v>-37.5</v>
      </c>
      <c r="AC35" s="88">
        <f>$E$26</f>
        <v>2.75</v>
      </c>
      <c r="AD35" s="9"/>
    </row>
    <row r="36" spans="2:30" s="175" customFormat="1" x14ac:dyDescent="0.25">
      <c r="B36" s="59"/>
      <c r="C36" s="10" t="s">
        <v>73</v>
      </c>
      <c r="D36" s="126">
        <v>0</v>
      </c>
      <c r="E36" s="148" t="s">
        <v>104</v>
      </c>
      <c r="F36" s="144"/>
      <c r="G36" s="11"/>
      <c r="H36" s="77" t="s">
        <v>8</v>
      </c>
      <c r="I36" s="126">
        <f t="shared" ref="I36:I38" si="10">I27*COS(D15)-J27*SIN(D15)</f>
        <v>0.4081957846529507</v>
      </c>
      <c r="J36" s="126">
        <f t="shared" ref="J36:J38" si="11">I27*SIN(D15)+J27*COS(D15)</f>
        <v>0.91289440867581273</v>
      </c>
      <c r="K36" s="126">
        <f t="shared" ref="K36:K38" si="12">K27</f>
        <v>0</v>
      </c>
      <c r="L36" s="93"/>
      <c r="M36" s="62"/>
      <c r="N36" s="223"/>
      <c r="O36" s="93"/>
      <c r="P36" s="13"/>
      <c r="Q36" s="11"/>
      <c r="R36" s="13"/>
      <c r="S36" s="188"/>
      <c r="T36" s="13"/>
      <c r="U36" s="13"/>
      <c r="V36" s="13"/>
      <c r="W36" s="13"/>
      <c r="X36" s="13"/>
      <c r="Y36" s="13"/>
      <c r="Z36" s="13"/>
      <c r="AA36" s="13"/>
      <c r="AB36" s="146"/>
      <c r="AC36" s="72"/>
      <c r="AD36" s="13"/>
    </row>
    <row r="37" spans="2:30" x14ac:dyDescent="0.25">
      <c r="B37" s="50"/>
      <c r="C37" s="10" t="s">
        <v>5</v>
      </c>
      <c r="D37" s="11">
        <f>D34</f>
        <v>-0.17364817766693033</v>
      </c>
      <c r="E37" s="148" t="s">
        <v>84</v>
      </c>
      <c r="F37" s="147"/>
      <c r="H37" s="164" t="s">
        <v>18</v>
      </c>
      <c r="I37" s="126">
        <f t="shared" si="10"/>
        <v>0.66355510220681746</v>
      </c>
      <c r="J37" s="126">
        <f t="shared" si="11"/>
        <v>0.74812741316924092</v>
      </c>
      <c r="K37" s="126">
        <f t="shared" si="12"/>
        <v>0</v>
      </c>
      <c r="L37" s="93"/>
      <c r="M37" s="182"/>
      <c r="N37" s="223">
        <f>I54*30+$D$26</f>
        <v>-17.836945337548816</v>
      </c>
      <c r="O37" s="93">
        <f>K54*30+$F$26</f>
        <v>34.395307158560342</v>
      </c>
      <c r="P37" s="9"/>
      <c r="Q37" s="9"/>
      <c r="R37" s="9"/>
      <c r="S37" s="9"/>
      <c r="T37" s="10"/>
      <c r="U37" s="10"/>
      <c r="V37" s="10"/>
      <c r="W37" s="10"/>
      <c r="X37" s="10"/>
      <c r="Y37" s="9"/>
      <c r="Z37" s="9"/>
      <c r="AA37" s="9"/>
      <c r="AB37" s="50">
        <f>D29*60+$D26</f>
        <v>-47.918890660015819</v>
      </c>
      <c r="AC37" s="144">
        <f>E29*60+E26</f>
        <v>61.838465180732484</v>
      </c>
      <c r="AD37" s="9" t="s">
        <v>161</v>
      </c>
    </row>
    <row r="38" spans="2:30" x14ac:dyDescent="0.25">
      <c r="B38" s="50"/>
      <c r="C38" s="10" t="s">
        <v>6</v>
      </c>
      <c r="D38" s="11">
        <f>D35</f>
        <v>0.98480775301220802</v>
      </c>
      <c r="E38" s="148" t="s">
        <v>85</v>
      </c>
      <c r="F38" s="147"/>
      <c r="H38" s="164" t="s">
        <v>10</v>
      </c>
      <c r="I38" s="126">
        <f t="shared" si="10"/>
        <v>0.63626985495202482</v>
      </c>
      <c r="J38" s="126">
        <f t="shared" si="11"/>
        <v>0.77146657197789781</v>
      </c>
      <c r="K38" s="126">
        <f t="shared" si="12"/>
        <v>0</v>
      </c>
      <c r="L38" s="93"/>
      <c r="M38" s="62"/>
      <c r="N38" s="223">
        <f>$D$26</f>
        <v>-37.5</v>
      </c>
      <c r="O38" s="93">
        <f>$F$26</f>
        <v>37.5</v>
      </c>
      <c r="P38" s="9"/>
      <c r="Q38" s="9"/>
      <c r="R38" s="9"/>
      <c r="S38" s="10"/>
      <c r="T38" s="10"/>
      <c r="U38" s="10"/>
      <c r="V38" s="10"/>
      <c r="W38" s="9"/>
      <c r="X38" s="188"/>
      <c r="Y38" s="9"/>
      <c r="Z38" s="188"/>
      <c r="AA38" s="9"/>
      <c r="AB38" s="247">
        <f>$D$26</f>
        <v>-37.5</v>
      </c>
      <c r="AC38" s="94">
        <f>$E$26</f>
        <v>2.75</v>
      </c>
      <c r="AD38" s="9"/>
    </row>
    <row r="39" spans="2:30" s="175" customFormat="1" x14ac:dyDescent="0.25">
      <c r="B39" s="50"/>
      <c r="C39" s="10" t="s">
        <v>42</v>
      </c>
      <c r="D39" s="11">
        <f>D36</f>
        <v>0</v>
      </c>
      <c r="E39" s="148" t="s">
        <v>83</v>
      </c>
      <c r="F39" s="147"/>
      <c r="G39" s="13"/>
      <c r="H39" s="71"/>
      <c r="I39" s="13"/>
      <c r="J39" s="13"/>
      <c r="K39" s="126"/>
      <c r="L39" s="93"/>
      <c r="M39" s="182"/>
      <c r="N39" s="223"/>
      <c r="O39" s="93"/>
      <c r="P39" s="13"/>
      <c r="Q39" s="9"/>
      <c r="R39" s="13"/>
      <c r="S39" s="182"/>
      <c r="T39" s="10"/>
      <c r="U39" s="10"/>
      <c r="V39" s="10"/>
      <c r="W39" s="9"/>
      <c r="X39" s="9"/>
      <c r="Y39" s="9"/>
      <c r="Z39" s="188"/>
      <c r="AA39" s="9"/>
      <c r="AB39" s="9"/>
      <c r="AC39" s="9"/>
      <c r="AD39" s="13"/>
    </row>
    <row r="40" spans="2:30" s="175" customFormat="1" x14ac:dyDescent="0.25">
      <c r="B40" s="50"/>
      <c r="C40" s="10"/>
      <c r="D40" s="149"/>
      <c r="E40" s="149"/>
      <c r="F40" s="144"/>
      <c r="G40" s="13"/>
      <c r="H40" s="71" t="s">
        <v>101</v>
      </c>
      <c r="I40" s="13"/>
      <c r="J40" s="13"/>
      <c r="K40" s="126"/>
      <c r="L40" s="93"/>
      <c r="M40" s="182"/>
      <c r="N40" s="223">
        <f>I55*30+$D$26</f>
        <v>-34.522971479951487</v>
      </c>
      <c r="O40" s="93">
        <f>K55*30+$F$26</f>
        <v>18.645486039692742</v>
      </c>
      <c r="P40" s="13"/>
      <c r="Q40" s="9"/>
      <c r="R40" s="9"/>
      <c r="S40" s="182"/>
      <c r="T40" s="10"/>
      <c r="U40" s="10"/>
      <c r="V40" s="10"/>
      <c r="W40" s="9"/>
      <c r="X40" s="9"/>
      <c r="Y40" s="9"/>
      <c r="Z40" s="188"/>
      <c r="AA40" s="9"/>
      <c r="AB40" s="9"/>
      <c r="AC40" s="13"/>
      <c r="AD40" s="13"/>
    </row>
    <row r="41" spans="2:30" s="175" customFormat="1" x14ac:dyDescent="0.25">
      <c r="B41" s="52"/>
      <c r="C41" s="58" t="s">
        <v>61</v>
      </c>
      <c r="D41" s="150">
        <v>30</v>
      </c>
      <c r="E41" s="150"/>
      <c r="F41" s="151"/>
      <c r="G41" s="13"/>
      <c r="H41" s="77" t="s">
        <v>7</v>
      </c>
      <c r="I41" s="126">
        <f>I26*COS(-D14)-J26*SIN(-D14)</f>
        <v>0.86001721162639733</v>
      </c>
      <c r="J41" s="126">
        <f>I26*SIN(-D14)+J26*COS(-D14)</f>
        <v>0.51026502496874748</v>
      </c>
      <c r="K41" s="126">
        <f>K26</f>
        <v>0</v>
      </c>
      <c r="L41" s="93"/>
      <c r="M41" s="182"/>
      <c r="N41" s="223">
        <f>$D$26</f>
        <v>-37.5</v>
      </c>
      <c r="O41" s="93">
        <f>$F$26</f>
        <v>37.5</v>
      </c>
      <c r="P41" s="13"/>
      <c r="Q41" s="9"/>
      <c r="R41" s="13"/>
      <c r="S41" s="182"/>
      <c r="T41" s="10"/>
      <c r="U41" s="10"/>
      <c r="V41" s="9"/>
      <c r="W41" s="9"/>
      <c r="X41" s="9"/>
      <c r="Y41" s="9"/>
      <c r="Z41" s="188"/>
      <c r="AA41" s="9"/>
      <c r="AB41" s="9"/>
      <c r="AC41" s="13"/>
      <c r="AD41" s="13"/>
    </row>
    <row r="42" spans="2:30" s="175" customFormat="1" x14ac:dyDescent="0.25">
      <c r="B42" s="9"/>
      <c r="C42" s="10"/>
      <c r="D42" s="149"/>
      <c r="E42" s="149"/>
      <c r="F42" s="13"/>
      <c r="G42" s="13"/>
      <c r="H42" s="77" t="s">
        <v>8</v>
      </c>
      <c r="I42" s="126">
        <f t="shared" ref="I42:I44" si="13">I27*COS(-D15)-J27*SIN(-D15)</f>
        <v>0.83230365928084815</v>
      </c>
      <c r="J42" s="126">
        <f t="shared" ref="J42:J44" si="14">I27*SIN(-D15)+J27*COS(-D15)</f>
        <v>0.55431996062536804</v>
      </c>
      <c r="K42" s="126">
        <f t="shared" ref="K42:K44" si="15">K27</f>
        <v>0</v>
      </c>
      <c r="L42" s="93"/>
      <c r="M42" s="13"/>
      <c r="N42" s="223"/>
      <c r="O42" s="93"/>
      <c r="P42" s="13"/>
      <c r="Q42" s="9"/>
      <c r="R42" s="13"/>
      <c r="S42" s="182"/>
      <c r="T42" s="182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2:30" s="175" customFormat="1" x14ac:dyDescent="0.25">
      <c r="B43" s="9"/>
      <c r="C43" s="10"/>
      <c r="D43" s="149"/>
      <c r="E43" s="149"/>
      <c r="F43" s="13"/>
      <c r="G43" s="13"/>
      <c r="H43" s="164" t="s">
        <v>18</v>
      </c>
      <c r="I43" s="126">
        <f t="shared" si="13"/>
        <v>0.86339594963758526</v>
      </c>
      <c r="J43" s="126">
        <f t="shared" si="14"/>
        <v>0.50452694095500206</v>
      </c>
      <c r="K43" s="126">
        <f t="shared" si="15"/>
        <v>0</v>
      </c>
      <c r="L43" s="93"/>
      <c r="M43" s="203"/>
      <c r="N43" s="223">
        <f>I58*30+$D$26</f>
        <v>-62.639795974637948</v>
      </c>
      <c r="O43" s="93">
        <f>K58*30+$F$26</f>
        <v>31.698508621237391</v>
      </c>
      <c r="P43" s="13" t="s">
        <v>156</v>
      </c>
      <c r="Q43" s="9"/>
      <c r="R43" s="13">
        <f>shadex(D8,E8,F8,$D$5,$D$26,$E$27,$F$26,$D$29,$E$29,$F$29)</f>
        <v>0.33343967289079535</v>
      </c>
      <c r="S43" s="182">
        <f>shadex(D8,E8,F8,$D$5,$D$26,$E$26,$F$26,$I52,$J52,$K52)</f>
        <v>0.36582030369225282</v>
      </c>
      <c r="T43" s="182"/>
      <c r="U43" s="13"/>
      <c r="V43" s="188"/>
      <c r="W43" s="13"/>
      <c r="X43" s="188"/>
      <c r="Y43" s="13"/>
      <c r="Z43" s="13"/>
      <c r="AA43" s="13"/>
      <c r="AB43" s="13"/>
      <c r="AC43" s="13"/>
      <c r="AD43" s="13"/>
    </row>
    <row r="44" spans="2:30" s="175" customFormat="1" x14ac:dyDescent="0.25">
      <c r="B44" s="222" t="s">
        <v>119</v>
      </c>
      <c r="C44" s="206"/>
      <c r="D44" s="221"/>
      <c r="E44" s="221"/>
      <c r="F44" s="181"/>
      <c r="G44" s="13"/>
      <c r="H44" s="164" t="s">
        <v>10</v>
      </c>
      <c r="I44" s="126">
        <f t="shared" si="13"/>
        <v>0.88095174947021382</v>
      </c>
      <c r="J44" s="126">
        <f t="shared" si="14"/>
        <v>0.47320610214299774</v>
      </c>
      <c r="K44" s="126">
        <f t="shared" si="15"/>
        <v>0</v>
      </c>
      <c r="L44" s="93"/>
      <c r="M44" s="13"/>
      <c r="N44" s="223">
        <f>$D$26</f>
        <v>-37.5</v>
      </c>
      <c r="O44" s="88">
        <f>$F$26</f>
        <v>37.5</v>
      </c>
      <c r="P44" s="13"/>
      <c r="Q44" s="13"/>
      <c r="R44" s="13">
        <f t="shared" ref="R44:R46" si="16">shadex(D9,E9,F9,$D$5,$D$26,$E$27,$F$26,$D$29,$E$29,$F$29)</f>
        <v>0.28138691060001347</v>
      </c>
      <c r="S44" s="182">
        <f t="shared" ref="S44:S46" si="17">shadex(D9,E9,F9,$D$5,$D$26,$E$26,$F$26,$I53,$J53,$K53)</f>
        <v>0.37191745736405091</v>
      </c>
      <c r="T44" s="182"/>
      <c r="U44" s="13"/>
      <c r="V44" s="188"/>
      <c r="W44" s="13"/>
      <c r="X44" s="188"/>
      <c r="Y44" s="13"/>
      <c r="Z44" s="13"/>
      <c r="AA44" s="13"/>
      <c r="AB44" s="13"/>
      <c r="AC44" s="13"/>
      <c r="AD44" s="13"/>
    </row>
    <row r="45" spans="2:30" s="175" customFormat="1" x14ac:dyDescent="0.25">
      <c r="B45" s="223"/>
      <c r="C45" s="126" t="s">
        <v>120</v>
      </c>
      <c r="D45" s="126" t="s">
        <v>23</v>
      </c>
      <c r="E45" s="126" t="s">
        <v>24</v>
      </c>
      <c r="F45" s="93" t="s">
        <v>121</v>
      </c>
      <c r="G45" s="13"/>
      <c r="H45" s="71"/>
      <c r="I45" s="10"/>
      <c r="J45" s="62"/>
      <c r="K45" s="10"/>
      <c r="L45" s="51"/>
      <c r="M45" s="13"/>
      <c r="N45" s="223"/>
      <c r="O45" s="93"/>
      <c r="P45" s="13"/>
      <c r="Q45" s="13"/>
      <c r="R45" s="13">
        <f t="shared" si="16"/>
        <v>0.15820077358382811</v>
      </c>
      <c r="S45" s="182">
        <f t="shared" si="17"/>
        <v>0.31752962081729852</v>
      </c>
      <c r="T45" s="182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2:30" s="175" customFormat="1" x14ac:dyDescent="0.25">
      <c r="B46" s="50"/>
      <c r="C46" s="182">
        <f>1/(L8*L8)</f>
        <v>1.4987995552312317E-5</v>
      </c>
      <c r="D46" s="182">
        <f t="shared" ref="D46:F49" si="18">I8*$C46</f>
        <v>-2.4355492772507514E-3</v>
      </c>
      <c r="E46" s="182">
        <f t="shared" si="18"/>
        <v>2.9563821226936044E-3</v>
      </c>
      <c r="F46" s="183">
        <f t="shared" si="18"/>
        <v>-5.6204983321171188E-4</v>
      </c>
      <c r="G46" s="13"/>
      <c r="H46" s="71"/>
      <c r="I46" s="148" t="s">
        <v>94</v>
      </c>
      <c r="J46" s="62"/>
      <c r="K46" s="9"/>
      <c r="L46" s="245"/>
      <c r="M46" s="13"/>
      <c r="N46" s="223">
        <f>D29*60+$D26</f>
        <v>-47.918890660015819</v>
      </c>
      <c r="O46" s="93">
        <f>F29*60+F26</f>
        <v>37.5</v>
      </c>
      <c r="P46" s="13"/>
      <c r="Q46" s="13"/>
      <c r="R46" s="13">
        <f t="shared" si="16"/>
        <v>0.19410814857480896</v>
      </c>
      <c r="S46" s="182">
        <f t="shared" si="17"/>
        <v>0.31550638127272373</v>
      </c>
      <c r="T46" s="13"/>
      <c r="U46" s="13"/>
      <c r="V46" s="13"/>
      <c r="W46" s="13"/>
      <c r="X46" s="13"/>
      <c r="Y46" s="9"/>
      <c r="Z46" s="13"/>
      <c r="AA46" s="13"/>
      <c r="AB46" s="13"/>
      <c r="AC46" s="13"/>
      <c r="AD46" s="13"/>
    </row>
    <row r="47" spans="2:30" s="175" customFormat="1" x14ac:dyDescent="0.25">
      <c r="B47" s="50"/>
      <c r="C47" s="126">
        <f t="shared" ref="C47:C49" si="19">1/(L9*L9)</f>
        <v>1.4987995552312317E-5</v>
      </c>
      <c r="D47" s="126">
        <f t="shared" si="18"/>
        <v>5.6204983321171188E-4</v>
      </c>
      <c r="E47" s="126">
        <f t="shared" si="18"/>
        <v>2.9563821226936044E-3</v>
      </c>
      <c r="F47" s="93">
        <f t="shared" si="18"/>
        <v>2.4355492772507514E-3</v>
      </c>
      <c r="G47" s="13"/>
      <c r="H47" s="71"/>
      <c r="I47" s="148" t="s">
        <v>95</v>
      </c>
      <c r="J47" s="62"/>
      <c r="K47" s="9"/>
      <c r="L47" s="245"/>
      <c r="N47" s="247">
        <f>$D$26</f>
        <v>-37.5</v>
      </c>
      <c r="O47" s="94">
        <f>$F$26</f>
        <v>37.5</v>
      </c>
      <c r="R47" s="9"/>
      <c r="S47" s="182"/>
      <c r="U47"/>
      <c r="Y47"/>
    </row>
    <row r="48" spans="2:30" s="175" customFormat="1" x14ac:dyDescent="0.25">
      <c r="B48" s="50"/>
      <c r="C48" s="126">
        <f t="shared" si="19"/>
        <v>1.0339116561261527E-5</v>
      </c>
      <c r="D48" s="126">
        <f t="shared" si="18"/>
        <v>2.4555401832996124E-3</v>
      </c>
      <c r="E48" s="126">
        <f t="shared" si="18"/>
        <v>2.0393907417088361E-3</v>
      </c>
      <c r="F48" s="93">
        <f t="shared" si="18"/>
        <v>-3.8771687104730723E-4</v>
      </c>
      <c r="G48" s="13"/>
      <c r="H48" s="71"/>
      <c r="I48" s="10"/>
      <c r="J48" s="62"/>
      <c r="K48" s="9"/>
      <c r="L48" s="93"/>
      <c r="R48"/>
      <c r="T48" s="4"/>
      <c r="U48"/>
      <c r="V48" s="129"/>
      <c r="W48" s="129"/>
      <c r="X48" s="129"/>
      <c r="Y48"/>
      <c r="Z48" s="129"/>
      <c r="AA48" s="129"/>
      <c r="AB48" s="129"/>
    </row>
    <row r="49" spans="2:31" s="175" customFormat="1" x14ac:dyDescent="0.25">
      <c r="B49" s="50"/>
      <c r="C49" s="126">
        <f t="shared" si="19"/>
        <v>1.0339116561261527E-5</v>
      </c>
      <c r="D49" s="126">
        <f t="shared" si="18"/>
        <v>3.8771687104730723E-4</v>
      </c>
      <c r="E49" s="126">
        <f t="shared" si="18"/>
        <v>2.0393907417088361E-3</v>
      </c>
      <c r="F49" s="93">
        <f t="shared" si="18"/>
        <v>-2.4555401832996124E-3</v>
      </c>
      <c r="G49" s="13"/>
      <c r="H49" s="230" t="s">
        <v>118</v>
      </c>
      <c r="I49" s="10"/>
      <c r="J49" s="62"/>
      <c r="K49" s="9"/>
      <c r="L49" s="93"/>
      <c r="M49" s="4"/>
      <c r="N49" s="4"/>
      <c r="O49" s="4"/>
      <c r="P49" s="4"/>
      <c r="Q49" s="4"/>
      <c r="R49"/>
      <c r="T49" s="10"/>
      <c r="V49" s="188"/>
      <c r="W49" s="190"/>
      <c r="X49" s="190"/>
      <c r="Z49" s="190"/>
      <c r="AA49" s="190"/>
      <c r="AB49" s="190"/>
    </row>
    <row r="50" spans="2:31" s="175" customFormat="1" x14ac:dyDescent="0.25">
      <c r="B50" s="50"/>
      <c r="C50" s="126"/>
      <c r="D50" s="126"/>
      <c r="E50" s="126"/>
      <c r="F50" s="93"/>
      <c r="G50" s="13"/>
      <c r="H50" s="230"/>
      <c r="I50" s="10"/>
      <c r="J50" s="62"/>
      <c r="K50" s="9"/>
      <c r="L50" s="93"/>
      <c r="T50" s="13"/>
      <c r="U50"/>
      <c r="V50" s="188"/>
      <c r="W50" s="190"/>
      <c r="X50" s="190"/>
      <c r="Z50" s="190"/>
      <c r="AA50" s="190"/>
      <c r="AB50" s="190"/>
    </row>
    <row r="51" spans="2:31" s="175" customFormat="1" x14ac:dyDescent="0.25">
      <c r="B51" s="50"/>
      <c r="C51" s="126"/>
      <c r="D51" s="126" t="s">
        <v>122</v>
      </c>
      <c r="E51" s="126"/>
      <c r="F51" s="93"/>
      <c r="G51" s="13"/>
      <c r="H51" s="146" t="s">
        <v>100</v>
      </c>
      <c r="I51" s="10"/>
      <c r="J51" s="62"/>
      <c r="K51" s="9"/>
      <c r="L51" s="93"/>
      <c r="N51" s="220"/>
      <c r="T51" s="10"/>
      <c r="U51"/>
      <c r="V51" s="188"/>
      <c r="W51" s="188"/>
      <c r="X51" s="188"/>
      <c r="Z51" s="188"/>
      <c r="AA51" s="188"/>
      <c r="AB51" s="188"/>
    </row>
    <row r="52" spans="2:31" s="175" customFormat="1" x14ac:dyDescent="0.25">
      <c r="B52" s="50"/>
      <c r="C52" s="126"/>
      <c r="D52" s="126">
        <f>D46*$D$29+E46*$E$29+F46*$F$29</f>
        <v>3.3343967289079525E-3</v>
      </c>
      <c r="E52" s="126"/>
      <c r="F52" s="93"/>
      <c r="G52" s="13"/>
      <c r="H52" s="77" t="s">
        <v>7</v>
      </c>
      <c r="I52" s="126">
        <f>K35*SIN(-J20)+I35*COS(-J20)</f>
        <v>-0.35092278784522363</v>
      </c>
      <c r="J52" s="126">
        <f>J35</f>
        <v>0.93289607309719003</v>
      </c>
      <c r="K52" s="126">
        <f>K35*COS(-J20)-I35*SIN(-J20)</f>
        <v>-8.0982181810436329E-2</v>
      </c>
      <c r="L52" s="93"/>
      <c r="N52" s="182"/>
      <c r="O52" s="182"/>
      <c r="P52" s="182"/>
      <c r="Q52" s="182"/>
      <c r="T52" s="127"/>
      <c r="U52" s="127"/>
    </row>
    <row r="53" spans="2:31" x14ac:dyDescent="0.25">
      <c r="B53" s="50"/>
      <c r="C53" s="126"/>
      <c r="D53" s="126">
        <f>D47*$D$29+E47*$E$29+F47*$F$29</f>
        <v>2.8138691060001345E-3</v>
      </c>
      <c r="E53" s="126"/>
      <c r="F53" s="93"/>
      <c r="H53" s="77" t="s">
        <v>8</v>
      </c>
      <c r="I53" s="126">
        <f t="shared" ref="I53:I55" si="20">K36*SIN(-J21)+I36*COS(-J21)</f>
        <v>9.1786702773575132E-2</v>
      </c>
      <c r="J53" s="126">
        <f t="shared" ref="J53:J55" si="21">J36</f>
        <v>0.91289440867581273</v>
      </c>
      <c r="K53" s="126">
        <f t="shared" ref="K53:K55" si="22">K36*COS(-J21)-I36*SIN(-J21)</f>
        <v>0.39774237868549217</v>
      </c>
      <c r="L53" s="93"/>
      <c r="N53" s="182"/>
      <c r="O53" s="182"/>
      <c r="P53" s="182"/>
      <c r="Q53" s="182"/>
      <c r="T53" s="127"/>
      <c r="U53" s="127"/>
      <c r="V53" s="175"/>
      <c r="W53" s="175"/>
      <c r="X53" s="175"/>
      <c r="Y53" s="175"/>
      <c r="Z53" s="175"/>
      <c r="AA53" s="175"/>
      <c r="AB53" s="175"/>
      <c r="AC53" s="175"/>
    </row>
    <row r="54" spans="2:31" x14ac:dyDescent="0.25">
      <c r="B54" s="50"/>
      <c r="C54" s="126"/>
      <c r="D54" s="126">
        <f>D48*$D$29+E48*$E$29+F48*$F$29</f>
        <v>1.5820077358382817E-3</v>
      </c>
      <c r="E54" s="126"/>
      <c r="F54" s="93"/>
      <c r="H54" s="164" t="s">
        <v>18</v>
      </c>
      <c r="I54" s="126">
        <f t="shared" si="20"/>
        <v>0.65543515541503949</v>
      </c>
      <c r="J54" s="126">
        <f t="shared" si="21"/>
        <v>0.74812741316924092</v>
      </c>
      <c r="K54" s="126">
        <f t="shared" si="22"/>
        <v>-0.10348976138132204</v>
      </c>
      <c r="L54" s="93"/>
      <c r="T54" s="175"/>
      <c r="U54" s="175"/>
      <c r="V54" s="175"/>
      <c r="W54" s="175"/>
      <c r="X54" s="175"/>
      <c r="Y54" s="175"/>
      <c r="Z54" s="175"/>
      <c r="AA54" s="175"/>
      <c r="AB54" s="175"/>
      <c r="AD54" s="9"/>
      <c r="AE54" s="9"/>
    </row>
    <row r="55" spans="2:31" x14ac:dyDescent="0.25">
      <c r="B55" s="50"/>
      <c r="C55" s="126"/>
      <c r="D55" s="126">
        <f>D49*$D$29+E49*$E$29+F49*$F$29</f>
        <v>1.9410814857480903E-3</v>
      </c>
      <c r="E55" s="126"/>
      <c r="F55" s="93"/>
      <c r="H55" s="164" t="s">
        <v>10</v>
      </c>
      <c r="I55" s="126">
        <f t="shared" si="20"/>
        <v>9.9234284001617101E-2</v>
      </c>
      <c r="J55" s="126">
        <f t="shared" si="21"/>
        <v>0.77146657197789781</v>
      </c>
      <c r="K55" s="126">
        <f t="shared" si="22"/>
        <v>-0.62848379867690862</v>
      </c>
      <c r="L55" s="93"/>
      <c r="T55" s="175"/>
      <c r="U55" s="175"/>
      <c r="V55" s="175"/>
      <c r="W55" s="175"/>
      <c r="X55" s="175"/>
      <c r="Y55" s="175"/>
      <c r="Z55" s="175"/>
      <c r="AA55" s="175"/>
      <c r="AB55" s="175"/>
      <c r="AD55" s="9"/>
      <c r="AE55" s="9"/>
    </row>
    <row r="56" spans="2:31" x14ac:dyDescent="0.25">
      <c r="B56" s="50"/>
      <c r="C56" s="126"/>
      <c r="D56" s="126"/>
      <c r="E56" s="126"/>
      <c r="F56" s="93"/>
      <c r="H56" s="71"/>
      <c r="I56" s="10"/>
      <c r="J56" s="62"/>
      <c r="K56" s="9"/>
      <c r="L56" s="93"/>
      <c r="T56" s="175"/>
      <c r="U56" s="175"/>
      <c r="V56" s="175"/>
      <c r="W56" s="175"/>
      <c r="X56" s="175"/>
      <c r="Y56" s="175"/>
      <c r="Z56" s="175"/>
      <c r="AA56" s="175"/>
      <c r="AB56" s="175"/>
      <c r="AD56" s="9"/>
      <c r="AE56" s="9"/>
    </row>
    <row r="57" spans="2:31" x14ac:dyDescent="0.25">
      <c r="B57" s="50"/>
      <c r="C57" s="126"/>
      <c r="D57" s="126" t="s">
        <v>123</v>
      </c>
      <c r="E57" s="126"/>
      <c r="F57" s="93"/>
      <c r="H57" s="146" t="s">
        <v>101</v>
      </c>
      <c r="I57" s="10"/>
      <c r="J57" s="62"/>
      <c r="K57" s="9"/>
      <c r="L57" s="93"/>
      <c r="P57" s="128"/>
    </row>
    <row r="58" spans="2:31" x14ac:dyDescent="0.25">
      <c r="B58" s="50"/>
      <c r="C58" s="126"/>
      <c r="D58" s="126">
        <f>D52*$D$5</f>
        <v>0.33343967289079524</v>
      </c>
      <c r="E58" s="126"/>
      <c r="F58" s="93"/>
      <c r="H58" s="77" t="s">
        <v>7</v>
      </c>
      <c r="I58" s="126">
        <f>K41*SIN(-J20)+I41*COS(-J20)</f>
        <v>-0.83799319915459825</v>
      </c>
      <c r="J58" s="126">
        <f>J41</f>
        <v>0.51026502496874748</v>
      </c>
      <c r="K58" s="126">
        <f>K41*COS(-J20)-I41*SIN(-J20)</f>
        <v>-0.19338304595875366</v>
      </c>
      <c r="L58" s="93"/>
    </row>
    <row r="59" spans="2:31" x14ac:dyDescent="0.25">
      <c r="B59" s="50"/>
      <c r="C59" s="126"/>
      <c r="D59" s="126">
        <f t="shared" ref="D59:D61" si="23">D53*$D$5</f>
        <v>0.28138691060001347</v>
      </c>
      <c r="E59" s="126"/>
      <c r="F59" s="93"/>
      <c r="H59" s="77" t="s">
        <v>8</v>
      </c>
      <c r="I59" s="126">
        <f t="shared" ref="I59:I61" si="24">K42*SIN(-J21)+I42*COS(-J21)</f>
        <v>0.18715139024946306</v>
      </c>
      <c r="J59" s="126">
        <f t="shared" ref="J59:J61" si="25">J42</f>
        <v>0.55431996062536804</v>
      </c>
      <c r="K59" s="126">
        <f t="shared" ref="K59:K61" si="26">K42*COS(-J21)-I42*SIN(-J21)</f>
        <v>0.81098935774767311</v>
      </c>
      <c r="L59" s="93"/>
      <c r="M59" s="126"/>
    </row>
    <row r="60" spans="2:31" x14ac:dyDescent="0.25">
      <c r="B60" s="50"/>
      <c r="C60" s="126"/>
      <c r="D60" s="126">
        <f t="shared" si="23"/>
        <v>0.15820077358382817</v>
      </c>
      <c r="E60" s="126"/>
      <c r="F60" s="93"/>
      <c r="H60" s="164" t="s">
        <v>18</v>
      </c>
      <c r="I60" s="126">
        <f t="shared" si="24"/>
        <v>0.85283054346712872</v>
      </c>
      <c r="J60" s="126">
        <f t="shared" si="25"/>
        <v>0.50452694095500206</v>
      </c>
      <c r="K60" s="126">
        <f t="shared" si="26"/>
        <v>-0.13465745423165193</v>
      </c>
      <c r="L60" s="93"/>
    </row>
    <row r="61" spans="2:31" x14ac:dyDescent="0.25">
      <c r="B61" s="52"/>
      <c r="C61" s="186"/>
      <c r="D61" s="186">
        <f t="shared" si="23"/>
        <v>0.19410814857480904</v>
      </c>
      <c r="E61" s="186"/>
      <c r="F61" s="187"/>
      <c r="H61" s="246" t="s">
        <v>10</v>
      </c>
      <c r="I61" s="142">
        <f t="shared" si="24"/>
        <v>0.13739550195292563</v>
      </c>
      <c r="J61" s="142">
        <f t="shared" si="25"/>
        <v>0.47320610214299774</v>
      </c>
      <c r="K61" s="142">
        <f t="shared" si="26"/>
        <v>-0.87017151236852952</v>
      </c>
      <c r="L61" s="94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E666-4A01-491E-B328-CCF52751DBF0}">
  <sheetPr codeName="Sheet10">
    <pageSetUpPr autoPageBreaks="0"/>
  </sheetPr>
  <dimension ref="B2:AK56"/>
  <sheetViews>
    <sheetView workbookViewId="0">
      <selection activeCell="G36" sqref="G36"/>
    </sheetView>
  </sheetViews>
  <sheetFormatPr defaultRowHeight="15" x14ac:dyDescent="0.25"/>
  <cols>
    <col min="2" max="2" width="8.7109375" customWidth="1"/>
    <col min="3" max="3" width="10.5703125" style="4" bestFit="1" customWidth="1"/>
    <col min="4" max="5" width="10.7109375" style="4" customWidth="1"/>
    <col min="6" max="7" width="10.7109375" style="171" customWidth="1"/>
    <col min="8" max="8" width="10.7109375" style="4" customWidth="1"/>
    <col min="9" max="9" width="9.140625" style="4"/>
    <col min="10" max="10" width="9.140625" style="64"/>
    <col min="12" max="12" width="9.140625" style="66"/>
    <col min="13" max="13" width="9.5703125" style="4" bestFit="1" customWidth="1"/>
    <col min="14" max="14" width="9.140625" style="4"/>
    <col min="16" max="16" width="9.140625" style="4"/>
    <col min="20" max="21" width="9.140625" style="4"/>
  </cols>
  <sheetData>
    <row r="2" spans="2:37" x14ac:dyDescent="0.25">
      <c r="B2" s="159" t="s">
        <v>1</v>
      </c>
      <c r="C2" s="160" t="s">
        <v>0</v>
      </c>
      <c r="D2" s="160">
        <v>100</v>
      </c>
      <c r="E2" s="160"/>
      <c r="F2" s="161"/>
      <c r="G2" s="161"/>
      <c r="H2" s="162"/>
      <c r="I2" s="172"/>
      <c r="J2" s="106" t="s">
        <v>93</v>
      </c>
      <c r="K2" s="163"/>
      <c r="L2" s="169"/>
      <c r="M2" s="169"/>
      <c r="N2" s="87"/>
      <c r="Q2" s="4"/>
      <c r="R2" s="4"/>
      <c r="S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</row>
    <row r="3" spans="2:37" x14ac:dyDescent="0.25">
      <c r="C3" s="10"/>
      <c r="D3" s="10"/>
      <c r="G3" s="120"/>
      <c r="H3" s="10"/>
      <c r="I3" s="10"/>
      <c r="J3" s="71"/>
      <c r="K3" s="172"/>
      <c r="L3" s="121" t="s">
        <v>5</v>
      </c>
      <c r="M3" s="121" t="s">
        <v>6</v>
      </c>
      <c r="N3" s="93" t="s">
        <v>42</v>
      </c>
      <c r="Q3" s="4"/>
      <c r="R3" s="4"/>
      <c r="S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2:37" x14ac:dyDescent="0.25">
      <c r="C4" s="10"/>
      <c r="D4" s="10"/>
      <c r="G4" s="120"/>
      <c r="H4" s="10"/>
      <c r="I4" s="10"/>
      <c r="J4" s="164" t="s">
        <v>43</v>
      </c>
      <c r="K4" s="13"/>
      <c r="L4" s="62">
        <f>D26</f>
        <v>-43.75</v>
      </c>
      <c r="M4" s="157">
        <v>2.75</v>
      </c>
      <c r="N4" s="90">
        <f>F26</f>
        <v>46.875</v>
      </c>
      <c r="Q4" s="4"/>
      <c r="R4" s="4"/>
      <c r="S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2:37" x14ac:dyDescent="0.25">
      <c r="B5" s="139" t="s">
        <v>15</v>
      </c>
      <c r="C5" s="169" t="s">
        <v>13</v>
      </c>
      <c r="D5" s="140">
        <f>D2</f>
        <v>100</v>
      </c>
      <c r="E5" s="140"/>
      <c r="F5" s="140"/>
      <c r="G5" s="135"/>
      <c r="H5" s="170"/>
      <c r="I5" s="10"/>
      <c r="J5" s="146"/>
      <c r="K5" s="10"/>
      <c r="L5" s="9"/>
      <c r="M5" s="10"/>
      <c r="N5" s="72"/>
      <c r="Q5" s="4"/>
      <c r="R5" s="4"/>
      <c r="S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2:37" x14ac:dyDescent="0.25">
      <c r="B6" s="59"/>
      <c r="C6" s="10"/>
      <c r="D6" s="126"/>
      <c r="E6" s="126"/>
      <c r="F6" s="126"/>
      <c r="G6" s="13"/>
      <c r="H6" s="51"/>
      <c r="I6" s="10"/>
      <c r="J6" s="71"/>
      <c r="K6" s="10"/>
      <c r="L6" s="121" t="s">
        <v>62</v>
      </c>
      <c r="M6" s="13"/>
      <c r="N6" s="72"/>
      <c r="Q6" s="4"/>
      <c r="R6" s="4"/>
      <c r="S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2:37" x14ac:dyDescent="0.25">
      <c r="B7" s="50"/>
      <c r="C7" s="10" t="s">
        <v>47</v>
      </c>
      <c r="D7" s="126">
        <f>D2*2</f>
        <v>200</v>
      </c>
      <c r="E7" s="126"/>
      <c r="F7" s="126"/>
      <c r="G7" s="13"/>
      <c r="H7" s="51"/>
      <c r="I7" s="10"/>
      <c r="J7" s="71" t="s">
        <v>62</v>
      </c>
      <c r="K7" s="13" t="s">
        <v>7</v>
      </c>
      <c r="L7" s="208">
        <f>D14</f>
        <v>0.35252328424598933</v>
      </c>
      <c r="M7" s="13"/>
      <c r="N7" s="72"/>
      <c r="Q7" s="4"/>
      <c r="R7" s="4"/>
      <c r="S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</row>
    <row r="8" spans="2:37" x14ac:dyDescent="0.25">
      <c r="B8" s="50"/>
      <c r="C8" s="121" t="s">
        <v>7</v>
      </c>
      <c r="D8" s="126">
        <f>-D7</f>
        <v>-200</v>
      </c>
      <c r="E8" s="126">
        <f>D7</f>
        <v>200</v>
      </c>
      <c r="F8" s="126">
        <v>0</v>
      </c>
      <c r="G8" s="13"/>
      <c r="H8" s="51"/>
      <c r="I8" s="10"/>
      <c r="J8" s="71"/>
      <c r="K8" s="10" t="s">
        <v>18</v>
      </c>
      <c r="L8" s="208">
        <f>D16</f>
        <v>0.12678385744150197</v>
      </c>
      <c r="M8" s="13"/>
      <c r="N8" s="72"/>
      <c r="Q8" s="4"/>
      <c r="R8" s="4"/>
      <c r="S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</row>
    <row r="9" spans="2:37" x14ac:dyDescent="0.25">
      <c r="B9" s="50"/>
      <c r="C9" s="121" t="s">
        <v>8</v>
      </c>
      <c r="D9" s="11">
        <v>0</v>
      </c>
      <c r="E9" s="11">
        <f>$E$8</f>
        <v>200</v>
      </c>
      <c r="F9" s="11">
        <v>200</v>
      </c>
      <c r="G9" s="13"/>
      <c r="H9" s="51"/>
      <c r="I9" s="10"/>
      <c r="J9" s="71"/>
      <c r="K9" s="10"/>
      <c r="L9" s="166"/>
      <c r="M9" s="166"/>
      <c r="N9" s="167"/>
      <c r="Q9" s="4"/>
      <c r="R9" s="4"/>
      <c r="S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</row>
    <row r="10" spans="2:37" x14ac:dyDescent="0.25">
      <c r="B10" s="50"/>
      <c r="C10" s="122" t="s">
        <v>18</v>
      </c>
      <c r="D10" s="11">
        <f>D7</f>
        <v>200</v>
      </c>
      <c r="E10" s="11">
        <f>$E$8</f>
        <v>200</v>
      </c>
      <c r="F10" s="11">
        <v>0</v>
      </c>
      <c r="G10" s="13"/>
      <c r="H10" s="51"/>
      <c r="I10" s="10"/>
      <c r="J10" s="71"/>
      <c r="K10" s="10"/>
      <c r="L10" s="166" t="s">
        <v>5</v>
      </c>
      <c r="M10" s="166" t="s">
        <v>6</v>
      </c>
      <c r="N10" s="167" t="s">
        <v>42</v>
      </c>
      <c r="Q10" s="4"/>
      <c r="R10" s="4"/>
      <c r="S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</row>
    <row r="11" spans="2:37" x14ac:dyDescent="0.25">
      <c r="B11" s="50"/>
      <c r="C11" s="122" t="s">
        <v>10</v>
      </c>
      <c r="D11" s="11">
        <v>0</v>
      </c>
      <c r="E11" s="11">
        <f>$E$8</f>
        <v>200</v>
      </c>
      <c r="F11" s="11">
        <v>-200</v>
      </c>
      <c r="G11" s="13"/>
      <c r="H11" s="51"/>
      <c r="I11" s="10"/>
      <c r="J11" s="71" t="s">
        <v>52</v>
      </c>
      <c r="K11" s="10" t="s">
        <v>7</v>
      </c>
      <c r="L11" s="166">
        <f>D8</f>
        <v>-200</v>
      </c>
      <c r="M11" s="166">
        <f>E8</f>
        <v>200</v>
      </c>
      <c r="N11" s="167">
        <f>F8</f>
        <v>0</v>
      </c>
      <c r="Q11" s="4"/>
      <c r="R11" s="4"/>
      <c r="S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</row>
    <row r="12" spans="2:37" x14ac:dyDescent="0.25">
      <c r="B12" s="50"/>
      <c r="C12" s="10"/>
      <c r="D12" s="10"/>
      <c r="E12" s="10"/>
      <c r="F12" s="13"/>
      <c r="G12" s="13"/>
      <c r="H12" s="51"/>
      <c r="I12" s="114"/>
      <c r="J12" s="71"/>
      <c r="K12" s="10" t="s">
        <v>18</v>
      </c>
      <c r="L12" s="166">
        <f>D10</f>
        <v>200</v>
      </c>
      <c r="M12" s="166">
        <f>E10</f>
        <v>200</v>
      </c>
      <c r="N12" s="167">
        <f>F10</f>
        <v>0</v>
      </c>
      <c r="Q12" s="4"/>
      <c r="R12" s="4"/>
      <c r="S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2:37" x14ac:dyDescent="0.25">
      <c r="B13" s="50"/>
      <c r="C13" s="10" t="s">
        <v>62</v>
      </c>
      <c r="D13" s="10"/>
      <c r="E13" s="10"/>
      <c r="F13" s="13"/>
      <c r="G13" s="13"/>
      <c r="H13" s="51"/>
      <c r="I13" s="114"/>
      <c r="J13" s="71"/>
      <c r="K13" s="10"/>
      <c r="L13" s="166"/>
      <c r="M13" s="166"/>
      <c r="N13" s="167"/>
      <c r="Q13" s="4"/>
      <c r="R13" s="4"/>
      <c r="S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2:37" x14ac:dyDescent="0.25">
      <c r="B14" s="50"/>
      <c r="C14" s="10" t="s">
        <v>7</v>
      </c>
      <c r="D14" s="188">
        <f>shadex($D8,$E8,$F8,$D$5,$D$26,$E$26,$F$26,$D$28,$E$28,$F$28)</f>
        <v>0.35252328424598933</v>
      </c>
      <c r="E14" s="10"/>
      <c r="F14" s="13"/>
      <c r="G14" s="13"/>
      <c r="H14" s="51"/>
      <c r="I14" s="114"/>
      <c r="J14" s="71" t="s">
        <v>15</v>
      </c>
      <c r="K14" s="10" t="s">
        <v>13</v>
      </c>
      <c r="L14" s="168">
        <f>$D$5</f>
        <v>100</v>
      </c>
      <c r="M14" s="166"/>
      <c r="N14" s="167"/>
      <c r="Q14" s="4"/>
      <c r="R14" s="4"/>
      <c r="S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2:37" x14ac:dyDescent="0.25">
      <c r="B15" s="50"/>
      <c r="C15" s="10" t="s">
        <v>8</v>
      </c>
      <c r="D15" s="188">
        <f>shadex($D9,$E9,$F9,$D$5,$D$26,$E$26,$F$26,$D$28,$E$28,$F$28)</f>
        <v>0.27883713919682029</v>
      </c>
      <c r="E15" s="10"/>
      <c r="F15" s="13"/>
      <c r="G15" s="13"/>
      <c r="H15" s="51"/>
      <c r="I15" s="114"/>
      <c r="J15" s="71"/>
      <c r="K15" s="10"/>
      <c r="L15" s="166"/>
      <c r="M15" s="166"/>
      <c r="N15" s="167"/>
      <c r="Q15" s="4"/>
      <c r="R15" s="4"/>
      <c r="S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2:37" x14ac:dyDescent="0.25">
      <c r="B16" s="50"/>
      <c r="C16" s="10" t="s">
        <v>18</v>
      </c>
      <c r="D16" s="188">
        <f>shadex($D10,$E10,$F10,$D$5,$D$26,$E$26,$F$26,$D$28,$E$28,$F$28)</f>
        <v>0.12678385744150197</v>
      </c>
      <c r="E16" s="10"/>
      <c r="F16" s="13"/>
      <c r="G16" s="13"/>
      <c r="H16" s="51"/>
      <c r="I16" s="114"/>
      <c r="J16" s="71"/>
      <c r="K16" s="10"/>
      <c r="L16" s="166" t="s">
        <v>5</v>
      </c>
      <c r="M16" s="166" t="s">
        <v>6</v>
      </c>
      <c r="N16" s="51"/>
      <c r="Q16" s="4"/>
      <c r="R16" s="4"/>
      <c r="S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2:37" x14ac:dyDescent="0.25">
      <c r="B17" s="52"/>
      <c r="C17" s="58" t="s">
        <v>10</v>
      </c>
      <c r="D17" s="137">
        <f>shadex($D11,$E11,$F11,$D$5,$D$26,$E$26,$F$26,$D$28,$E$28,$F$28)</f>
        <v>0.17609068440435643</v>
      </c>
      <c r="E17" s="58"/>
      <c r="F17" s="138"/>
      <c r="G17" s="138"/>
      <c r="H17" s="55"/>
      <c r="I17" s="114"/>
      <c r="J17" s="75" t="s">
        <v>92</v>
      </c>
      <c r="K17" s="123" t="s">
        <v>43</v>
      </c>
      <c r="L17" s="166">
        <v>0</v>
      </c>
      <c r="M17" s="166">
        <v>0</v>
      </c>
      <c r="N17" s="72"/>
      <c r="Q17" s="4"/>
      <c r="R17" s="4"/>
      <c r="S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2:37" x14ac:dyDescent="0.25">
      <c r="H18" s="10"/>
      <c r="I18" s="9"/>
      <c r="J18" s="71"/>
      <c r="K18" s="123"/>
      <c r="L18" s="13"/>
      <c r="M18" s="13"/>
      <c r="N18" s="72"/>
      <c r="Q18" s="4"/>
      <c r="R18" s="4"/>
      <c r="S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2:37" x14ac:dyDescent="0.25">
      <c r="H19" s="10"/>
      <c r="I19" s="9"/>
      <c r="J19" s="71"/>
      <c r="K19" s="123" t="s">
        <v>14</v>
      </c>
      <c r="L19" s="168">
        <f>SQRT(L20*L20+N20*N20)</f>
        <v>163.12978920172733</v>
      </c>
      <c r="M19" s="168">
        <f>M20</f>
        <v>197.25</v>
      </c>
      <c r="N19" s="72"/>
      <c r="Q19" s="4"/>
      <c r="R19" s="4"/>
      <c r="S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2:37" x14ac:dyDescent="0.25">
      <c r="B20" s="139" t="s">
        <v>49</v>
      </c>
      <c r="C20" s="169" t="s">
        <v>2</v>
      </c>
      <c r="D20" s="174">
        <v>1024</v>
      </c>
      <c r="E20" s="10"/>
      <c r="H20" s="10"/>
      <c r="I20" s="9"/>
      <c r="J20" s="71"/>
      <c r="K20" s="123"/>
      <c r="L20" s="178">
        <f>L11-L4</f>
        <v>-156.25</v>
      </c>
      <c r="M20" s="178">
        <f>M11-M4</f>
        <v>197.25</v>
      </c>
      <c r="N20" s="179">
        <f>N11-N4</f>
        <v>-46.875</v>
      </c>
      <c r="Q20" s="4"/>
      <c r="R20" s="4"/>
      <c r="S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2:37" s="1" customFormat="1" x14ac:dyDescent="0.25">
      <c r="B21" s="59"/>
      <c r="C21" s="10" t="s">
        <v>36</v>
      </c>
      <c r="D21" s="51">
        <v>32</v>
      </c>
      <c r="E21" s="10"/>
      <c r="F21" s="2"/>
      <c r="G21" s="2"/>
      <c r="H21" s="10"/>
      <c r="I21" s="9"/>
      <c r="J21" s="71"/>
      <c r="K21" s="10" t="s">
        <v>109</v>
      </c>
      <c r="L21" s="168">
        <f>SQRT(L22*L22+N22*N22)</f>
        <v>248.21629302888238</v>
      </c>
      <c r="M21" s="168">
        <f>M22</f>
        <v>197.25</v>
      </c>
      <c r="N21" s="51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</row>
    <row r="22" spans="2:37" x14ac:dyDescent="0.25">
      <c r="B22" s="50"/>
      <c r="C22" s="10" t="s">
        <v>37</v>
      </c>
      <c r="D22" s="51">
        <v>64</v>
      </c>
      <c r="E22" s="10"/>
      <c r="H22" s="10"/>
      <c r="I22" s="9"/>
      <c r="J22" s="71"/>
      <c r="K22" s="10"/>
      <c r="L22" s="178">
        <f>L12-L4</f>
        <v>243.75</v>
      </c>
      <c r="M22" s="178">
        <f>M12-M4</f>
        <v>197.25</v>
      </c>
      <c r="N22" s="179">
        <f>N12-N4</f>
        <v>-46.875</v>
      </c>
      <c r="Q22" s="4"/>
      <c r="R22" s="4"/>
      <c r="S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2:37" x14ac:dyDescent="0.25">
      <c r="B23" s="52"/>
      <c r="C23" s="58" t="s">
        <v>68</v>
      </c>
      <c r="D23" s="94">
        <f>D2/D20</f>
        <v>9.765625E-2</v>
      </c>
      <c r="E23" s="10"/>
      <c r="H23" s="10"/>
      <c r="I23" s="9"/>
      <c r="J23" s="73"/>
      <c r="K23" s="138"/>
      <c r="L23" s="136"/>
      <c r="M23" s="136"/>
      <c r="N23" s="55"/>
      <c r="O23" s="9"/>
      <c r="P23" s="10"/>
      <c r="Q23" s="9"/>
      <c r="R23" s="62"/>
      <c r="S23" s="9"/>
    </row>
    <row r="24" spans="2:37" x14ac:dyDescent="0.25">
      <c r="C24" s="10"/>
      <c r="D24" s="114"/>
      <c r="E24" s="10"/>
      <c r="H24" s="10"/>
      <c r="I24" s="9"/>
      <c r="J24" s="9"/>
      <c r="K24" s="9"/>
      <c r="L24" s="9"/>
      <c r="M24" s="171"/>
      <c r="N24" s="171"/>
      <c r="O24" s="9"/>
      <c r="P24" s="10"/>
      <c r="Q24" s="9"/>
      <c r="S24" s="4"/>
      <c r="V24" s="4"/>
      <c r="W24" s="171"/>
      <c r="X24" s="171"/>
      <c r="Y24" s="171"/>
      <c r="Z24" s="171"/>
    </row>
    <row r="25" spans="2:37" x14ac:dyDescent="0.25">
      <c r="D25" s="114"/>
      <c r="E25" s="10"/>
      <c r="H25" s="10"/>
      <c r="I25" s="9"/>
      <c r="J25" s="69" t="s">
        <v>102</v>
      </c>
      <c r="K25" s="193" t="s">
        <v>94</v>
      </c>
      <c r="L25" s="134"/>
      <c r="M25" s="135"/>
      <c r="N25" s="181"/>
      <c r="O25" s="9"/>
      <c r="P25" s="69" t="s">
        <v>107</v>
      </c>
      <c r="Q25" s="163" t="s">
        <v>5</v>
      </c>
      <c r="R25" s="194" t="s">
        <v>6</v>
      </c>
      <c r="T25" s="46" t="s">
        <v>108</v>
      </c>
      <c r="U25" s="47"/>
      <c r="V25" s="169" t="s">
        <v>78</v>
      </c>
      <c r="W25" s="135" t="s">
        <v>80</v>
      </c>
      <c r="X25" s="169" t="s">
        <v>10</v>
      </c>
      <c r="Y25" s="169" t="s">
        <v>82</v>
      </c>
      <c r="Z25" s="135" t="s">
        <v>96</v>
      </c>
      <c r="AA25" s="181" t="s">
        <v>97</v>
      </c>
    </row>
    <row r="26" spans="2:37" s="171" customFormat="1" x14ac:dyDescent="0.25">
      <c r="B26" s="139" t="s">
        <v>43</v>
      </c>
      <c r="C26" s="169"/>
      <c r="D26" s="140">
        <f>D22*D23-D2/2</f>
        <v>-43.75</v>
      </c>
      <c r="E26" s="143">
        <v>2.75</v>
      </c>
      <c r="F26" s="87">
        <f>D2/2 - D21*D23</f>
        <v>46.875</v>
      </c>
      <c r="H26" s="10"/>
      <c r="I26" s="9"/>
      <c r="J26" s="73"/>
      <c r="K26" s="177" t="s">
        <v>95</v>
      </c>
      <c r="L26" s="136"/>
      <c r="M26" s="138"/>
      <c r="N26" s="151"/>
      <c r="P26" s="185"/>
      <c r="Q26" s="195">
        <f>L17</f>
        <v>0</v>
      </c>
      <c r="R26" s="196">
        <f>M17</f>
        <v>0</v>
      </c>
      <c r="T26" s="146"/>
      <c r="U26" s="13" t="s">
        <v>7</v>
      </c>
      <c r="V26" s="166">
        <f>L19</f>
        <v>163.12978920172733</v>
      </c>
      <c r="W26" s="166">
        <f>M19</f>
        <v>197.25</v>
      </c>
      <c r="X26" s="166">
        <f>SQRT($V$26*$V$26+W26*W26)</f>
        <v>255.9665810706546</v>
      </c>
      <c r="Y26" s="188">
        <f>1/X26</f>
        <v>3.9067599989702148E-3</v>
      </c>
      <c r="Z26" s="191">
        <f>V26*Y26</f>
        <v>0.63730893509375164</v>
      </c>
      <c r="AA26" s="197">
        <f>W26*Y26</f>
        <v>0.77060840979687484</v>
      </c>
    </row>
    <row r="27" spans="2:37" s="171" customFormat="1" x14ac:dyDescent="0.25">
      <c r="B27" s="50"/>
      <c r="C27" s="10"/>
      <c r="D27" s="10"/>
      <c r="E27" s="10"/>
      <c r="F27" s="144"/>
      <c r="H27" s="10"/>
      <c r="I27" s="9"/>
      <c r="J27" s="9"/>
      <c r="K27" s="9"/>
      <c r="L27" s="9"/>
      <c r="P27" s="10"/>
      <c r="Q27" s="10"/>
      <c r="T27" s="185"/>
      <c r="U27" s="138" t="s">
        <v>18</v>
      </c>
      <c r="V27" s="136">
        <f>L21</f>
        <v>248.21629302888238</v>
      </c>
      <c r="W27" s="136">
        <f>$M$21</f>
        <v>197.25</v>
      </c>
      <c r="X27" s="136">
        <f>SQRT($V$27*$V$27+W27*W27)</f>
        <v>317.04714259081408</v>
      </c>
      <c r="Y27" s="137">
        <f>1/X27</f>
        <v>3.1541050703952104E-3</v>
      </c>
      <c r="Z27" s="198">
        <f>V27*Y27</f>
        <v>0.78290026839710125</v>
      </c>
      <c r="AA27" s="199">
        <f>W27*Y27</f>
        <v>0.62214722513545528</v>
      </c>
    </row>
    <row r="28" spans="2:37" s="171" customFormat="1" x14ac:dyDescent="0.25">
      <c r="B28" s="59" t="s">
        <v>44</v>
      </c>
      <c r="C28" s="10"/>
      <c r="D28" s="126">
        <f>D36</f>
        <v>-0.25881904510252074</v>
      </c>
      <c r="E28" s="62">
        <f>D37</f>
        <v>0.96592582628906831</v>
      </c>
      <c r="F28" s="145">
        <f>D38</f>
        <v>0</v>
      </c>
      <c r="H28" s="10"/>
      <c r="I28" s="9"/>
      <c r="J28" s="9"/>
      <c r="K28" s="9"/>
      <c r="L28" s="9"/>
      <c r="P28" s="10"/>
      <c r="Q28" s="10"/>
      <c r="S28" s="10"/>
      <c r="T28" s="10"/>
      <c r="U28" s="10"/>
      <c r="V28" s="10"/>
      <c r="W28" s="10"/>
      <c r="X28" s="10"/>
      <c r="Y28" s="10"/>
    </row>
    <row r="29" spans="2:37" s="171" customFormat="1" x14ac:dyDescent="0.25">
      <c r="B29" s="50"/>
      <c r="C29" s="10"/>
      <c r="D29" s="126"/>
      <c r="E29" s="10"/>
      <c r="F29" s="144"/>
      <c r="H29" s="10"/>
      <c r="I29" s="9"/>
      <c r="J29" s="180" t="s">
        <v>105</v>
      </c>
      <c r="K29" s="135" t="s">
        <v>5</v>
      </c>
      <c r="L29" s="135" t="s">
        <v>6</v>
      </c>
      <c r="M29" s="135" t="s">
        <v>5</v>
      </c>
      <c r="N29" s="181" t="s">
        <v>6</v>
      </c>
      <c r="P29" s="200" t="s">
        <v>111</v>
      </c>
      <c r="Q29" s="173"/>
      <c r="R29" s="181"/>
      <c r="T29" s="180" t="s">
        <v>106</v>
      </c>
      <c r="U29" s="135"/>
      <c r="V29" s="135" t="s">
        <v>100</v>
      </c>
      <c r="W29" s="135"/>
      <c r="X29" s="135"/>
      <c r="Y29" s="47"/>
      <c r="Z29" s="135" t="s">
        <v>101</v>
      </c>
      <c r="AA29" s="135"/>
      <c r="AB29" s="181"/>
    </row>
    <row r="30" spans="2:37" s="171" customFormat="1" x14ac:dyDescent="0.25">
      <c r="B30" s="50"/>
      <c r="C30" s="121" t="s">
        <v>12</v>
      </c>
      <c r="D30" s="126"/>
      <c r="E30" s="10"/>
      <c r="F30" s="144"/>
      <c r="H30" s="10"/>
      <c r="I30" s="9"/>
      <c r="J30" s="146"/>
      <c r="K30" s="182">
        <f>($Q$26+L19) * -1</f>
        <v>-163.12978920172733</v>
      </c>
      <c r="L30" s="182">
        <f>M19</f>
        <v>197.25</v>
      </c>
      <c r="M30" s="182">
        <f>$Q$26+L21</f>
        <v>248.21629302888238</v>
      </c>
      <c r="N30" s="183">
        <f>M21</f>
        <v>197.25</v>
      </c>
      <c r="P30" s="71" t="s">
        <v>7</v>
      </c>
      <c r="Q30" s="188">
        <f>shadex($L$19,$M$19,0,$L$14,$Q$26,R26,0,Z26,AA26,0)</f>
        <v>0.39067599989702151</v>
      </c>
      <c r="R30" s="144"/>
      <c r="T30" s="146">
        <v>25</v>
      </c>
      <c r="U30" s="10"/>
      <c r="V30" s="13" t="s">
        <v>5</v>
      </c>
      <c r="W30" s="13" t="s">
        <v>6</v>
      </c>
      <c r="X30" s="13" t="s">
        <v>98</v>
      </c>
      <c r="Y30" s="10"/>
      <c r="Z30" s="13" t="s">
        <v>5</v>
      </c>
      <c r="AA30" s="13" t="s">
        <v>6</v>
      </c>
      <c r="AB30" s="144" t="s">
        <v>98</v>
      </c>
    </row>
    <row r="31" spans="2:37" s="171" customFormat="1" x14ac:dyDescent="0.25">
      <c r="B31" s="146"/>
      <c r="C31" s="10" t="s">
        <v>103</v>
      </c>
      <c r="D31" s="11">
        <v>15</v>
      </c>
      <c r="E31" s="10"/>
      <c r="F31" s="147"/>
      <c r="H31" s="10"/>
      <c r="I31" s="9"/>
      <c r="J31" s="184"/>
      <c r="K31" s="182">
        <f>($Q$26)*-1</f>
        <v>0</v>
      </c>
      <c r="L31" s="182">
        <f>$R$26</f>
        <v>0</v>
      </c>
      <c r="M31" s="182">
        <f>$Q$26</f>
        <v>0</v>
      </c>
      <c r="N31" s="183">
        <f>$R$26</f>
        <v>0</v>
      </c>
      <c r="P31" s="73" t="s">
        <v>18</v>
      </c>
      <c r="Q31" s="137">
        <f>shadex($L$21,$M$21,0,$L$14,$Q$26,R26,0,Z27,AA27,0)</f>
        <v>0.31541050703952106</v>
      </c>
      <c r="R31" s="151"/>
      <c r="T31" s="71">
        <f>RADIANS(T30)</f>
        <v>0.43633231299858238</v>
      </c>
      <c r="U31" s="10" t="s">
        <v>7</v>
      </c>
      <c r="V31" s="188">
        <f>$Z$26*COS($T$31)-$AA$26*SIN($T$31)</f>
        <v>0.25192486399238218</v>
      </c>
      <c r="W31" s="188">
        <f>$Z$26*SIN($T$31)+$AA$26*COS($T$31)</f>
        <v>0.96774679689597498</v>
      </c>
      <c r="X31" s="188">
        <f>shadex($L$19,$M$19,0,$L$14,$Q$26,$R$26,0,$V$31,$W$31,0)</f>
        <v>0.35407270091499998</v>
      </c>
      <c r="Y31" s="10" t="s">
        <v>7</v>
      </c>
      <c r="Z31" s="188">
        <f>$Z$26*COS(-$T$31)-$AA$26*SIN(-$T$31)</f>
        <v>0.90327123725462188</v>
      </c>
      <c r="AA31" s="188">
        <f>$Z26*SIN(-$T$31)+$AA$26*COS(-$T$31)</f>
        <v>0.42907000821369995</v>
      </c>
      <c r="AB31" s="141">
        <f>shadex($L$19,$M$19,0,$L14,$Q$26,$R$26,0,$Z$31,$AA$31,0)</f>
        <v>0.35407270091500004</v>
      </c>
    </row>
    <row r="32" spans="2:37" s="171" customFormat="1" x14ac:dyDescent="0.25">
      <c r="B32" s="50"/>
      <c r="C32" s="10" t="s">
        <v>70</v>
      </c>
      <c r="D32" s="11">
        <v>0</v>
      </c>
      <c r="E32" s="148"/>
      <c r="F32" s="147"/>
      <c r="H32" s="10"/>
      <c r="I32" s="9"/>
      <c r="J32" s="50"/>
      <c r="K32" s="62"/>
      <c r="L32" s="62"/>
      <c r="M32" s="62"/>
      <c r="N32" s="90"/>
      <c r="Q32" s="9"/>
      <c r="T32" s="71"/>
      <c r="U32" s="13"/>
      <c r="V32" s="188"/>
      <c r="W32" s="190"/>
      <c r="X32" s="190"/>
      <c r="Y32" s="13"/>
      <c r="Z32" s="190"/>
      <c r="AA32" s="190"/>
      <c r="AB32" s="202"/>
    </row>
    <row r="33" spans="2:29" x14ac:dyDescent="0.25">
      <c r="B33" s="50"/>
      <c r="C33" s="10" t="s">
        <v>71</v>
      </c>
      <c r="D33" s="126">
        <f>-SIN(RADIANS(D31))</f>
        <v>-0.25881904510252074</v>
      </c>
      <c r="E33" s="119" t="s">
        <v>94</v>
      </c>
      <c r="F33" s="144"/>
      <c r="G33" s="6"/>
      <c r="H33" s="10"/>
      <c r="I33" s="9"/>
      <c r="J33" s="50"/>
      <c r="K33" s="182">
        <f>($Q$26)*-1</f>
        <v>0</v>
      </c>
      <c r="L33" s="182">
        <f>$R$26</f>
        <v>0</v>
      </c>
      <c r="M33" s="182">
        <f>$Q$26</f>
        <v>0</v>
      </c>
      <c r="N33" s="183">
        <f>R26</f>
        <v>0</v>
      </c>
      <c r="O33" s="4"/>
      <c r="P33" s="200" t="s">
        <v>110</v>
      </c>
      <c r="Q33" s="47"/>
      <c r="R33" s="70"/>
      <c r="S33" s="171"/>
      <c r="T33" s="146">
        <v>-20</v>
      </c>
      <c r="U33" s="10"/>
      <c r="V33" s="188"/>
      <c r="W33" s="190"/>
      <c r="X33" s="190"/>
      <c r="Y33" s="13"/>
      <c r="Z33" s="190"/>
      <c r="AA33" s="190"/>
      <c r="AB33" s="202"/>
      <c r="AC33" s="171"/>
    </row>
    <row r="34" spans="2:29" x14ac:dyDescent="0.25">
      <c r="B34" s="50"/>
      <c r="C34" s="10" t="s">
        <v>72</v>
      </c>
      <c r="D34" s="126">
        <f>COS(RADIANS(D31))</f>
        <v>0.96592582628906831</v>
      </c>
      <c r="E34" s="119" t="s">
        <v>95</v>
      </c>
      <c r="F34" s="144"/>
      <c r="G34" s="6"/>
      <c r="I34"/>
      <c r="J34" s="146"/>
      <c r="K34" s="182">
        <f>($Q$26+Z26*30)*-1</f>
        <v>-19.119268052812551</v>
      </c>
      <c r="L34" s="182">
        <f>$R$26+AA26*30</f>
        <v>23.118252293906245</v>
      </c>
      <c r="M34" s="182">
        <f>$Q$26+Z27*30</f>
        <v>23.487008051913037</v>
      </c>
      <c r="N34" s="183">
        <f>$R$26+AA27*30</f>
        <v>18.664416754063659</v>
      </c>
      <c r="O34" s="4"/>
      <c r="P34" s="71"/>
      <c r="Q34" s="188">
        <f>shadex($L$19,$M$19,0,$L$14,$Q$26,R26,0,P35,Q35,0)</f>
        <v>0.35524100497464017</v>
      </c>
      <c r="R34" s="72"/>
      <c r="S34" s="171"/>
      <c r="T34" s="73">
        <f>RADIANS(T33)</f>
        <v>-0.3490658503988659</v>
      </c>
      <c r="U34" s="58" t="s">
        <v>18</v>
      </c>
      <c r="V34" s="137">
        <f>$Z$27*COS($T$34)-$AA$27*SIN($T$34)</f>
        <v>0.94847248813455876</v>
      </c>
      <c r="W34" s="137">
        <f>$Z27*SIN($T$34)+$AA$27*COS($T$34)</f>
        <v>0.31685949449533546</v>
      </c>
      <c r="X34" s="137">
        <f>shadex($L$21,$M$21,0,$L$14,$Q$26,$R$26,0,$V$34,$W$34,0)</f>
        <v>0.29638892598337974</v>
      </c>
      <c r="Y34" s="58" t="s">
        <v>18</v>
      </c>
      <c r="Z34" s="137">
        <f>$Z$27*COS(-$T$34)-$AA$27*SIN(-$T$34)</f>
        <v>0.52289872191356768</v>
      </c>
      <c r="AA34" s="137">
        <f>$Z27*SIN(-$T$34)+$AA$27*COS(-$T$34)</f>
        <v>0.8523948185090976</v>
      </c>
      <c r="AB34" s="201">
        <f>shadex($L$21,$M$21,0,$L$14,$Q$26,$R$26,0,$Z$34,$AA$34,0)</f>
        <v>0.29638892598337974</v>
      </c>
    </row>
    <row r="35" spans="2:29" s="171" customFormat="1" x14ac:dyDescent="0.25">
      <c r="B35" s="59"/>
      <c r="C35" s="10" t="s">
        <v>73</v>
      </c>
      <c r="D35" s="126">
        <v>0</v>
      </c>
      <c r="E35" s="148" t="s">
        <v>104</v>
      </c>
      <c r="F35" s="144"/>
      <c r="G35" s="6"/>
      <c r="H35" s="4"/>
      <c r="I35"/>
      <c r="J35" s="146"/>
      <c r="K35" s="62"/>
      <c r="L35" s="62"/>
      <c r="M35" s="62"/>
      <c r="N35" s="90"/>
      <c r="P35" s="185">
        <f>SQRT(D28*D28+F28*F28)</f>
        <v>0.25881904510252074</v>
      </c>
      <c r="Q35" s="207">
        <f>E28</f>
        <v>0.96592582628906831</v>
      </c>
      <c r="R35" s="151"/>
      <c r="S35" s="188"/>
      <c r="AC35"/>
    </row>
    <row r="36" spans="2:29" x14ac:dyDescent="0.25">
      <c r="B36" s="50"/>
      <c r="C36" s="10" t="s">
        <v>5</v>
      </c>
      <c r="D36" s="11">
        <f>D33</f>
        <v>-0.25881904510252074</v>
      </c>
      <c r="E36" s="148" t="s">
        <v>84</v>
      </c>
      <c r="F36" s="147"/>
      <c r="I36"/>
      <c r="J36" s="146"/>
      <c r="K36" s="182">
        <f>($Q$26)*-1</f>
        <v>0</v>
      </c>
      <c r="L36" s="182">
        <f>$R$26</f>
        <v>0</v>
      </c>
      <c r="M36" s="182">
        <f>$Q$26</f>
        <v>0</v>
      </c>
      <c r="N36" s="183">
        <f>$R$26</f>
        <v>0</v>
      </c>
      <c r="O36" s="4"/>
      <c r="P36"/>
      <c r="Q36" s="9"/>
      <c r="V36" s="4"/>
      <c r="W36" s="4"/>
      <c r="X36" s="4"/>
      <c r="AC36" s="171"/>
    </row>
    <row r="37" spans="2:29" x14ac:dyDescent="0.25">
      <c r="B37" s="50"/>
      <c r="C37" s="10" t="s">
        <v>6</v>
      </c>
      <c r="D37" s="11">
        <f>D34</f>
        <v>0.96592582628906831</v>
      </c>
      <c r="E37" s="148" t="s">
        <v>85</v>
      </c>
      <c r="F37" s="147"/>
      <c r="I37"/>
      <c r="J37" s="146"/>
      <c r="K37" s="62">
        <f>($Q$26+V31*30)*-1</f>
        <v>-7.5577459197714649</v>
      </c>
      <c r="L37" s="62">
        <f>$R$26+W31*30</f>
        <v>29.032403906879249</v>
      </c>
      <c r="M37" s="62">
        <f>$Q$26+V34*30</f>
        <v>28.454174644036762</v>
      </c>
      <c r="N37" s="90">
        <f>$R$26+W34*30</f>
        <v>9.505784834860064</v>
      </c>
      <c r="O37" s="4"/>
      <c r="P37"/>
      <c r="Q37" s="9"/>
      <c r="S37" s="4"/>
      <c r="V37" s="4"/>
      <c r="X37" s="188"/>
      <c r="Z37" s="188"/>
    </row>
    <row r="38" spans="2:29" s="171" customFormat="1" x14ac:dyDescent="0.25">
      <c r="B38" s="50"/>
      <c r="C38" s="10" t="s">
        <v>42</v>
      </c>
      <c r="D38" s="11">
        <f>D35</f>
        <v>0</v>
      </c>
      <c r="E38" s="148" t="s">
        <v>83</v>
      </c>
      <c r="F38" s="147"/>
      <c r="H38" s="4"/>
      <c r="I38"/>
      <c r="J38" s="146"/>
      <c r="K38" s="182"/>
      <c r="L38" s="182"/>
      <c r="M38" s="182"/>
      <c r="N38" s="183"/>
      <c r="Q38" s="9"/>
      <c r="R38" s="13"/>
      <c r="S38" s="127"/>
      <c r="T38" s="4"/>
      <c r="U38" s="4"/>
      <c r="V38" s="4"/>
      <c r="W38"/>
      <c r="X38"/>
      <c r="Y38"/>
      <c r="Z38" s="188"/>
      <c r="AA38"/>
      <c r="AB38"/>
      <c r="AC38"/>
    </row>
    <row r="39" spans="2:29" s="171" customFormat="1" x14ac:dyDescent="0.25">
      <c r="B39" s="50"/>
      <c r="C39" s="10"/>
      <c r="D39" s="149"/>
      <c r="E39" s="149"/>
      <c r="F39" s="144"/>
      <c r="H39" s="4"/>
      <c r="I39" s="4"/>
      <c r="J39" s="146"/>
      <c r="K39" s="182">
        <f>($Q$26)*-1</f>
        <v>0</v>
      </c>
      <c r="L39" s="182">
        <f>$R$26</f>
        <v>0</v>
      </c>
      <c r="M39" s="182">
        <f>$Q$26</f>
        <v>0</v>
      </c>
      <c r="N39" s="183">
        <f>$R$26</f>
        <v>0</v>
      </c>
      <c r="Q39" s="9"/>
      <c r="R39" s="9"/>
      <c r="S39" s="127"/>
      <c r="T39" s="4"/>
      <c r="U39" s="4"/>
      <c r="V39" s="4"/>
      <c r="W39"/>
      <c r="X39"/>
      <c r="Y39"/>
      <c r="Z39" s="188"/>
      <c r="AA39"/>
      <c r="AB39"/>
    </row>
    <row r="40" spans="2:29" s="171" customFormat="1" x14ac:dyDescent="0.25">
      <c r="B40" s="52"/>
      <c r="C40" s="58" t="s">
        <v>61</v>
      </c>
      <c r="D40" s="150">
        <v>30</v>
      </c>
      <c r="E40" s="150"/>
      <c r="F40" s="151"/>
      <c r="H40" s="4"/>
      <c r="I40" s="4"/>
      <c r="J40" s="146"/>
      <c r="K40" s="182">
        <f>($Q$26+Z31*30)*-1</f>
        <v>-27.098137117638657</v>
      </c>
      <c r="L40" s="182">
        <f>$R$26+AA31*30</f>
        <v>12.872100246410998</v>
      </c>
      <c r="M40" s="182">
        <f>$Q$26+Z34*30</f>
        <v>15.68696165740703</v>
      </c>
      <c r="N40" s="183">
        <f>$R$26+AA34*30</f>
        <v>25.571844555272929</v>
      </c>
      <c r="Q40" s="9"/>
      <c r="R40" s="13"/>
      <c r="S40" s="127"/>
      <c r="T40" s="4"/>
      <c r="U40" s="4"/>
      <c r="V40"/>
      <c r="W40"/>
      <c r="X40"/>
      <c r="Y40"/>
      <c r="Z40" s="188"/>
      <c r="AA40"/>
      <c r="AB40"/>
    </row>
    <row r="41" spans="2:29" s="171" customFormat="1" x14ac:dyDescent="0.25">
      <c r="B41"/>
      <c r="C41" s="4"/>
      <c r="D41" s="96"/>
      <c r="E41" s="96"/>
      <c r="H41" s="4"/>
      <c r="I41" s="4"/>
      <c r="J41" s="184"/>
      <c r="K41" s="10"/>
      <c r="L41" s="10"/>
      <c r="M41" s="13"/>
      <c r="N41" s="144"/>
      <c r="Q41" s="9"/>
      <c r="R41" s="13"/>
      <c r="S41" s="127"/>
      <c r="T41" s="127"/>
    </row>
    <row r="42" spans="2:29" s="171" customFormat="1" x14ac:dyDescent="0.25">
      <c r="B42"/>
      <c r="C42" s="4"/>
      <c r="D42" s="96"/>
      <c r="E42" s="96"/>
      <c r="H42" s="4"/>
      <c r="I42" s="4"/>
      <c r="J42" s="184"/>
      <c r="K42" s="166"/>
      <c r="L42" s="166"/>
      <c r="M42" s="203"/>
      <c r="N42" s="204"/>
      <c r="Q42" s="9"/>
      <c r="R42" s="13"/>
      <c r="S42" s="127"/>
      <c r="T42" s="127"/>
      <c r="V42" s="188"/>
      <c r="X42" s="188"/>
    </row>
    <row r="43" spans="2:29" s="171" customFormat="1" x14ac:dyDescent="0.25">
      <c r="B43"/>
      <c r="C43" s="4"/>
      <c r="D43" s="96"/>
      <c r="E43" s="96"/>
      <c r="H43" s="4"/>
      <c r="I43" s="4"/>
      <c r="J43" s="205"/>
      <c r="K43" s="58"/>
      <c r="L43" s="58"/>
      <c r="M43" s="138"/>
      <c r="N43" s="151"/>
      <c r="R43" s="9"/>
      <c r="S43" s="13"/>
      <c r="T43" s="127"/>
      <c r="V43" s="188"/>
      <c r="X43" s="188"/>
    </row>
    <row r="44" spans="2:29" s="171" customFormat="1" x14ac:dyDescent="0.25">
      <c r="B44"/>
      <c r="C44" s="4"/>
      <c r="D44" s="96"/>
      <c r="E44" s="96"/>
      <c r="H44" s="4"/>
      <c r="I44" s="4"/>
      <c r="J44" s="64"/>
      <c r="K44"/>
      <c r="L44" s="66"/>
      <c r="R44" s="9"/>
      <c r="S44" s="13"/>
      <c r="T44" s="127"/>
    </row>
    <row r="45" spans="2:29" s="171" customFormat="1" x14ac:dyDescent="0.25">
      <c r="B45"/>
      <c r="C45" s="4"/>
      <c r="D45" s="96"/>
      <c r="E45" s="96"/>
      <c r="H45" s="4"/>
      <c r="I45" s="4"/>
      <c r="J45" s="64"/>
      <c r="K45"/>
      <c r="L45" s="66"/>
      <c r="R45" s="9"/>
      <c r="S45" s="13"/>
      <c r="T45" s="171" t="s">
        <v>106</v>
      </c>
      <c r="V45" s="171" t="s">
        <v>100</v>
      </c>
      <c r="Y45"/>
      <c r="Z45" s="171" t="s">
        <v>101</v>
      </c>
    </row>
    <row r="46" spans="2:29" s="171" customFormat="1" x14ac:dyDescent="0.25">
      <c r="B46"/>
      <c r="C46" s="4"/>
      <c r="D46" s="96"/>
      <c r="E46" s="96"/>
      <c r="H46" s="4"/>
      <c r="I46" s="4"/>
      <c r="J46" s="64"/>
      <c r="K46"/>
      <c r="L46" s="66"/>
      <c r="R46" s="9"/>
      <c r="T46" s="171">
        <v>50</v>
      </c>
      <c r="U46"/>
      <c r="V46" s="171" t="s">
        <v>5</v>
      </c>
      <c r="W46" s="171" t="s">
        <v>6</v>
      </c>
      <c r="X46" s="171" t="s">
        <v>98</v>
      </c>
      <c r="Y46"/>
      <c r="Z46" s="171" t="s">
        <v>5</v>
      </c>
      <c r="AA46" s="171" t="s">
        <v>6</v>
      </c>
      <c r="AB46" s="171" t="s">
        <v>98</v>
      </c>
    </row>
    <row r="47" spans="2:29" s="171" customFormat="1" x14ac:dyDescent="0.25">
      <c r="B47"/>
      <c r="C47" s="4"/>
      <c r="D47" s="96"/>
      <c r="E47" s="96"/>
      <c r="H47" s="4"/>
      <c r="I47" s="4"/>
      <c r="J47" s="64"/>
      <c r="K47"/>
      <c r="L47" s="66"/>
      <c r="R47"/>
      <c r="T47" s="4">
        <f>RADIANS(T46)</f>
        <v>0.87266462599716477</v>
      </c>
      <c r="U47"/>
      <c r="V47" s="129">
        <f>$Z26*COS($T$47)-$AA26*SIN($T$47)</f>
        <v>-0.18066600312486175</v>
      </c>
      <c r="W47" s="129">
        <f>$Z26*SIN($T$47)+$AA26*COS($T$47)</f>
        <v>0.98354450601632015</v>
      </c>
      <c r="X47" s="129">
        <f>shadex($L$19,$M$19,0,$L14,$Q26,R26,0,V47,W47,0)</f>
        <v>0.25112169213570507</v>
      </c>
      <c r="Y47"/>
      <c r="Z47" s="129">
        <f>$Z26*COS(-$T$47)-$AA26*SIN(-$T$47)</f>
        <v>0.99997457716643479</v>
      </c>
      <c r="AA47" s="129">
        <f>$Z26*SIN(-$T$47)+$AA26*COS(-$T$47)</f>
        <v>7.1305694590365065E-3</v>
      </c>
      <c r="AB47" s="129">
        <f>shadex($L$19,$M$19,0,$L$14,$Q$26,R26,0,Z47,AA47,0)</f>
        <v>0.25112169213570518</v>
      </c>
    </row>
    <row r="48" spans="2:29" s="171" customFormat="1" x14ac:dyDescent="0.25">
      <c r="B48"/>
      <c r="C48" s="4"/>
      <c r="D48" s="96"/>
      <c r="E48" s="96"/>
      <c r="H48" s="4"/>
      <c r="I48" s="4"/>
      <c r="J48" s="64"/>
      <c r="K48"/>
      <c r="L48" s="66"/>
      <c r="M48" s="4"/>
      <c r="N48" s="4"/>
      <c r="R48"/>
      <c r="T48" s="10"/>
      <c r="V48" s="188"/>
      <c r="W48" s="190"/>
      <c r="X48" s="190"/>
      <c r="Z48" s="190"/>
      <c r="AA48" s="190"/>
      <c r="AB48" s="190"/>
    </row>
    <row r="49" spans="2:31" s="171" customFormat="1" x14ac:dyDescent="0.25">
      <c r="B49"/>
      <c r="C49" s="4"/>
      <c r="D49" s="96"/>
      <c r="E49" s="96"/>
      <c r="H49" s="4"/>
      <c r="I49" s="4"/>
      <c r="J49" s="64"/>
      <c r="K49"/>
      <c r="L49" s="66"/>
      <c r="T49" s="13">
        <v>74.5</v>
      </c>
      <c r="U49"/>
      <c r="V49" s="188"/>
      <c r="W49" s="190"/>
      <c r="X49" s="190"/>
      <c r="Z49" s="190"/>
      <c r="AA49" s="190"/>
      <c r="AB49" s="190"/>
    </row>
    <row r="50" spans="2:31" s="171" customFormat="1" x14ac:dyDescent="0.25">
      <c r="B50"/>
      <c r="C50" s="4"/>
      <c r="D50" s="96"/>
      <c r="E50" s="96"/>
      <c r="H50" s="4"/>
      <c r="I50" s="4"/>
      <c r="J50" s="64"/>
      <c r="K50"/>
      <c r="L50" s="66"/>
      <c r="T50" s="10">
        <f>RADIANS(T49)</f>
        <v>1.3002702927357754</v>
      </c>
      <c r="U50"/>
      <c r="V50" s="188">
        <f>$Z27*COS($T$50)-$AA27*SIN($T$50)</f>
        <v>-0.39029901616209306</v>
      </c>
      <c r="W50" s="188">
        <f>$Z27*SIN($T$50)+$AA27*COS($T$50)</f>
        <v>0.92068815457944408</v>
      </c>
      <c r="X50" s="188">
        <f>shadex($L$21,$M$21,0,$L$14,$Q$26,R26,0,V50,W50,0)</f>
        <v>0</v>
      </c>
      <c r="Z50" s="188">
        <f>$Z27*COS(-$T$50)-$AA27*SIN(-$T$50)</f>
        <v>0.80874100887743883</v>
      </c>
      <c r="AA50" s="188">
        <f>$Z27*SIN(-$T$50)+$AA27*COS(-$T$50)</f>
        <v>-0.58816492632585837</v>
      </c>
      <c r="AB50" s="188">
        <f>shadex($L$21,$M$21,0,$L$14,$Q$26,R26,0,Z50,AA50,0)</f>
        <v>0</v>
      </c>
    </row>
    <row r="51" spans="2:31" s="171" customFormat="1" x14ac:dyDescent="0.25">
      <c r="B51"/>
      <c r="C51" s="4"/>
      <c r="D51" s="96"/>
      <c r="E51" s="96"/>
      <c r="H51" s="4"/>
      <c r="I51" s="4"/>
      <c r="J51" s="64"/>
      <c r="K51"/>
      <c r="L51" s="66"/>
      <c r="T51" s="127"/>
      <c r="U51" s="127"/>
    </row>
    <row r="52" spans="2:31" x14ac:dyDescent="0.25">
      <c r="T52" s="127"/>
      <c r="U52" s="127"/>
      <c r="V52" s="171"/>
      <c r="W52" s="171"/>
      <c r="X52" s="171"/>
      <c r="Y52" s="171"/>
      <c r="Z52" s="171"/>
      <c r="AA52" s="171"/>
      <c r="AB52" s="171"/>
      <c r="AC52" s="171"/>
    </row>
    <row r="53" spans="2:31" x14ac:dyDescent="0.25">
      <c r="T53" s="171"/>
      <c r="U53" s="171"/>
      <c r="V53" s="171"/>
      <c r="W53" s="171"/>
      <c r="X53" s="171"/>
      <c r="Y53" s="171"/>
      <c r="Z53" s="171"/>
      <c r="AA53" s="171"/>
      <c r="AB53" s="171"/>
      <c r="AD53" s="9"/>
      <c r="AE53" s="9"/>
    </row>
    <row r="54" spans="2:31" x14ac:dyDescent="0.25">
      <c r="T54" s="171"/>
      <c r="U54" s="171"/>
      <c r="V54" s="171"/>
      <c r="W54" s="171"/>
      <c r="X54" s="171"/>
      <c r="Y54" s="171"/>
      <c r="Z54" s="171"/>
      <c r="AA54" s="171"/>
      <c r="AB54" s="171"/>
      <c r="AD54" s="9"/>
      <c r="AE54" s="9"/>
    </row>
    <row r="55" spans="2:31" x14ac:dyDescent="0.25">
      <c r="T55" s="171"/>
      <c r="U55" s="171"/>
      <c r="V55" s="171"/>
      <c r="W55" s="171"/>
      <c r="X55" s="171"/>
      <c r="Y55" s="171"/>
      <c r="Z55" s="171"/>
      <c r="AA55" s="171"/>
      <c r="AB55" s="171"/>
      <c r="AD55" s="9"/>
      <c r="AE55" s="9"/>
    </row>
    <row r="56" spans="2:31" x14ac:dyDescent="0.25">
      <c r="P56" s="128"/>
    </row>
  </sheetData>
  <pageMargins left="0.7" right="0.7" top="0.75" bottom="0.75" header="0.3" footer="0.3"/>
  <pageSetup paperSize="9" orientation="portrait" r:id="rId1"/>
  <ignoredErrors>
    <ignoredError sqref="L20:M20 L31:M31 L33 L36:M36 L39:M3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4D45-5F35-4E0F-AAB3-C9F009F4B34F}">
  <sheetPr codeName="Sheet9">
    <pageSetUpPr autoPageBreaks="0"/>
  </sheetPr>
  <dimension ref="B2:AI87"/>
  <sheetViews>
    <sheetView topLeftCell="B4" workbookViewId="0">
      <pane ySplit="6600" topLeftCell="A28" activePane="bottomLeft"/>
      <selection activeCell="P19" sqref="P19"/>
      <selection pane="bottomLeft" activeCell="AI59" sqref="AI59"/>
    </sheetView>
  </sheetViews>
  <sheetFormatPr defaultRowHeight="15" x14ac:dyDescent="0.25"/>
  <cols>
    <col min="2" max="2" width="8.7109375" customWidth="1"/>
    <col min="3" max="3" width="10.5703125" style="4" bestFit="1" customWidth="1"/>
    <col min="4" max="5" width="10.7109375" style="4" customWidth="1"/>
    <col min="6" max="6" width="10.7109375" style="3" customWidth="1"/>
    <col min="7" max="7" width="9.140625" style="3"/>
    <col min="8" max="8" width="12" style="4" bestFit="1" customWidth="1"/>
    <col min="9" max="9" width="9.140625" style="4"/>
    <col min="10" max="10" width="9.140625" style="64"/>
    <col min="12" max="12" width="9.140625" style="66"/>
    <col min="13" max="13" width="9.140625" style="4"/>
    <col min="15" max="18" width="9.140625" style="4"/>
    <col min="20" max="20" width="9.140625" style="4"/>
    <col min="24" max="25" width="9.140625" style="4"/>
  </cols>
  <sheetData>
    <row r="2" spans="2:26" x14ac:dyDescent="0.25">
      <c r="B2" s="159" t="s">
        <v>1</v>
      </c>
      <c r="C2" s="160" t="s">
        <v>0</v>
      </c>
      <c r="D2" s="160">
        <v>100</v>
      </c>
      <c r="E2" s="160"/>
      <c r="F2" s="161"/>
      <c r="G2" s="161"/>
      <c r="H2" s="162"/>
      <c r="I2" s="44"/>
      <c r="J2" s="105"/>
      <c r="K2" s="9"/>
      <c r="L2" s="44"/>
      <c r="M2" s="105"/>
      <c r="O2" s="10"/>
      <c r="P2" s="10"/>
      <c r="Q2" s="10"/>
      <c r="R2" s="64"/>
      <c r="V2" s="64"/>
    </row>
    <row r="3" spans="2:26" x14ac:dyDescent="0.25">
      <c r="C3" s="10"/>
      <c r="D3" s="10"/>
      <c r="G3" s="120"/>
      <c r="H3" s="10"/>
      <c r="I3" s="10"/>
      <c r="J3" s="105"/>
      <c r="K3" s="9"/>
      <c r="L3" s="104"/>
      <c r="M3" s="9"/>
      <c r="N3" s="9"/>
      <c r="O3" s="10"/>
      <c r="P3" s="10"/>
      <c r="Q3" s="10"/>
      <c r="R3" s="64"/>
      <c r="V3" s="64"/>
    </row>
    <row r="4" spans="2:26" x14ac:dyDescent="0.25">
      <c r="C4" s="10"/>
      <c r="D4" s="10"/>
      <c r="G4" s="120"/>
      <c r="H4" s="10"/>
      <c r="I4" s="10"/>
      <c r="J4" s="105"/>
      <c r="K4" s="9"/>
      <c r="L4" s="104"/>
      <c r="M4" s="9"/>
      <c r="N4" s="9"/>
      <c r="O4" s="10"/>
      <c r="P4" s="10"/>
      <c r="Q4" s="10"/>
      <c r="R4" s="64"/>
      <c r="V4" s="64"/>
      <c r="Z4" s="117"/>
    </row>
    <row r="5" spans="2:26" x14ac:dyDescent="0.25">
      <c r="B5" s="139" t="s">
        <v>15</v>
      </c>
      <c r="C5" s="48" t="s">
        <v>13</v>
      </c>
      <c r="D5" s="140">
        <f>D2</f>
        <v>100</v>
      </c>
      <c r="E5" s="140"/>
      <c r="F5" s="140"/>
      <c r="G5" s="135"/>
      <c r="H5" s="49"/>
      <c r="I5" s="10"/>
      <c r="J5" s="105"/>
      <c r="K5" s="9"/>
      <c r="L5" s="103"/>
      <c r="M5" s="9"/>
      <c r="N5" s="9"/>
      <c r="O5" s="10"/>
      <c r="P5" s="10"/>
      <c r="Q5" s="10"/>
      <c r="R5" s="64"/>
      <c r="V5" s="64"/>
    </row>
    <row r="6" spans="2:26" x14ac:dyDescent="0.25">
      <c r="B6" s="50"/>
      <c r="C6" s="10" t="s">
        <v>47</v>
      </c>
      <c r="D6" s="126">
        <f>D2*2</f>
        <v>200</v>
      </c>
      <c r="E6" s="126"/>
      <c r="F6" s="126"/>
      <c r="G6" s="13"/>
      <c r="H6" s="51"/>
      <c r="I6" s="10"/>
      <c r="J6" s="105"/>
      <c r="K6" s="9"/>
      <c r="L6" s="104"/>
      <c r="M6" s="9"/>
      <c r="N6" s="9"/>
      <c r="O6" s="10"/>
      <c r="P6" s="10"/>
      <c r="Q6" s="10"/>
      <c r="R6" s="64"/>
      <c r="V6" s="64"/>
    </row>
    <row r="7" spans="2:26" x14ac:dyDescent="0.25">
      <c r="B7" s="50"/>
      <c r="C7" s="121" t="s">
        <v>7</v>
      </c>
      <c r="D7" s="126">
        <f>-D6</f>
        <v>-200</v>
      </c>
      <c r="E7" s="126">
        <f>D6</f>
        <v>200</v>
      </c>
      <c r="F7" s="126">
        <v>0</v>
      </c>
      <c r="G7" s="13"/>
      <c r="H7" s="51"/>
      <c r="I7" s="10"/>
      <c r="J7" s="105"/>
      <c r="K7" s="9"/>
      <c r="L7" s="10"/>
      <c r="M7" s="62"/>
      <c r="N7" s="9"/>
      <c r="O7" s="10"/>
      <c r="P7" s="10"/>
      <c r="Q7" s="10"/>
      <c r="R7" s="64"/>
      <c r="V7" s="64"/>
    </row>
    <row r="8" spans="2:26" x14ac:dyDescent="0.25">
      <c r="B8" s="50"/>
      <c r="C8" s="121" t="s">
        <v>8</v>
      </c>
      <c r="D8" s="11">
        <v>0</v>
      </c>
      <c r="E8" s="11">
        <f>$E$7</f>
        <v>200</v>
      </c>
      <c r="F8" s="11">
        <v>200</v>
      </c>
      <c r="G8" s="13"/>
      <c r="H8" s="51"/>
      <c r="I8" s="10"/>
      <c r="J8" s="105"/>
      <c r="K8" s="9"/>
      <c r="L8" s="10"/>
      <c r="M8" s="62"/>
      <c r="N8" s="9"/>
      <c r="O8" s="10"/>
      <c r="P8" s="10"/>
      <c r="Q8" s="10"/>
      <c r="R8" s="64"/>
      <c r="V8" s="64"/>
    </row>
    <row r="9" spans="2:26" x14ac:dyDescent="0.25">
      <c r="B9" s="50"/>
      <c r="C9" s="122" t="s">
        <v>18</v>
      </c>
      <c r="D9" s="11">
        <f>D6</f>
        <v>200</v>
      </c>
      <c r="E9" s="11">
        <f>$E$7</f>
        <v>200</v>
      </c>
      <c r="F9" s="11">
        <v>0</v>
      </c>
      <c r="G9" s="13"/>
      <c r="H9" s="51"/>
      <c r="I9" s="10"/>
      <c r="J9" s="105"/>
      <c r="K9" s="9"/>
      <c r="L9" s="10"/>
      <c r="M9" s="62"/>
      <c r="N9" s="9"/>
      <c r="O9" s="10"/>
      <c r="P9" s="10"/>
      <c r="Q9" s="10"/>
      <c r="R9" s="64"/>
      <c r="V9" s="64"/>
    </row>
    <row r="10" spans="2:26" x14ac:dyDescent="0.25">
      <c r="B10" s="50"/>
      <c r="C10" s="122" t="s">
        <v>10</v>
      </c>
      <c r="D10" s="11">
        <v>0</v>
      </c>
      <c r="E10" s="11">
        <f>$E$7</f>
        <v>200</v>
      </c>
      <c r="F10" s="11">
        <v>-200</v>
      </c>
      <c r="G10" s="13"/>
      <c r="H10" s="51"/>
      <c r="I10" s="10"/>
      <c r="J10" s="105"/>
      <c r="K10" s="9"/>
      <c r="L10" s="10"/>
      <c r="M10" s="62"/>
      <c r="N10" s="9"/>
      <c r="O10" s="10"/>
      <c r="P10" s="10"/>
      <c r="Q10" s="10"/>
      <c r="R10" s="64"/>
      <c r="V10" s="64"/>
    </row>
    <row r="11" spans="2:26" x14ac:dyDescent="0.25">
      <c r="B11" s="50"/>
      <c r="C11" s="10"/>
      <c r="D11" s="10"/>
      <c r="E11" s="10"/>
      <c r="F11" s="13"/>
      <c r="G11" s="13"/>
      <c r="H11" s="51"/>
      <c r="I11" s="114"/>
      <c r="J11" s="62"/>
      <c r="K11" s="9"/>
      <c r="L11" s="10"/>
      <c r="M11" s="62"/>
      <c r="N11" s="9"/>
      <c r="O11" s="10"/>
      <c r="P11" s="10"/>
      <c r="Q11" s="10"/>
      <c r="R11" s="64"/>
      <c r="V11" s="64"/>
    </row>
    <row r="12" spans="2:26" x14ac:dyDescent="0.25">
      <c r="B12" s="50"/>
      <c r="C12" s="10" t="s">
        <v>86</v>
      </c>
      <c r="D12" s="10" t="s">
        <v>78</v>
      </c>
      <c r="E12" s="10" t="s">
        <v>80</v>
      </c>
      <c r="F12" s="13" t="s">
        <v>81</v>
      </c>
      <c r="G12" s="13" t="s">
        <v>10</v>
      </c>
      <c r="H12" s="51" t="s">
        <v>82</v>
      </c>
      <c r="I12" s="114"/>
      <c r="J12" s="62"/>
      <c r="K12" s="9"/>
      <c r="L12" s="10"/>
      <c r="M12" s="62"/>
      <c r="N12" s="9"/>
      <c r="O12" s="10"/>
      <c r="P12" s="10"/>
      <c r="Q12" s="10"/>
      <c r="R12" s="64"/>
      <c r="V12" s="64"/>
    </row>
    <row r="13" spans="2:26" x14ac:dyDescent="0.25">
      <c r="B13" s="50"/>
      <c r="C13" s="10" t="s">
        <v>7</v>
      </c>
      <c r="D13" s="11">
        <f>D7-D$31</f>
        <v>-156.25</v>
      </c>
      <c r="E13" s="11">
        <f>E7-E$31</f>
        <v>197.25</v>
      </c>
      <c r="F13" s="11">
        <f t="shared" ref="F13" si="0">F7-F$31</f>
        <v>-43.75</v>
      </c>
      <c r="G13" s="126">
        <f>SQRT(D13*D13+E13*E13+F13*F13)</f>
        <v>255.41277865447532</v>
      </c>
      <c r="H13" s="141">
        <f>1/G13</f>
        <v>3.9152308873034456E-3</v>
      </c>
      <c r="I13" s="114"/>
      <c r="J13" s="62"/>
      <c r="K13" s="9"/>
      <c r="L13" s="10"/>
      <c r="M13" s="62"/>
      <c r="N13" s="9"/>
      <c r="O13" s="10"/>
      <c r="P13" s="10"/>
      <c r="Q13" s="10"/>
      <c r="R13" s="64"/>
      <c r="V13" s="64"/>
    </row>
    <row r="14" spans="2:26" x14ac:dyDescent="0.25">
      <c r="B14" s="50"/>
      <c r="C14" s="10" t="s">
        <v>8</v>
      </c>
      <c r="D14" s="11">
        <f t="shared" ref="D14:F14" si="1">D8-D$31</f>
        <v>43.75</v>
      </c>
      <c r="E14" s="11">
        <f>E8-E$31</f>
        <v>197.25</v>
      </c>
      <c r="F14" s="11">
        <f t="shared" si="1"/>
        <v>156.25</v>
      </c>
      <c r="G14" s="126">
        <f t="shared" ref="G14:G16" si="2">SQRT(D14*D14+E14*E14+F14*F14)</f>
        <v>255.41277865447532</v>
      </c>
      <c r="H14" s="141">
        <f t="shared" ref="H14:H16" si="3">1/G14</f>
        <v>3.9152308873034456E-3</v>
      </c>
      <c r="I14" s="114"/>
      <c r="J14" s="62"/>
      <c r="K14" s="9"/>
      <c r="L14" s="10"/>
      <c r="M14" s="62"/>
      <c r="N14" s="9"/>
      <c r="O14" s="10"/>
      <c r="P14" s="10"/>
      <c r="Q14" s="10"/>
      <c r="R14" s="64"/>
      <c r="V14" s="64"/>
    </row>
    <row r="15" spans="2:26" x14ac:dyDescent="0.25">
      <c r="B15" s="50"/>
      <c r="C15" s="10" t="s">
        <v>18</v>
      </c>
      <c r="D15" s="11">
        <f t="shared" ref="D15:F15" si="4">D9-D$31</f>
        <v>243.75</v>
      </c>
      <c r="E15" s="11">
        <f>E9-E$31</f>
        <v>197.25</v>
      </c>
      <c r="F15" s="11">
        <f t="shared" si="4"/>
        <v>-43.75</v>
      </c>
      <c r="G15" s="126">
        <f t="shared" si="2"/>
        <v>316.60020135811664</v>
      </c>
      <c r="H15" s="141">
        <f t="shared" si="3"/>
        <v>3.1585576879304255E-3</v>
      </c>
      <c r="I15" s="114"/>
      <c r="J15" s="62"/>
      <c r="K15" s="9"/>
      <c r="L15" s="10"/>
      <c r="M15" s="62"/>
      <c r="N15" s="9"/>
      <c r="O15" s="10"/>
      <c r="P15" s="10"/>
      <c r="Q15" s="10"/>
      <c r="R15" s="64"/>
      <c r="V15" s="64"/>
    </row>
    <row r="16" spans="2:26" x14ac:dyDescent="0.25">
      <c r="B16" s="50"/>
      <c r="C16" s="10" t="s">
        <v>10</v>
      </c>
      <c r="D16" s="11">
        <f t="shared" ref="D16:F16" si="5">D10-D$31</f>
        <v>43.75</v>
      </c>
      <c r="E16" s="11">
        <f>E10-E$31</f>
        <v>197.25</v>
      </c>
      <c r="F16" s="11">
        <f t="shared" si="5"/>
        <v>-243.75</v>
      </c>
      <c r="G16" s="126">
        <f t="shared" si="2"/>
        <v>316.60020135811664</v>
      </c>
      <c r="H16" s="141">
        <f t="shared" si="3"/>
        <v>3.1585576879304255E-3</v>
      </c>
      <c r="I16" s="114"/>
      <c r="J16" s="62"/>
      <c r="K16" s="9"/>
      <c r="L16" s="10"/>
      <c r="M16" s="62"/>
      <c r="N16" s="9"/>
      <c r="O16" s="10"/>
      <c r="P16" s="10"/>
      <c r="Q16" s="10"/>
      <c r="R16" s="64"/>
      <c r="V16" s="64"/>
    </row>
    <row r="17" spans="2:28" x14ac:dyDescent="0.25">
      <c r="B17" s="50"/>
      <c r="C17" s="10"/>
      <c r="D17" s="10"/>
      <c r="E17" s="10"/>
      <c r="F17" s="13"/>
      <c r="G17" s="13"/>
      <c r="H17" s="51"/>
      <c r="I17" s="114"/>
      <c r="J17" s="62"/>
      <c r="K17" s="9"/>
      <c r="L17" s="10"/>
      <c r="M17" s="62"/>
      <c r="N17" s="9"/>
      <c r="O17" s="10"/>
      <c r="P17" s="10"/>
      <c r="Q17" s="10"/>
      <c r="R17" s="64"/>
      <c r="V17" s="64"/>
    </row>
    <row r="18" spans="2:28" x14ac:dyDescent="0.25">
      <c r="B18" s="50"/>
      <c r="C18" s="10" t="s">
        <v>86</v>
      </c>
      <c r="D18" s="10"/>
      <c r="E18" s="10"/>
      <c r="F18" s="13"/>
      <c r="G18" s="13"/>
      <c r="H18" s="51"/>
      <c r="I18" s="114"/>
      <c r="J18" s="62"/>
      <c r="K18" s="9"/>
      <c r="L18" s="10"/>
      <c r="M18" s="62"/>
      <c r="N18" s="9"/>
      <c r="O18" s="10"/>
      <c r="P18" s="10"/>
      <c r="Q18" s="10"/>
      <c r="R18" s="64"/>
      <c r="V18" s="64"/>
    </row>
    <row r="19" spans="2:28" x14ac:dyDescent="0.25">
      <c r="B19" s="50"/>
      <c r="C19" s="10" t="s">
        <v>7</v>
      </c>
      <c r="D19" s="126">
        <f>D13*$H$13</f>
        <v>-0.61175482614116339</v>
      </c>
      <c r="E19" s="126">
        <f t="shared" ref="E19:F19" si="6">E13*$H$13</f>
        <v>0.77227929252060468</v>
      </c>
      <c r="F19" s="126">
        <f t="shared" si="6"/>
        <v>-0.17129135131952575</v>
      </c>
      <c r="G19" s="13"/>
      <c r="H19" s="51"/>
      <c r="I19" s="114"/>
      <c r="J19" s="62"/>
      <c r="K19" s="9"/>
      <c r="L19" s="10"/>
      <c r="M19" s="62"/>
      <c r="N19" s="9"/>
      <c r="O19" s="10"/>
      <c r="P19" s="10"/>
      <c r="Q19" s="10"/>
      <c r="R19" s="64"/>
      <c r="V19" s="64"/>
    </row>
    <row r="20" spans="2:28" x14ac:dyDescent="0.25">
      <c r="B20" s="50"/>
      <c r="C20" s="10" t="s">
        <v>8</v>
      </c>
      <c r="D20" s="126">
        <f>D14*$H$14</f>
        <v>0.17129135131952575</v>
      </c>
      <c r="E20" s="126">
        <f>E14*$H$14</f>
        <v>0.77227929252060468</v>
      </c>
      <c r="F20" s="126">
        <f>F14*$H$14</f>
        <v>0.61175482614116339</v>
      </c>
      <c r="G20" s="13"/>
      <c r="H20" s="51"/>
      <c r="I20" s="114"/>
      <c r="J20" s="62"/>
      <c r="K20" s="9"/>
      <c r="L20" s="10"/>
      <c r="M20" s="62"/>
      <c r="N20" s="9"/>
      <c r="O20" s="10"/>
      <c r="P20" s="10"/>
      <c r="Q20" s="10"/>
      <c r="R20" s="64"/>
      <c r="V20" s="64"/>
    </row>
    <row r="21" spans="2:28" x14ac:dyDescent="0.25">
      <c r="B21" s="50"/>
      <c r="C21" s="10" t="s">
        <v>18</v>
      </c>
      <c r="D21" s="126">
        <f>D15*$H$15</f>
        <v>0.76989843643304123</v>
      </c>
      <c r="E21" s="126">
        <f>E15*$H$15</f>
        <v>0.62302550394427647</v>
      </c>
      <c r="F21" s="126">
        <f>F15*$H$15</f>
        <v>-0.13818689884695612</v>
      </c>
      <c r="G21" s="13"/>
      <c r="H21" s="51"/>
      <c r="I21" s="114"/>
      <c r="J21" s="62"/>
      <c r="K21" s="9"/>
      <c r="L21" s="10"/>
      <c r="M21" s="62"/>
      <c r="N21" s="9"/>
      <c r="O21" s="10"/>
      <c r="P21" s="10"/>
      <c r="Q21" s="10"/>
      <c r="R21" s="64">
        <f>I33</f>
        <v>0.33936310863914154</v>
      </c>
      <c r="V21" s="64"/>
      <c r="Z21" s="117">
        <f>I35</f>
        <v>0.15156935594954021</v>
      </c>
    </row>
    <row r="22" spans="2:28" x14ac:dyDescent="0.25">
      <c r="B22" s="52"/>
      <c r="C22" s="58" t="s">
        <v>10</v>
      </c>
      <c r="D22" s="142">
        <f>D16*$H$16</f>
        <v>0.13818689884695612</v>
      </c>
      <c r="E22" s="142">
        <f>E16*$H$16</f>
        <v>0.62302550394427647</v>
      </c>
      <c r="F22" s="142">
        <f>F16*$H$16</f>
        <v>-0.76989843643304123</v>
      </c>
      <c r="G22" s="138"/>
      <c r="H22" s="55"/>
      <c r="I22" s="9"/>
      <c r="J22" s="9"/>
      <c r="K22" s="9"/>
      <c r="L22" s="9"/>
      <c r="M22" s="9"/>
      <c r="N22" s="9"/>
      <c r="O22" s="10"/>
      <c r="P22" s="10"/>
      <c r="Q22" s="10"/>
      <c r="R22" s="64"/>
      <c r="V22" s="64"/>
    </row>
    <row r="23" spans="2:28" x14ac:dyDescent="0.25">
      <c r="H23" s="10"/>
      <c r="I23" s="9"/>
      <c r="J23" s="9"/>
      <c r="K23" s="9"/>
      <c r="L23" s="9"/>
      <c r="M23" s="9"/>
      <c r="N23" s="9"/>
      <c r="O23" s="10"/>
      <c r="P23" s="10"/>
      <c r="Q23" s="10"/>
      <c r="R23" s="64"/>
      <c r="V23" s="64"/>
    </row>
    <row r="24" spans="2:28" x14ac:dyDescent="0.25">
      <c r="H24" s="10"/>
      <c r="I24" s="9"/>
      <c r="J24" s="9"/>
      <c r="K24" s="9"/>
      <c r="L24" s="9"/>
      <c r="M24" s="9"/>
      <c r="N24" s="9"/>
      <c r="O24" s="10"/>
      <c r="P24" s="10"/>
      <c r="Q24" s="10"/>
      <c r="R24" s="64"/>
      <c r="V24" s="64"/>
    </row>
    <row r="25" spans="2:28" x14ac:dyDescent="0.25">
      <c r="B25" s="139" t="s">
        <v>49</v>
      </c>
      <c r="C25" s="48" t="s">
        <v>2</v>
      </c>
      <c r="D25" s="49">
        <v>1024</v>
      </c>
      <c r="E25" s="10"/>
      <c r="H25" s="10"/>
      <c r="I25" s="9"/>
      <c r="J25" s="9"/>
      <c r="K25" s="9"/>
      <c r="L25" s="9"/>
      <c r="M25" s="9"/>
      <c r="N25" s="9"/>
      <c r="O25" s="10"/>
      <c r="P25" s="10"/>
      <c r="Q25" s="10"/>
      <c r="R25" s="64"/>
      <c r="V25" s="64"/>
    </row>
    <row r="26" spans="2:28" s="1" customFormat="1" x14ac:dyDescent="0.25">
      <c r="B26" s="59"/>
      <c r="C26" s="10" t="s">
        <v>36</v>
      </c>
      <c r="D26" s="51">
        <v>64</v>
      </c>
      <c r="E26" s="10"/>
      <c r="F26" s="2"/>
      <c r="G26" s="2"/>
      <c r="H26" s="10"/>
      <c r="I26" s="9"/>
      <c r="J26" s="9"/>
      <c r="K26" s="9"/>
      <c r="L26" s="9"/>
      <c r="M26" s="9"/>
      <c r="N26" s="9"/>
      <c r="O26" s="10"/>
      <c r="P26" s="10"/>
      <c r="Q26" s="10"/>
      <c r="R26" s="64"/>
      <c r="T26" s="5"/>
      <c r="U26"/>
      <c r="V26" s="64"/>
      <c r="X26" s="5"/>
      <c r="Y26" s="5"/>
    </row>
    <row r="27" spans="2:28" x14ac:dyDescent="0.25">
      <c r="B27" s="50"/>
      <c r="C27" s="10" t="s">
        <v>37</v>
      </c>
      <c r="D27" s="51">
        <v>64</v>
      </c>
      <c r="E27" s="10"/>
      <c r="H27" s="10"/>
      <c r="I27" s="9"/>
      <c r="J27" s="9"/>
      <c r="K27" s="9"/>
      <c r="L27" s="9"/>
      <c r="M27" s="9"/>
      <c r="N27" s="9"/>
      <c r="O27" s="10"/>
      <c r="P27" s="10"/>
      <c r="Q27" s="10"/>
      <c r="R27" s="64"/>
      <c r="V27" s="64"/>
    </row>
    <row r="28" spans="2:28" x14ac:dyDescent="0.25">
      <c r="B28" s="52"/>
      <c r="C28" s="58" t="s">
        <v>68</v>
      </c>
      <c r="D28" s="94">
        <f>D2/D25</f>
        <v>9.765625E-2</v>
      </c>
      <c r="E28" s="10"/>
      <c r="H28" s="10"/>
      <c r="I28" s="9"/>
      <c r="J28" s="9"/>
      <c r="K28" s="9"/>
      <c r="L28" s="9"/>
      <c r="M28" s="9"/>
      <c r="N28" s="9"/>
      <c r="O28" s="10"/>
      <c r="P28" s="10"/>
      <c r="Q28" s="10"/>
      <c r="R28" s="62"/>
      <c r="S28" s="9"/>
      <c r="T28" s="10"/>
      <c r="U28" s="9"/>
      <c r="V28" s="62"/>
      <c r="W28" s="9"/>
    </row>
    <row r="29" spans="2:28" x14ac:dyDescent="0.25">
      <c r="C29" s="10"/>
      <c r="D29" s="114"/>
      <c r="E29" s="10"/>
      <c r="H29" s="10"/>
      <c r="I29" s="9"/>
      <c r="J29" s="9"/>
      <c r="K29" s="9"/>
      <c r="L29" s="9"/>
      <c r="M29" s="9"/>
      <c r="N29" s="9"/>
      <c r="O29" s="10"/>
      <c r="P29" s="10"/>
      <c r="Q29" s="10"/>
      <c r="R29" s="62"/>
      <c r="S29" s="9"/>
      <c r="T29" s="10"/>
      <c r="U29" s="9"/>
      <c r="V29" s="62"/>
      <c r="W29" s="9"/>
    </row>
    <row r="30" spans="2:28" x14ac:dyDescent="0.25">
      <c r="D30" s="114"/>
      <c r="E30" s="10"/>
      <c r="H30" s="10"/>
      <c r="I30" s="9"/>
      <c r="J30" s="9"/>
      <c r="K30" s="9"/>
      <c r="L30" s="9"/>
      <c r="M30" s="9"/>
      <c r="N30" s="9"/>
      <c r="O30"/>
      <c r="P30"/>
      <c r="Q30" s="10"/>
      <c r="R30" s="62"/>
      <c r="S30" s="9"/>
      <c r="T30" s="10"/>
      <c r="U30" s="9"/>
      <c r="V30" s="62"/>
      <c r="W30" s="9"/>
    </row>
    <row r="31" spans="2:28" s="3" customFormat="1" x14ac:dyDescent="0.25">
      <c r="B31" s="139" t="s">
        <v>43</v>
      </c>
      <c r="C31" s="48"/>
      <c r="D31" s="140">
        <f>D27*D28-D2/2</f>
        <v>-43.75</v>
      </c>
      <c r="E31" s="143">
        <v>2.75</v>
      </c>
      <c r="F31" s="87">
        <f>D2/2 - D26*D28</f>
        <v>43.75</v>
      </c>
      <c r="H31" s="106" t="s">
        <v>62</v>
      </c>
      <c r="I31" s="263" t="s">
        <v>75</v>
      </c>
      <c r="J31" s="263"/>
      <c r="K31" s="264"/>
      <c r="L31" s="9"/>
      <c r="M31" s="158" t="s">
        <v>105</v>
      </c>
      <c r="N31" s="48" t="s">
        <v>5</v>
      </c>
      <c r="O31" s="49" t="s">
        <v>6</v>
      </c>
      <c r="P31" s="4"/>
      <c r="Q31" s="106" t="s">
        <v>93</v>
      </c>
      <c r="R31" s="163"/>
      <c r="S31" s="169"/>
      <c r="T31" s="169"/>
      <c r="U31" s="87"/>
      <c r="V31" s="62"/>
      <c r="W31" s="180" t="s">
        <v>105</v>
      </c>
      <c r="X31" s="135" t="s">
        <v>5</v>
      </c>
      <c r="Y31" s="135" t="s">
        <v>6</v>
      </c>
      <c r="Z31" s="135"/>
      <c r="AA31" s="135" t="s">
        <v>5</v>
      </c>
      <c r="AB31" s="181" t="s">
        <v>6</v>
      </c>
    </row>
    <row r="32" spans="2:28" s="3" customFormat="1" x14ac:dyDescent="0.25">
      <c r="B32" s="50"/>
      <c r="C32" s="10"/>
      <c r="D32" s="10"/>
      <c r="E32" s="10"/>
      <c r="F32" s="144"/>
      <c r="H32" s="71"/>
      <c r="I32" s="10" t="s">
        <v>76</v>
      </c>
      <c r="J32" s="10" t="s">
        <v>77</v>
      </c>
      <c r="K32" s="51" t="s">
        <v>79</v>
      </c>
      <c r="L32" s="9"/>
      <c r="M32" s="155" t="s">
        <v>87</v>
      </c>
      <c r="N32" s="115">
        <f>D7</f>
        <v>-200</v>
      </c>
      <c r="O32" s="156">
        <f>E7</f>
        <v>200</v>
      </c>
      <c r="P32" s="117"/>
      <c r="Q32" s="71"/>
      <c r="R32" s="172"/>
      <c r="S32" s="121" t="s">
        <v>5</v>
      </c>
      <c r="T32" s="121" t="s">
        <v>6</v>
      </c>
      <c r="U32" s="93" t="s">
        <v>42</v>
      </c>
      <c r="V32" s="62"/>
      <c r="W32" s="146"/>
      <c r="X32" s="182">
        <f>S46+S48</f>
        <v>224.13128067566254</v>
      </c>
      <c r="Y32" s="182">
        <f>T48</f>
        <v>200</v>
      </c>
      <c r="Z32" s="13"/>
      <c r="AA32" s="182">
        <f>S46+S50</f>
        <v>309.5170028058098</v>
      </c>
      <c r="AB32" s="183">
        <f>T50</f>
        <v>200</v>
      </c>
    </row>
    <row r="33" spans="2:33" s="3" customFormat="1" x14ac:dyDescent="0.25">
      <c r="B33" s="59" t="s">
        <v>44</v>
      </c>
      <c r="C33" s="10"/>
      <c r="D33" s="126">
        <f>D41</f>
        <v>-0.17364817766693033</v>
      </c>
      <c r="E33" s="11">
        <f>D42</f>
        <v>0.98480775301220802</v>
      </c>
      <c r="F33" s="145">
        <f>D43</f>
        <v>0</v>
      </c>
      <c r="H33" s="71" t="s">
        <v>7</v>
      </c>
      <c r="I33" s="126">
        <f>shadex(D7,E7,F7,$D$5,$D$31,$E$31,$F$31,$D$33,$E$33,$F$33)</f>
        <v>0.33936310863914154</v>
      </c>
      <c r="J33" s="126">
        <f>shade(D7,E7,F7,1,$D$31,$E$31,$F$31,$D$33,$E$33,$F$33)</f>
        <v>0.8667767455034372</v>
      </c>
      <c r="K33" s="93">
        <f>shade(D7,E7,F7,1,$D$31,0,$F$31,$D$33,$E$33,$F$33)</f>
        <v>0.87012474651840821</v>
      </c>
      <c r="L33" s="9"/>
      <c r="M33" s="71"/>
      <c r="N33" s="115">
        <f>D31</f>
        <v>-43.75</v>
      </c>
      <c r="O33" s="156">
        <f>E31</f>
        <v>2.75</v>
      </c>
      <c r="P33" s="117"/>
      <c r="Q33" s="164" t="s">
        <v>43</v>
      </c>
      <c r="R33" s="13"/>
      <c r="S33" s="62">
        <f>D31</f>
        <v>-43.75</v>
      </c>
      <c r="T33" s="157">
        <f>E31</f>
        <v>2.75</v>
      </c>
      <c r="U33" s="90">
        <f>F31</f>
        <v>43.75</v>
      </c>
      <c r="V33" s="62"/>
      <c r="W33" s="184"/>
      <c r="X33" s="182">
        <f>$Q$57</f>
        <v>61.871843353822911</v>
      </c>
      <c r="Y33" s="182">
        <f>$R$57</f>
        <v>0</v>
      </c>
      <c r="Z33" s="13"/>
      <c r="AA33" s="182">
        <f>S46</f>
        <v>61.871843353822911</v>
      </c>
      <c r="AB33" s="183">
        <f>T46</f>
        <v>0</v>
      </c>
    </row>
    <row r="34" spans="2:33" s="3" customFormat="1" x14ac:dyDescent="0.25">
      <c r="B34" s="50"/>
      <c r="C34" s="10"/>
      <c r="D34" s="126"/>
      <c r="E34" s="10"/>
      <c r="F34" s="144"/>
      <c r="H34" s="71" t="s">
        <v>8</v>
      </c>
      <c r="I34" s="126">
        <f>shadex(D8,E8,F8,$D$5,$D$31,$E$31,$F$31,$D$33,$E$33,$F$33)</f>
        <v>0.28612593606640507</v>
      </c>
      <c r="J34" s="126">
        <f>shade(D8,E8,F8,1,$D$31,$E$31,$F$31,$D$33,$E$33,$F$33)</f>
        <v>0.73080220375833282</v>
      </c>
      <c r="K34" s="93">
        <f t="shared" ref="K34:K36" si="7">shade(D8,E8,F8,1,$D$31,0,$F$31,$D$33,$E$33,$F$33)</f>
        <v>0.73527461778708492</v>
      </c>
      <c r="L34" s="9"/>
      <c r="M34" s="71"/>
      <c r="N34" s="9"/>
      <c r="O34" s="72"/>
      <c r="P34"/>
      <c r="Q34" s="146"/>
      <c r="R34" s="10"/>
      <c r="S34" s="9"/>
      <c r="T34" s="10"/>
      <c r="U34" s="72"/>
      <c r="V34" s="9"/>
      <c r="W34" s="50"/>
      <c r="X34" s="62"/>
      <c r="Y34" s="62"/>
      <c r="Z34" s="9"/>
      <c r="AA34" s="62"/>
      <c r="AB34" s="90"/>
      <c r="AC34"/>
      <c r="AD34"/>
      <c r="AE34"/>
      <c r="AF34"/>
      <c r="AG34"/>
    </row>
    <row r="35" spans="2:33" s="3" customFormat="1" x14ac:dyDescent="0.25">
      <c r="B35" s="50"/>
      <c r="C35" s="121" t="s">
        <v>12</v>
      </c>
      <c r="D35" s="126"/>
      <c r="E35" s="10"/>
      <c r="F35" s="144"/>
      <c r="H35" s="71" t="s">
        <v>18</v>
      </c>
      <c r="I35" s="126">
        <f>shadex(D9,E9,F9,$D$5,$D$31,$E$31,$F$31,$D$33,$E$33,$F$33)</f>
        <v>0.15156935594954021</v>
      </c>
      <c r="J35" s="126">
        <f>shade(D9,E9,F9,1,$D$31,$E$31,$F$31,$D$33,$E$33,$F$33)</f>
        <v>0.47986888613344486</v>
      </c>
      <c r="K35" s="93">
        <f t="shared" si="7"/>
        <v>0.48578293475682233</v>
      </c>
      <c r="L35" s="9"/>
      <c r="M35" s="71" t="s">
        <v>88</v>
      </c>
      <c r="N35" s="115">
        <v>0</v>
      </c>
      <c r="O35" s="156">
        <f>E7</f>
        <v>200</v>
      </c>
      <c r="P35" s="115"/>
      <c r="Q35" s="71"/>
      <c r="R35" s="10"/>
      <c r="S35" s="121" t="s">
        <v>62</v>
      </c>
      <c r="T35" s="13"/>
      <c r="U35" s="72"/>
      <c r="V35" s="9"/>
      <c r="W35" s="50"/>
      <c r="X35" s="182">
        <f>$Q$57</f>
        <v>61.871843353822911</v>
      </c>
      <c r="Y35" s="182">
        <f>$R$57</f>
        <v>0</v>
      </c>
      <c r="Z35" s="9"/>
      <c r="AA35" s="182">
        <f>$S$46</f>
        <v>61.871843353822911</v>
      </c>
      <c r="AB35" s="183">
        <f>$T$46</f>
        <v>0</v>
      </c>
      <c r="AC35"/>
      <c r="AD35"/>
      <c r="AE35"/>
      <c r="AF35"/>
      <c r="AG35"/>
    </row>
    <row r="36" spans="2:33" s="3" customFormat="1" x14ac:dyDescent="0.25">
      <c r="B36" s="146"/>
      <c r="C36" s="10" t="s">
        <v>103</v>
      </c>
      <c r="D36" s="11">
        <v>10</v>
      </c>
      <c r="E36" s="10"/>
      <c r="F36" s="147"/>
      <c r="H36" s="73" t="s">
        <v>10</v>
      </c>
      <c r="I36" s="142">
        <f>shadex(D10,E10,F10,$D$5,$D$31,$E$31,$F$31,$D$33,$E$33,$F$33)</f>
        <v>0.18621733053781853</v>
      </c>
      <c r="J36" s="142">
        <f>shade(D10,E10,F10,1,$D$31,$E$31,$F$31,$D$33,$E$33,$F$33)</f>
        <v>0.5895644434464431</v>
      </c>
      <c r="K36" s="94">
        <f t="shared" si="7"/>
        <v>0.59488556544807947</v>
      </c>
      <c r="L36" s="9"/>
      <c r="M36" s="71"/>
      <c r="N36" s="115">
        <v>0</v>
      </c>
      <c r="O36" s="156">
        <f>E11</f>
        <v>0</v>
      </c>
      <c r="P36" s="115"/>
      <c r="Q36" s="71" t="s">
        <v>62</v>
      </c>
      <c r="R36" s="13" t="s">
        <v>7</v>
      </c>
      <c r="S36" s="165">
        <f>I33</f>
        <v>0.33936310863914154</v>
      </c>
      <c r="T36" s="13"/>
      <c r="U36" s="72"/>
      <c r="V36" s="9"/>
      <c r="W36" s="146"/>
      <c r="X36" s="182">
        <f>$Q$57+W57*30</f>
        <v>80.772737942556461</v>
      </c>
      <c r="Y36" s="182">
        <f>$R$57+X57*30</f>
        <v>23.297128229581926</v>
      </c>
      <c r="Z36" s="13"/>
      <c r="AA36" s="182">
        <f>$S$46+W73*30</f>
        <v>85.211050309963412</v>
      </c>
      <c r="AB36" s="183">
        <f>X73*30</f>
        <v>18.848910277743979</v>
      </c>
    </row>
    <row r="37" spans="2:33" s="3" customFormat="1" x14ac:dyDescent="0.25">
      <c r="B37" s="50"/>
      <c r="C37" s="10" t="s">
        <v>70</v>
      </c>
      <c r="D37" s="11">
        <v>0</v>
      </c>
      <c r="E37" s="148"/>
      <c r="F37" s="147"/>
      <c r="H37" s="4"/>
      <c r="I37"/>
      <c r="J37"/>
      <c r="K37"/>
      <c r="L37"/>
      <c r="M37" s="71"/>
      <c r="N37" s="9"/>
      <c r="O37" s="72"/>
      <c r="P37"/>
      <c r="Q37" s="71"/>
      <c r="R37" s="10" t="s">
        <v>18</v>
      </c>
      <c r="S37" s="165">
        <f>I35</f>
        <v>0.15156935594954021</v>
      </c>
      <c r="T37" s="13"/>
      <c r="U37" s="72"/>
      <c r="V37" s="9"/>
      <c r="W37" s="146"/>
      <c r="X37" s="62"/>
      <c r="Y37" s="62"/>
      <c r="Z37" s="9"/>
      <c r="AA37" s="62"/>
      <c r="AB37" s="90"/>
      <c r="AC37"/>
      <c r="AD37"/>
      <c r="AE37"/>
      <c r="AF37"/>
      <c r="AG37"/>
    </row>
    <row r="38" spans="2:33" x14ac:dyDescent="0.25">
      <c r="B38" s="50"/>
      <c r="C38" s="10" t="s">
        <v>71</v>
      </c>
      <c r="D38" s="126">
        <f>-SIN(RADIANS(D36))</f>
        <v>-0.17364817766693033</v>
      </c>
      <c r="E38" s="119" t="s">
        <v>94</v>
      </c>
      <c r="F38" s="144"/>
      <c r="G38" s="6"/>
      <c r="H38" s="152" t="s">
        <v>91</v>
      </c>
      <c r="I38" s="48" t="s">
        <v>7</v>
      </c>
      <c r="J38" s="153">
        <f>D19*$D$33+E19*$E$33+F19*$F$33</f>
        <v>0.86677674550343731</v>
      </c>
      <c r="L38"/>
      <c r="M38" s="71" t="s">
        <v>89</v>
      </c>
      <c r="N38" s="115">
        <f>D31</f>
        <v>-43.75</v>
      </c>
      <c r="O38" s="156">
        <f>E31</f>
        <v>2.75</v>
      </c>
      <c r="P38" s="115"/>
      <c r="Q38" s="71"/>
      <c r="R38" s="10"/>
      <c r="S38" s="166"/>
      <c r="T38" s="166"/>
      <c r="U38" s="167"/>
      <c r="V38" s="9"/>
      <c r="W38" s="146"/>
      <c r="X38" s="182">
        <f>$Q$57</f>
        <v>61.871843353822911</v>
      </c>
      <c r="Y38" s="182">
        <f>$R$57</f>
        <v>0</v>
      </c>
      <c r="Z38" s="9"/>
      <c r="AA38" s="182">
        <f>$S$46</f>
        <v>61.871843353822911</v>
      </c>
      <c r="AB38" s="183">
        <f>$T$46</f>
        <v>0</v>
      </c>
    </row>
    <row r="39" spans="2:33" x14ac:dyDescent="0.25">
      <c r="B39" s="50"/>
      <c r="C39" s="10" t="s">
        <v>72</v>
      </c>
      <c r="D39" s="126">
        <f>COS(RADIANS(D36))</f>
        <v>0.98480775301220802</v>
      </c>
      <c r="E39" s="119" t="s">
        <v>95</v>
      </c>
      <c r="F39" s="144"/>
      <c r="G39" s="6"/>
      <c r="H39" s="154"/>
      <c r="I39" s="10" t="s">
        <v>8</v>
      </c>
      <c r="J39" s="93">
        <f t="shared" ref="J39:J41" si="8">D20*$D$33+E20*$E$33+F20*$F$33</f>
        <v>0.73080220375833282</v>
      </c>
      <c r="L39"/>
      <c r="M39" s="71"/>
      <c r="N39" s="115">
        <f>D31+D19*D45</f>
        <v>-62.102644784234897</v>
      </c>
      <c r="O39" s="156">
        <f>E31+E19*D45</f>
        <v>25.918378775618141</v>
      </c>
      <c r="P39" s="115"/>
      <c r="Q39" s="71"/>
      <c r="R39" s="10"/>
      <c r="S39" s="166" t="s">
        <v>5</v>
      </c>
      <c r="T39" s="166" t="s">
        <v>6</v>
      </c>
      <c r="U39" s="167" t="s">
        <v>42</v>
      </c>
      <c r="V39" s="9"/>
      <c r="W39" s="146"/>
      <c r="X39" s="62">
        <f>$Q$57+AB57*30</f>
        <v>56.174468586550681</v>
      </c>
      <c r="Y39" s="62">
        <f>$R$57+AC57*30</f>
        <v>29.454030636930661</v>
      </c>
      <c r="Z39" s="9"/>
      <c r="AA39" s="62">
        <f>$S$46+AB73*30</f>
        <v>49.945591166305157</v>
      </c>
      <c r="AB39" s="90">
        <f>AC73*30</f>
        <v>27.527522750144591</v>
      </c>
    </row>
    <row r="40" spans="2:33" s="3" customFormat="1" x14ac:dyDescent="0.25">
      <c r="B40" s="59"/>
      <c r="C40" s="10" t="s">
        <v>73</v>
      </c>
      <c r="D40" s="126">
        <v>0</v>
      </c>
      <c r="E40" s="148" t="s">
        <v>104</v>
      </c>
      <c r="F40" s="144"/>
      <c r="G40" s="6"/>
      <c r="H40" s="154"/>
      <c r="I40" s="10" t="s">
        <v>18</v>
      </c>
      <c r="J40" s="93">
        <f t="shared" si="8"/>
        <v>0.47986888613344481</v>
      </c>
      <c r="K40"/>
      <c r="L40"/>
      <c r="M40" s="71"/>
      <c r="N40" s="115"/>
      <c r="O40" s="156"/>
      <c r="P40" s="115"/>
      <c r="Q40" s="71" t="s">
        <v>52</v>
      </c>
      <c r="R40" s="10" t="s">
        <v>7</v>
      </c>
      <c r="S40" s="166">
        <f>D7</f>
        <v>-200</v>
      </c>
      <c r="T40" s="166">
        <f>E7</f>
        <v>200</v>
      </c>
      <c r="U40" s="167">
        <f>F7</f>
        <v>0</v>
      </c>
      <c r="V40" s="9"/>
      <c r="W40" s="146"/>
      <c r="X40" s="182"/>
      <c r="Y40" s="182"/>
      <c r="Z40" s="13"/>
      <c r="AA40" s="182"/>
      <c r="AB40" s="183"/>
    </row>
    <row r="41" spans="2:33" x14ac:dyDescent="0.25">
      <c r="B41" s="50"/>
      <c r="C41" s="10" t="s">
        <v>5</v>
      </c>
      <c r="D41" s="11">
        <f>D38</f>
        <v>-0.17364817766693033</v>
      </c>
      <c r="E41" s="148" t="s">
        <v>84</v>
      </c>
      <c r="F41" s="147"/>
      <c r="H41" s="73"/>
      <c r="I41" s="58" t="s">
        <v>10</v>
      </c>
      <c r="J41" s="94">
        <f t="shared" si="8"/>
        <v>0.5895644434464431</v>
      </c>
      <c r="L41"/>
      <c r="M41" s="71" t="s">
        <v>44</v>
      </c>
      <c r="N41" s="115">
        <f>D31</f>
        <v>-43.75</v>
      </c>
      <c r="O41" s="156">
        <f>E31</f>
        <v>2.75</v>
      </c>
      <c r="P41" s="115"/>
      <c r="Q41" s="71"/>
      <c r="R41" s="10" t="s">
        <v>18</v>
      </c>
      <c r="S41" s="166">
        <f>D9</f>
        <v>200</v>
      </c>
      <c r="T41" s="166">
        <f>E9</f>
        <v>200</v>
      </c>
      <c r="U41" s="167">
        <f>F9</f>
        <v>0</v>
      </c>
      <c r="V41" s="9"/>
      <c r="W41" s="146"/>
      <c r="X41" s="182">
        <f>$Q$57</f>
        <v>61.871843353822911</v>
      </c>
      <c r="Y41" s="182">
        <f>$R$57</f>
        <v>0</v>
      </c>
      <c r="Z41" s="13"/>
      <c r="AA41" s="182">
        <f>$S$46</f>
        <v>61.871843353822911</v>
      </c>
      <c r="AB41" s="183">
        <v>0</v>
      </c>
      <c r="AC41" s="3"/>
      <c r="AD41" s="3"/>
      <c r="AE41" s="3"/>
      <c r="AF41" s="3"/>
      <c r="AG41" s="3"/>
    </row>
    <row r="42" spans="2:33" x14ac:dyDescent="0.25">
      <c r="B42" s="50"/>
      <c r="C42" s="10" t="s">
        <v>6</v>
      </c>
      <c r="D42" s="11">
        <f>D39</f>
        <v>0.98480775301220802</v>
      </c>
      <c r="E42" s="148" t="s">
        <v>85</v>
      </c>
      <c r="F42" s="147"/>
      <c r="J42" s="124"/>
      <c r="M42" s="71"/>
      <c r="N42" s="115">
        <f>D31+D33*D45</f>
        <v>-48.95944533000791</v>
      </c>
      <c r="O42" s="156">
        <f>E31+E33*D45</f>
        <v>32.294232590366242</v>
      </c>
      <c r="P42" s="115"/>
      <c r="Q42" s="71"/>
      <c r="R42" s="10"/>
      <c r="S42" s="166"/>
      <c r="T42" s="166"/>
      <c r="U42" s="167"/>
      <c r="V42" s="9"/>
      <c r="W42" s="185"/>
      <c r="X42" s="186">
        <f>$Q$57+AE57*30</f>
        <v>91.867739828353706</v>
      </c>
      <c r="Y42" s="186">
        <f>$R$57+AF57*30</f>
        <v>0.49618009757687209</v>
      </c>
      <c r="Z42" s="138"/>
      <c r="AA42" s="186">
        <f>$S$46+AE73*30</f>
        <v>86.272359073167365</v>
      </c>
      <c r="AB42" s="187">
        <f>AF73*30</f>
        <v>-17.453218403206456</v>
      </c>
      <c r="AC42" s="3"/>
      <c r="AD42" s="3"/>
      <c r="AE42" s="3"/>
      <c r="AF42" s="3"/>
      <c r="AG42" s="3"/>
    </row>
    <row r="43" spans="2:33" s="3" customFormat="1" x14ac:dyDescent="0.25">
      <c r="B43" s="50"/>
      <c r="C43" s="10" t="s">
        <v>42</v>
      </c>
      <c r="D43" s="11">
        <f>D40</f>
        <v>0</v>
      </c>
      <c r="E43" s="148" t="s">
        <v>83</v>
      </c>
      <c r="F43" s="147"/>
      <c r="H43" s="4"/>
      <c r="I43" s="4"/>
      <c r="J43" s="125"/>
      <c r="K43"/>
      <c r="L43" s="66"/>
      <c r="M43" s="71"/>
      <c r="N43" s="9"/>
      <c r="O43" s="51"/>
      <c r="P43" s="4"/>
      <c r="Q43" s="71" t="s">
        <v>15</v>
      </c>
      <c r="R43" s="10" t="s">
        <v>13</v>
      </c>
      <c r="S43" s="168">
        <f>$D$5</f>
        <v>100</v>
      </c>
      <c r="T43" s="166"/>
      <c r="U43" s="167"/>
      <c r="V43" s="9"/>
      <c r="W43" s="13"/>
      <c r="X43" s="127"/>
      <c r="Y43" s="127"/>
    </row>
    <row r="44" spans="2:33" s="3" customFormat="1" x14ac:dyDescent="0.25">
      <c r="B44" s="50"/>
      <c r="C44" s="10"/>
      <c r="D44" s="149"/>
      <c r="E44" s="149"/>
      <c r="F44" s="144"/>
      <c r="H44" s="4"/>
      <c r="I44" s="4"/>
      <c r="J44" s="64"/>
      <c r="K44"/>
      <c r="L44" s="66"/>
      <c r="M44" s="71" t="s">
        <v>90</v>
      </c>
      <c r="N44" s="9">
        <f>D31-E33*D45</f>
        <v>-73.294232590366249</v>
      </c>
      <c r="O44" s="51">
        <f>E31+D33*D45</f>
        <v>-2.4594453300079095</v>
      </c>
      <c r="P44" s="4"/>
      <c r="Q44" s="71"/>
      <c r="R44" s="10"/>
      <c r="S44" s="166"/>
      <c r="T44" s="166"/>
      <c r="U44" s="167"/>
      <c r="V44" s="9"/>
      <c r="W44" s="9"/>
      <c r="X44" s="127"/>
      <c r="Y44" s="127"/>
    </row>
    <row r="45" spans="2:33" s="3" customFormat="1" x14ac:dyDescent="0.25">
      <c r="B45" s="52"/>
      <c r="C45" s="58" t="s">
        <v>61</v>
      </c>
      <c r="D45" s="150">
        <v>30</v>
      </c>
      <c r="E45" s="150"/>
      <c r="F45" s="151"/>
      <c r="H45" s="4"/>
      <c r="I45" s="4"/>
      <c r="J45" s="64"/>
      <c r="K45"/>
      <c r="L45" s="66"/>
      <c r="M45" s="73"/>
      <c r="N45" s="57">
        <f>D31+E33*D45</f>
        <v>-14.205767409633758</v>
      </c>
      <c r="O45" s="55">
        <f>E31-D33*D45</f>
        <v>7.9594453300079095</v>
      </c>
      <c r="P45" s="4"/>
      <c r="Q45" s="71"/>
      <c r="R45" s="10"/>
      <c r="S45" s="166" t="s">
        <v>5</v>
      </c>
      <c r="T45" s="166" t="s">
        <v>6</v>
      </c>
      <c r="U45" s="51"/>
      <c r="V45" s="9"/>
      <c r="W45" s="13"/>
      <c r="X45" s="127"/>
      <c r="Y45" s="127"/>
    </row>
    <row r="46" spans="2:33" s="3" customFormat="1" x14ac:dyDescent="0.25">
      <c r="B46"/>
      <c r="C46" s="4"/>
      <c r="D46" s="96"/>
      <c r="E46" s="96"/>
      <c r="H46" s="4"/>
      <c r="I46" s="4"/>
      <c r="J46" s="64"/>
      <c r="K46"/>
      <c r="L46" s="66"/>
      <c r="M46" s="4"/>
      <c r="N46"/>
      <c r="O46" s="4"/>
      <c r="P46" s="4"/>
      <c r="Q46" s="75" t="s">
        <v>92</v>
      </c>
      <c r="R46" s="123" t="s">
        <v>43</v>
      </c>
      <c r="S46" s="166">
        <f>SQRT(S33*S33+U33*U33)</f>
        <v>61.871843353822911</v>
      </c>
      <c r="T46" s="166">
        <v>0</v>
      </c>
      <c r="U46" s="72"/>
      <c r="V46" s="9"/>
      <c r="W46" s="13"/>
      <c r="X46" s="127"/>
      <c r="Y46" s="127"/>
    </row>
    <row r="47" spans="2:33" s="3" customFormat="1" x14ac:dyDescent="0.25">
      <c r="B47"/>
      <c r="C47" s="4"/>
      <c r="D47" s="96"/>
      <c r="E47" s="96"/>
      <c r="H47" s="4"/>
      <c r="I47" s="4"/>
      <c r="J47" s="64"/>
      <c r="K47"/>
      <c r="L47" s="66"/>
      <c r="M47" s="4"/>
      <c r="N47"/>
      <c r="O47" s="4"/>
      <c r="P47" s="4"/>
      <c r="Q47" s="71"/>
      <c r="R47" s="123"/>
      <c r="S47" s="13"/>
      <c r="T47" s="13"/>
      <c r="U47" s="72"/>
      <c r="V47" s="9"/>
      <c r="W47" s="13"/>
      <c r="X47" s="127"/>
      <c r="Y47" s="127"/>
    </row>
    <row r="48" spans="2:33" s="3" customFormat="1" x14ac:dyDescent="0.25">
      <c r="B48"/>
      <c r="C48" s="4"/>
      <c r="D48" s="96"/>
      <c r="E48" s="96"/>
      <c r="H48" s="4"/>
      <c r="I48" s="4"/>
      <c r="J48" s="64"/>
      <c r="K48"/>
      <c r="L48" s="66"/>
      <c r="M48" s="4"/>
      <c r="N48"/>
      <c r="O48" s="4"/>
      <c r="P48" s="4"/>
      <c r="Q48" s="71"/>
      <c r="R48" s="123" t="s">
        <v>14</v>
      </c>
      <c r="S48" s="168">
        <f>SQRT(S49*S49+U49*U49)</f>
        <v>162.25943732183961</v>
      </c>
      <c r="T48" s="168">
        <f>T40</f>
        <v>200</v>
      </c>
      <c r="U48" s="72"/>
      <c r="V48" s="9"/>
      <c r="W48" s="13"/>
      <c r="X48" s="127"/>
      <c r="Y48" s="127"/>
    </row>
    <row r="49" spans="2:35" s="3" customFormat="1" x14ac:dyDescent="0.25">
      <c r="B49"/>
      <c r="C49" s="4"/>
      <c r="D49" s="96"/>
      <c r="E49" s="96"/>
      <c r="H49" s="4"/>
      <c r="I49" s="4"/>
      <c r="J49" s="64"/>
      <c r="K49"/>
      <c r="L49" s="66"/>
      <c r="M49" s="4"/>
      <c r="N49"/>
      <c r="O49" s="4"/>
      <c r="P49" s="4"/>
      <c r="Q49" s="71"/>
      <c r="R49" s="123"/>
      <c r="S49" s="178">
        <f>S40-S33</f>
        <v>-156.25</v>
      </c>
      <c r="T49" s="178">
        <f>T40</f>
        <v>200</v>
      </c>
      <c r="U49" s="179">
        <f>U40-U33</f>
        <v>-43.75</v>
      </c>
      <c r="V49" s="9"/>
      <c r="W49" s="13"/>
      <c r="X49" s="127"/>
      <c r="Y49" s="127"/>
      <c r="Z49" s="171"/>
      <c r="AA49" s="171"/>
      <c r="AB49" s="171"/>
      <c r="AC49" s="171"/>
      <c r="AD49" s="171"/>
      <c r="AE49" s="171"/>
      <c r="AF49" s="171"/>
      <c r="AG49" s="171"/>
    </row>
    <row r="50" spans="2:35" s="3" customFormat="1" x14ac:dyDescent="0.25">
      <c r="B50"/>
      <c r="C50" s="4"/>
      <c r="D50" s="96"/>
      <c r="E50" s="96"/>
      <c r="H50" s="4"/>
      <c r="I50" s="4"/>
      <c r="J50" s="64"/>
      <c r="K50"/>
      <c r="L50" s="66"/>
      <c r="M50" s="4"/>
      <c r="N50"/>
      <c r="O50" s="4"/>
      <c r="P50" s="4"/>
      <c r="Q50" s="71"/>
      <c r="R50" s="10" t="s">
        <v>16</v>
      </c>
      <c r="S50" s="168">
        <f>SQRT(S51*S51+U51*U51)</f>
        <v>247.64515945198687</v>
      </c>
      <c r="T50" s="168">
        <f>T41</f>
        <v>200</v>
      </c>
      <c r="U50" s="51"/>
      <c r="V50" s="9"/>
      <c r="W50" s="13"/>
      <c r="X50" s="127"/>
      <c r="Y50" s="127"/>
    </row>
    <row r="51" spans="2:35" s="3" customFormat="1" x14ac:dyDescent="0.25">
      <c r="B51"/>
      <c r="C51" s="4"/>
      <c r="D51" s="96"/>
      <c r="E51" s="96"/>
      <c r="H51" s="4"/>
      <c r="I51" s="4"/>
      <c r="J51" s="64"/>
      <c r="K51"/>
      <c r="L51" s="66"/>
      <c r="M51" s="4"/>
      <c r="N51"/>
      <c r="O51" s="4"/>
      <c r="P51" s="4"/>
      <c r="Q51" s="71"/>
      <c r="R51" s="10"/>
      <c r="S51" s="178">
        <f>S41-S33</f>
        <v>243.75</v>
      </c>
      <c r="T51" s="178">
        <f>T41</f>
        <v>200</v>
      </c>
      <c r="U51" s="179">
        <f>U41-U33</f>
        <v>-43.75</v>
      </c>
      <c r="V51" s="9"/>
      <c r="X51" s="127"/>
      <c r="Y51" s="127"/>
    </row>
    <row r="52" spans="2:35" s="3" customFormat="1" x14ac:dyDescent="0.25">
      <c r="B52"/>
      <c r="C52" s="4"/>
      <c r="D52" s="96"/>
      <c r="E52" s="96"/>
      <c r="H52" s="4"/>
      <c r="I52" s="4"/>
      <c r="J52" s="64"/>
      <c r="K52"/>
      <c r="L52" s="66"/>
      <c r="M52" s="4"/>
      <c r="N52"/>
      <c r="O52" s="4"/>
      <c r="P52" s="4"/>
      <c r="Q52" s="146"/>
      <c r="R52" s="13"/>
      <c r="S52" s="13"/>
      <c r="T52" s="166"/>
      <c r="U52" s="72"/>
      <c r="V52"/>
      <c r="X52" s="127"/>
      <c r="Y52" s="127"/>
    </row>
    <row r="53" spans="2:35" s="3" customFormat="1" x14ac:dyDescent="0.25">
      <c r="B53"/>
      <c r="C53" s="4"/>
      <c r="D53" s="96"/>
      <c r="E53" s="96"/>
      <c r="H53" s="4"/>
      <c r="I53" s="4"/>
      <c r="J53" s="64"/>
      <c r="K53"/>
      <c r="L53" s="66"/>
      <c r="M53" s="4"/>
      <c r="N53"/>
      <c r="O53" s="4"/>
      <c r="P53" s="4"/>
      <c r="Q53" s="71" t="s">
        <v>102</v>
      </c>
      <c r="R53" s="148" t="s">
        <v>94</v>
      </c>
      <c r="S53" s="166"/>
      <c r="T53" s="166"/>
      <c r="U53" s="72"/>
      <c r="V53"/>
      <c r="X53" s="127"/>
      <c r="Y53" s="127"/>
    </row>
    <row r="54" spans="2:35" s="3" customFormat="1" x14ac:dyDescent="0.25">
      <c r="B54"/>
      <c r="C54" s="4"/>
      <c r="D54" s="96"/>
      <c r="E54" s="96"/>
      <c r="H54" s="4"/>
      <c r="I54" s="4"/>
      <c r="J54" s="64"/>
      <c r="K54"/>
      <c r="L54" s="66"/>
      <c r="M54" s="4"/>
      <c r="N54"/>
      <c r="O54" s="4"/>
      <c r="P54" s="4"/>
      <c r="Q54" s="73"/>
      <c r="R54" s="177" t="s">
        <v>95</v>
      </c>
      <c r="S54" s="136"/>
      <c r="T54" s="136"/>
      <c r="U54" s="55"/>
      <c r="V54" s="4"/>
      <c r="X54" s="64"/>
      <c r="Y54" s="64"/>
      <c r="Z54" s="4"/>
      <c r="AA54" s="4"/>
      <c r="AB54" s="4"/>
      <c r="AC54"/>
      <c r="AD54"/>
      <c r="AE54"/>
      <c r="AF54"/>
      <c r="AG54"/>
    </row>
    <row r="55" spans="2:35" s="3" customFormat="1" x14ac:dyDescent="0.25">
      <c r="B55"/>
      <c r="C55" s="4"/>
      <c r="D55" s="96"/>
      <c r="E55" s="96"/>
      <c r="H55" s="4"/>
      <c r="I55" s="4"/>
      <c r="J55" s="64"/>
      <c r="K55"/>
      <c r="L55" s="66"/>
      <c r="M55" s="4"/>
      <c r="N55"/>
      <c r="O55" s="4"/>
      <c r="P55" s="4"/>
      <c r="Q55" s="4"/>
      <c r="R55" s="4"/>
      <c r="S55" s="4"/>
      <c r="T55" s="4"/>
      <c r="U55" s="4"/>
      <c r="V55" s="4"/>
      <c r="AA55" s="3" t="s">
        <v>106</v>
      </c>
      <c r="AB55" s="265" t="s">
        <v>100</v>
      </c>
      <c r="AC55" s="265"/>
      <c r="AE55" s="265" t="s">
        <v>101</v>
      </c>
      <c r="AF55" s="265"/>
    </row>
    <row r="56" spans="2:35" s="3" customFormat="1" x14ac:dyDescent="0.25">
      <c r="B56"/>
      <c r="C56" s="4"/>
      <c r="D56" s="96"/>
      <c r="E56" s="96"/>
      <c r="H56" s="4"/>
      <c r="I56" s="4"/>
      <c r="J56" s="64"/>
      <c r="K56"/>
      <c r="L56" s="66"/>
      <c r="M56" s="4"/>
      <c r="N56"/>
      <c r="O56" s="4"/>
      <c r="P56" s="4"/>
      <c r="Q56" s="8" t="s">
        <v>5</v>
      </c>
      <c r="R56" s="8" t="s">
        <v>6</v>
      </c>
      <c r="S56" s="4" t="s">
        <v>78</v>
      </c>
      <c r="T56" s="3" t="s">
        <v>80</v>
      </c>
      <c r="U56" s="4" t="s">
        <v>10</v>
      </c>
      <c r="V56" s="4" t="s">
        <v>82</v>
      </c>
      <c r="W56" s="3" t="s">
        <v>96</v>
      </c>
      <c r="X56" s="3" t="s">
        <v>97</v>
      </c>
      <c r="Z56" s="3" t="s">
        <v>99</v>
      </c>
      <c r="AA56" s="3">
        <v>50</v>
      </c>
      <c r="AB56" s="3" t="s">
        <v>5</v>
      </c>
      <c r="AC56" s="3" t="s">
        <v>6</v>
      </c>
      <c r="AD56" s="3" t="s">
        <v>98</v>
      </c>
      <c r="AE56" s="3" t="s">
        <v>5</v>
      </c>
      <c r="AF56" s="3" t="s">
        <v>6</v>
      </c>
      <c r="AG56" s="3" t="s">
        <v>98</v>
      </c>
    </row>
    <row r="57" spans="2:35" x14ac:dyDescent="0.25">
      <c r="Q57" s="131">
        <f>SQRT(S33*S33+U33*U33)</f>
        <v>61.871843353822911</v>
      </c>
      <c r="R57" s="131">
        <v>0</v>
      </c>
      <c r="S57" s="128">
        <f>S48</f>
        <v>162.25943732183961</v>
      </c>
      <c r="T57" s="128">
        <f>$T$48-R57</f>
        <v>200</v>
      </c>
      <c r="U57" s="128">
        <f>SQRT($S$57*$S$57+T57*T57)</f>
        <v>257.54247222545644</v>
      </c>
      <c r="V57" s="129">
        <f>1/U57</f>
        <v>3.882854704930321E-3</v>
      </c>
      <c r="W57" s="132">
        <f>$S$57*V57</f>
        <v>0.63002981962445148</v>
      </c>
      <c r="X57" s="133">
        <f>T57*V57</f>
        <v>0.77657094098606416</v>
      </c>
      <c r="Y57" s="3"/>
      <c r="Z57" s="129">
        <f t="shared" ref="Z57:Z70" si="9">shadex($S$48,$T$48,0,$S$43,$Q$57,R57,0,W57,X57,0)</f>
        <v>0.43644476706453167</v>
      </c>
      <c r="AA57" s="4">
        <f>RADIANS(AA56)</f>
        <v>0.87266462599716477</v>
      </c>
      <c r="AB57" s="129">
        <f>$W57*COS($AA$57)-$X57*SIN($AA$57)</f>
        <v>-0.18991249224240758</v>
      </c>
      <c r="AC57" s="129">
        <f>$W57*SIN($AA$57)+$X57*COS($AA$57)</f>
        <v>0.98180102123102198</v>
      </c>
      <c r="AD57" s="129">
        <f>shadex($S$48,$T$48,0,$S43,$Q57,R57,0,AB57,AC57,0)</f>
        <v>0.35404073221778132</v>
      </c>
      <c r="AE57" s="129">
        <f>$W57*COS(-$AA$57)-$X57*SIN(-$AA$57)</f>
        <v>0.999863215817693</v>
      </c>
      <c r="AF57" s="129">
        <f>$W57*SIN(-$AA$57)+$X57*COS(-$AA$57)</f>
        <v>1.6539336585895736E-2</v>
      </c>
      <c r="AG57" s="129">
        <f>shadex($S$48,$T$48,0,$S$43,$Q$57,R57,0,AE57,AF57,0)</f>
        <v>0.20704184494543623</v>
      </c>
    </row>
    <row r="58" spans="2:35" s="3" customFormat="1" x14ac:dyDescent="0.25">
      <c r="B58"/>
      <c r="C58" s="4"/>
      <c r="D58" s="64"/>
      <c r="E58" s="64"/>
      <c r="H58" s="4"/>
      <c r="I58" s="4"/>
      <c r="J58" s="64"/>
      <c r="K58"/>
      <c r="L58" s="66"/>
      <c r="M58" s="4"/>
      <c r="N58"/>
      <c r="O58" s="4"/>
      <c r="P58" s="4"/>
      <c r="Q58" s="4"/>
      <c r="R58" s="128">
        <f>R57+0.5</f>
        <v>0.5</v>
      </c>
      <c r="S58" s="128"/>
      <c r="T58" s="128">
        <f t="shared" ref="T58:T70" si="10">$T$48-R58</f>
        <v>199.5</v>
      </c>
      <c r="U58" s="128">
        <f t="shared" ref="U58:U70" si="11">SQRT($S$57*$S$57+T58*T58)</f>
        <v>257.15437970215481</v>
      </c>
      <c r="V58" s="129">
        <f t="shared" ref="V58:V70" si="12">1/U58</f>
        <v>3.8887146357695131E-3</v>
      </c>
      <c r="W58" s="130">
        <f t="shared" ref="W58:W70" si="13">$S$57*V58</f>
        <v>0.63098064870516368</v>
      </c>
      <c r="X58" s="129">
        <f t="shared" ref="X58:X70" si="14">T58*V58</f>
        <v>0.77579856983601791</v>
      </c>
      <c r="Z58" s="129">
        <f t="shared" si="9"/>
        <v>0.43729659961748635</v>
      </c>
      <c r="AA58" s="4"/>
      <c r="AB58" s="129">
        <f t="shared" ref="AB58:AB70" si="15">$W58*COS($AA$57)-$X58*SIN($AA$57)</f>
        <v>-0.18870964046287769</v>
      </c>
      <c r="AC58" s="129">
        <f t="shared" ref="AC58:AC70" si="16">$W58*SIN($AA$57)+$X58*COS($AA$57)</f>
        <v>0.98203292795932828</v>
      </c>
      <c r="AD58" s="129">
        <f t="shared" ref="AD58:AD70" si="17">shadex($S$48,$T$48,0,$S$43,$Q$57,R58,0,AB58,AC58,0)</f>
        <v>0.35480923388714608</v>
      </c>
      <c r="AE58" s="129">
        <f t="shared" ref="AE58:AE70" si="18">$W58*COS(-$AA$57)-$X58*SIN(-$AA$57)</f>
        <v>0.99988272634218611</v>
      </c>
      <c r="AF58" s="129">
        <f t="shared" ref="AF58:AF70" si="19">$W58*SIN(-$AA$57)+$X58*COS(-$AA$57)</f>
        <v>1.5314488646931135E-2</v>
      </c>
      <c r="AG58" s="129">
        <f t="shared" ref="AG58:AG70" si="20">shadex($S$48,$T$48,0,$S$43,$Q$57,R58,0,AE58,AF58,0)</f>
        <v>0.20736843809720534</v>
      </c>
    </row>
    <row r="59" spans="2:35" s="3" customFormat="1" x14ac:dyDescent="0.25">
      <c r="B59"/>
      <c r="C59" s="4"/>
      <c r="D59" s="64"/>
      <c r="E59" s="64"/>
      <c r="H59" s="4"/>
      <c r="I59" s="4"/>
      <c r="J59" s="64"/>
      <c r="K59"/>
      <c r="L59" s="66"/>
      <c r="M59" s="4"/>
      <c r="N59"/>
      <c r="O59" s="4"/>
      <c r="P59" s="4"/>
      <c r="Q59" s="4"/>
      <c r="R59" s="128">
        <f t="shared" ref="R59:R70" si="21">R58+0.5</f>
        <v>1</v>
      </c>
      <c r="S59" s="128"/>
      <c r="T59" s="128">
        <f t="shared" si="10"/>
        <v>199</v>
      </c>
      <c r="U59" s="128">
        <f t="shared" si="11"/>
        <v>256.76667423947367</v>
      </c>
      <c r="V59" s="129">
        <f t="shared" si="12"/>
        <v>3.8945864098677741E-3</v>
      </c>
      <c r="W59" s="130">
        <f t="shared" si="13"/>
        <v>0.63193339946642846</v>
      </c>
      <c r="X59" s="129">
        <f t="shared" si="14"/>
        <v>0.77502269556368708</v>
      </c>
      <c r="Z59" s="129">
        <f t="shared" si="9"/>
        <v>0.43815141230581872</v>
      </c>
      <c r="AA59" s="4"/>
      <c r="AB59" s="129">
        <f t="shared" si="15"/>
        <v>-0.18750286990353932</v>
      </c>
      <c r="AC59" s="129">
        <f t="shared" si="16"/>
        <v>0.98226405501674374</v>
      </c>
      <c r="AD59" s="129">
        <f t="shared" si="17"/>
        <v>0.35558034957809709</v>
      </c>
      <c r="AE59" s="129">
        <f t="shared" si="18"/>
        <v>0.99990078855176856</v>
      </c>
      <c r="AF59" s="129">
        <f t="shared" si="19"/>
        <v>1.4085916851658054E-2</v>
      </c>
      <c r="AG59" s="129">
        <f t="shared" si="20"/>
        <v>0.2076962484155801</v>
      </c>
    </row>
    <row r="60" spans="2:35" x14ac:dyDescent="0.25">
      <c r="R60" s="128">
        <f t="shared" si="21"/>
        <v>1.5</v>
      </c>
      <c r="S60" s="128"/>
      <c r="T60" s="128">
        <f t="shared" si="10"/>
        <v>198.5</v>
      </c>
      <c r="U60" s="128">
        <f t="shared" si="11"/>
        <v>256.37935759339126</v>
      </c>
      <c r="V60" s="129">
        <f t="shared" si="12"/>
        <v>3.9004700276453817E-3</v>
      </c>
      <c r="W60" s="130">
        <f t="shared" si="13"/>
        <v>0.63288807197643981</v>
      </c>
      <c r="X60" s="129">
        <f t="shared" si="14"/>
        <v>0.77424330048760825</v>
      </c>
      <c r="Y60" s="3"/>
      <c r="Z60" s="129">
        <f t="shared" si="9"/>
        <v>0.43900921875794174</v>
      </c>
      <c r="AA60" s="4"/>
      <c r="AB60" s="129">
        <f t="shared" si="15"/>
        <v>-0.18629216697577122</v>
      </c>
      <c r="AC60" s="129">
        <f t="shared" si="16"/>
        <v>0.9824943910900823</v>
      </c>
      <c r="AD60" s="129">
        <f t="shared" si="17"/>
        <v>0.35635408807510027</v>
      </c>
      <c r="AE60" s="129">
        <f t="shared" si="18"/>
        <v>0.99991738894548765</v>
      </c>
      <c r="AF60" s="129">
        <f t="shared" si="19"/>
        <v>1.2853609782411235E-2</v>
      </c>
      <c r="AG60" s="129">
        <f t="shared" si="20"/>
        <v>0.20802528463644454</v>
      </c>
    </row>
    <row r="61" spans="2:35" s="3" customFormat="1" x14ac:dyDescent="0.25">
      <c r="B61"/>
      <c r="C61" s="4"/>
      <c r="D61" s="64"/>
      <c r="E61" s="64"/>
      <c r="H61" s="4"/>
      <c r="I61" s="4"/>
      <c r="J61" s="64"/>
      <c r="K61"/>
      <c r="L61" s="66"/>
      <c r="M61" s="4"/>
      <c r="N61"/>
      <c r="O61" s="4"/>
      <c r="P61" s="4"/>
      <c r="Q61" s="4"/>
      <c r="R61" s="128">
        <f t="shared" si="21"/>
        <v>2</v>
      </c>
      <c r="S61" s="128"/>
      <c r="T61" s="128">
        <f t="shared" si="10"/>
        <v>198</v>
      </c>
      <c r="U61" s="128">
        <f t="shared" si="11"/>
        <v>255.99243152874658</v>
      </c>
      <c r="V61" s="129">
        <f t="shared" si="12"/>
        <v>3.9063654891207415E-3</v>
      </c>
      <c r="W61" s="130">
        <f t="shared" si="13"/>
        <v>0.63384466623818425</v>
      </c>
      <c r="X61" s="129">
        <f t="shared" si="14"/>
        <v>0.7734603668459068</v>
      </c>
      <c r="Z61" s="129">
        <f t="shared" si="9"/>
        <v>0.43987003266631752</v>
      </c>
      <c r="AA61" s="4"/>
      <c r="AB61" s="129">
        <f t="shared" si="15"/>
        <v>-0.18507751807126832</v>
      </c>
      <c r="AC61" s="129">
        <f t="shared" si="16"/>
        <v>0.98272392476451864</v>
      </c>
      <c r="AD61" s="129">
        <f t="shared" si="17"/>
        <v>0.35713045815393224</v>
      </c>
      <c r="AE61" s="129">
        <f t="shared" si="18"/>
        <v>0.99993251391887794</v>
      </c>
      <c r="AF61" s="129">
        <f t="shared" si="19"/>
        <v>1.1617556019789976E-2</v>
      </c>
      <c r="AG61" s="129">
        <f t="shared" si="20"/>
        <v>0.20835555558671226</v>
      </c>
    </row>
    <row r="62" spans="2:35" x14ac:dyDescent="0.25">
      <c r="Q62" s="10"/>
      <c r="R62" s="166">
        <f>R61+0.5</f>
        <v>2.5</v>
      </c>
      <c r="S62" s="166"/>
      <c r="T62" s="166">
        <f t="shared" si="10"/>
        <v>197.5</v>
      </c>
      <c r="U62" s="166">
        <f t="shared" si="11"/>
        <v>255.60589781927959</v>
      </c>
      <c r="V62" s="188">
        <f t="shared" si="12"/>
        <v>3.9122727939048868E-3</v>
      </c>
      <c r="W62" s="189">
        <f t="shared" si="13"/>
        <v>0.63480318218854836</v>
      </c>
      <c r="X62" s="188">
        <f t="shared" si="14"/>
        <v>0.77267387679621513</v>
      </c>
      <c r="Y62" s="13"/>
      <c r="Z62" s="188">
        <f t="shared" si="9"/>
        <v>0.44073386778755469</v>
      </c>
      <c r="AA62" s="10"/>
      <c r="AB62" s="188">
        <f t="shared" si="15"/>
        <v>-0.18385890956255269</v>
      </c>
      <c r="AC62" s="188">
        <f t="shared" si="16"/>
        <v>0.98295264452285247</v>
      </c>
      <c r="AD62" s="129">
        <f t="shared" si="17"/>
        <v>0.35790946858072853</v>
      </c>
      <c r="AE62" s="188">
        <f t="shared" si="18"/>
        <v>0.99994614976332419</v>
      </c>
      <c r="AF62" s="188">
        <f t="shared" si="19"/>
        <v>1.0377744143289014E-2</v>
      </c>
      <c r="AG62" s="188">
        <f t="shared" si="20"/>
        <v>0.20868707018540256</v>
      </c>
      <c r="AH62" s="9"/>
      <c r="AI62" s="9"/>
    </row>
    <row r="63" spans="2:35" x14ac:dyDescent="0.25">
      <c r="Q63" s="10"/>
      <c r="R63" s="166">
        <f>R62+0.5</f>
        <v>3</v>
      </c>
      <c r="S63" s="166"/>
      <c r="T63" s="166">
        <f t="shared" si="10"/>
        <v>197</v>
      </c>
      <c r="U63" s="166">
        <f t="shared" si="11"/>
        <v>255.21975824767173</v>
      </c>
      <c r="V63" s="188">
        <f t="shared" si="12"/>
        <v>3.9181919411959264E-3</v>
      </c>
      <c r="W63" s="189">
        <f t="shared" si="13"/>
        <v>0.63576361969741746</v>
      </c>
      <c r="X63" s="188">
        <f t="shared" si="14"/>
        <v>0.77188381241559756</v>
      </c>
      <c r="Y63" s="13"/>
      <c r="Z63" s="188">
        <f t="shared" si="9"/>
        <v>0.4416007379424971</v>
      </c>
      <c r="AA63" s="10"/>
      <c r="AB63" s="188">
        <f t="shared" si="15"/>
        <v>-0.18263632780349509</v>
      </c>
      <c r="AC63" s="188">
        <f t="shared" si="16"/>
        <v>0.98318053874476896</v>
      </c>
      <c r="AD63" s="129">
        <f t="shared" si="17"/>
        <v>0.35869112811100912</v>
      </c>
      <c r="AE63" s="188">
        <f t="shared" si="18"/>
        <v>0.99995828266542519</v>
      </c>
      <c r="AF63" s="188">
        <f t="shared" si="19"/>
        <v>9.1341627319412311E-3</v>
      </c>
      <c r="AG63" s="188">
        <f t="shared" si="20"/>
        <v>0.2090198374447301</v>
      </c>
      <c r="AH63" s="9"/>
      <c r="AI63" s="9"/>
    </row>
    <row r="64" spans="2:35" s="3" customFormat="1" x14ac:dyDescent="0.25">
      <c r="B64"/>
      <c r="C64" s="4"/>
      <c r="D64" s="64"/>
      <c r="E64" s="64"/>
      <c r="H64" s="4"/>
      <c r="I64" s="4"/>
      <c r="J64" s="64"/>
      <c r="K64"/>
      <c r="L64" s="66"/>
      <c r="M64" s="4"/>
      <c r="N64"/>
      <c r="O64" s="4"/>
      <c r="P64" s="4"/>
      <c r="Q64" s="10"/>
      <c r="R64" s="166">
        <f t="shared" si="21"/>
        <v>3.5</v>
      </c>
      <c r="S64" s="166"/>
      <c r="T64" s="166">
        <f t="shared" si="10"/>
        <v>196.5</v>
      </c>
      <c r="U64" s="166">
        <f t="shared" si="11"/>
        <v>254.83401460558596</v>
      </c>
      <c r="V64" s="188">
        <f t="shared" si="12"/>
        <v>3.9241229297734418E-3</v>
      </c>
      <c r="W64" s="189">
        <f t="shared" si="13"/>
        <v>0.63672597856676738</v>
      </c>
      <c r="X64" s="188">
        <f t="shared" si="14"/>
        <v>0.77109015570048134</v>
      </c>
      <c r="Y64" s="13"/>
      <c r="Z64" s="188">
        <f t="shared" si="9"/>
        <v>0.44247065701630822</v>
      </c>
      <c r="AA64" s="10"/>
      <c r="AB64" s="188">
        <f t="shared" si="15"/>
        <v>-0.18140975912984625</v>
      </c>
      <c r="AC64" s="188">
        <f t="shared" si="16"/>
        <v>0.98340759570609948</v>
      </c>
      <c r="AD64" s="188">
        <f t="shared" si="17"/>
        <v>0.35947544548868576</v>
      </c>
      <c r="AE64" s="188">
        <f t="shared" si="18"/>
        <v>0.99996889870635641</v>
      </c>
      <c r="AF64" s="188">
        <f t="shared" si="19"/>
        <v>7.8868003649681939E-3</v>
      </c>
      <c r="AG64" s="188">
        <f t="shared" si="20"/>
        <v>0.20935386647120496</v>
      </c>
      <c r="AH64" s="13"/>
      <c r="AI64" s="13"/>
    </row>
    <row r="65" spans="2:35" s="3" customFormat="1" x14ac:dyDescent="0.25">
      <c r="B65"/>
      <c r="C65" s="4"/>
      <c r="D65" s="64"/>
      <c r="E65" s="64"/>
      <c r="H65" s="4"/>
      <c r="I65" s="4"/>
      <c r="J65" s="64"/>
      <c r="K65"/>
      <c r="L65" s="66"/>
      <c r="M65" s="4"/>
      <c r="N65"/>
      <c r="O65" s="4"/>
      <c r="P65" s="4"/>
      <c r="Q65" s="10"/>
      <c r="R65" s="166">
        <f t="shared" si="21"/>
        <v>4</v>
      </c>
      <c r="S65" s="166"/>
      <c r="T65" s="166">
        <f t="shared" si="10"/>
        <v>196</v>
      </c>
      <c r="U65" s="166">
        <f t="shared" si="11"/>
        <v>254.44866869370725</v>
      </c>
      <c r="V65" s="188">
        <f t="shared" si="12"/>
        <v>3.9300657579928256E-3</v>
      </c>
      <c r="W65" s="189">
        <f t="shared" si="13"/>
        <v>0.63769025852974492</v>
      </c>
      <c r="X65" s="188">
        <f t="shared" si="14"/>
        <v>0.77029288856659384</v>
      </c>
      <c r="Y65" s="13"/>
      <c r="Z65" s="188">
        <f t="shared" si="9"/>
        <v>0.44334363895854728</v>
      </c>
      <c r="AA65" s="10"/>
      <c r="AB65" s="188">
        <f t="shared" si="15"/>
        <v>-0.18017918985977932</v>
      </c>
      <c r="AC65" s="188">
        <f t="shared" si="16"/>
        <v>0.98363380357807628</v>
      </c>
      <c r="AD65" s="188">
        <f t="shared" si="17"/>
        <v>0.360262429445046</v>
      </c>
      <c r="AE65" s="188">
        <f t="shared" si="18"/>
        <v>0.99997798386123149</v>
      </c>
      <c r="AF65" s="188">
        <f t="shared" si="19"/>
        <v>6.6356456224451188E-3</v>
      </c>
      <c r="AG65" s="188">
        <f t="shared" si="20"/>
        <v>0.20968916646674751</v>
      </c>
      <c r="AH65" s="13"/>
      <c r="AI65" s="13"/>
    </row>
    <row r="66" spans="2:35" x14ac:dyDescent="0.25">
      <c r="Q66" s="10"/>
      <c r="R66" s="166">
        <f t="shared" si="21"/>
        <v>4.5</v>
      </c>
      <c r="S66" s="166"/>
      <c r="T66" s="166">
        <f t="shared" si="10"/>
        <v>195.5</v>
      </c>
      <c r="U66" s="166">
        <f t="shared" si="11"/>
        <v>254.06372232178288</v>
      </c>
      <c r="V66" s="188">
        <f t="shared" si="12"/>
        <v>3.9360204237795749E-3</v>
      </c>
      <c r="W66" s="189">
        <f t="shared" si="13"/>
        <v>0.63865645924974257</v>
      </c>
      <c r="X66" s="188">
        <f t="shared" si="14"/>
        <v>0.7694919928489069</v>
      </c>
      <c r="Y66" s="13"/>
      <c r="Z66" s="188">
        <f t="shared" si="9"/>
        <v>0.44421969778323955</v>
      </c>
      <c r="AA66" s="10"/>
      <c r="AB66" s="188">
        <f t="shared" si="15"/>
        <v>-0.1789446062944427</v>
      </c>
      <c r="AC66" s="188">
        <f t="shared" si="16"/>
        <v>0.98385915042658789</v>
      </c>
      <c r="AD66" s="188">
        <f t="shared" si="17"/>
        <v>0.3610520886977171</v>
      </c>
      <c r="AE66" s="188">
        <f t="shared" si="18"/>
        <v>0.9999855239984643</v>
      </c>
      <c r="AF66" s="188">
        <f t="shared" si="19"/>
        <v>5.3806870859732236E-3</v>
      </c>
      <c r="AG66" s="188">
        <f t="shared" si="20"/>
        <v>0.21002574672981394</v>
      </c>
      <c r="AH66" s="9"/>
      <c r="AI66" s="9"/>
    </row>
    <row r="67" spans="2:35" s="3" customFormat="1" x14ac:dyDescent="0.25">
      <c r="B67"/>
      <c r="C67" s="4"/>
      <c r="D67" s="64"/>
      <c r="E67" s="64"/>
      <c r="H67" s="4"/>
      <c r="I67" s="4"/>
      <c r="J67" s="64"/>
      <c r="K67"/>
      <c r="L67" s="66"/>
      <c r="M67" s="4"/>
      <c r="N67"/>
      <c r="O67" s="4"/>
      <c r="P67" s="4"/>
      <c r="Q67" s="10"/>
      <c r="R67" s="166">
        <f t="shared" si="21"/>
        <v>5</v>
      </c>
      <c r="S67" s="166"/>
      <c r="T67" s="166">
        <f t="shared" si="10"/>
        <v>195</v>
      </c>
      <c r="U67" s="166">
        <f t="shared" si="11"/>
        <v>253.67917730866284</v>
      </c>
      <c r="V67" s="188">
        <f t="shared" si="12"/>
        <v>3.9419869246235181E-3</v>
      </c>
      <c r="W67" s="189">
        <f t="shared" si="13"/>
        <v>0.63962458031946101</v>
      </c>
      <c r="X67" s="188">
        <f t="shared" si="14"/>
        <v>0.76868745030158603</v>
      </c>
      <c r="Y67" s="13"/>
      <c r="Z67" s="188">
        <f t="shared" si="9"/>
        <v>0.44509884756893875</v>
      </c>
      <c r="AA67" s="10"/>
      <c r="AB67" s="188">
        <f t="shared" si="15"/>
        <v>-0.17770599471852327</v>
      </c>
      <c r="AC67" s="188">
        <f t="shared" si="16"/>
        <v>0.98408362421142859</v>
      </c>
      <c r="AD67" s="188">
        <f t="shared" si="17"/>
        <v>0.36184443194960753</v>
      </c>
      <c r="AE67" s="188">
        <f t="shared" si="18"/>
        <v>0.99999150487912769</v>
      </c>
      <c r="AF67" s="188">
        <f t="shared" si="19"/>
        <v>4.1219133393654572E-3</v>
      </c>
      <c r="AG67" s="188">
        <f t="shared" si="20"/>
        <v>0.21036361665653547</v>
      </c>
      <c r="AH67" s="13"/>
      <c r="AI67" s="13"/>
    </row>
    <row r="68" spans="2:35" x14ac:dyDescent="0.25">
      <c r="Q68" s="10"/>
      <c r="R68" s="166">
        <f t="shared" si="21"/>
        <v>5.5</v>
      </c>
      <c r="S68" s="166"/>
      <c r="T68" s="166">
        <f t="shared" si="10"/>
        <v>194.5</v>
      </c>
      <c r="U68" s="166">
        <f t="shared" si="11"/>
        <v>253.29503548234024</v>
      </c>
      <c r="V68" s="188">
        <f t="shared" si="12"/>
        <v>3.9479652575730015E-3</v>
      </c>
      <c r="W68" s="189">
        <f t="shared" si="13"/>
        <v>0.6405946212599668</v>
      </c>
      <c r="X68" s="188">
        <f t="shared" si="14"/>
        <v>0.76787924259794882</v>
      </c>
      <c r="Y68" s="13"/>
      <c r="Z68" s="188">
        <f t="shared" si="9"/>
        <v>0.4459811024587827</v>
      </c>
      <c r="AA68" s="10"/>
      <c r="AB68" s="188">
        <f t="shared" si="15"/>
        <v>-0.17646334140082021</v>
      </c>
      <c r="AC68" s="188">
        <f t="shared" si="16"/>
        <v>0.98430721278554967</v>
      </c>
      <c r="AD68" s="188">
        <f t="shared" si="17"/>
        <v>0.36263946788782658</v>
      </c>
      <c r="AE68" s="188">
        <f t="shared" si="18"/>
        <v>0.99999591215631634</v>
      </c>
      <c r="AF68" s="188">
        <f t="shared" si="19"/>
        <v>2.8593129693418873E-3</v>
      </c>
      <c r="AG68" s="188">
        <f t="shared" si="20"/>
        <v>0.21070278574187043</v>
      </c>
      <c r="AH68" s="9"/>
      <c r="AI68" s="9"/>
    </row>
    <row r="69" spans="2:35" x14ac:dyDescent="0.25">
      <c r="Q69" s="10"/>
      <c r="R69" s="166">
        <f t="shared" si="21"/>
        <v>6</v>
      </c>
      <c r="S69" s="166"/>
      <c r="T69" s="166">
        <f t="shared" si="10"/>
        <v>194</v>
      </c>
      <c r="U69" s="166">
        <f t="shared" si="11"/>
        <v>252.91129867999175</v>
      </c>
      <c r="V69" s="188">
        <f t="shared" si="12"/>
        <v>3.9539554192290095E-3</v>
      </c>
      <c r="W69" s="189">
        <f t="shared" si="13"/>
        <v>0.64156658151973756</v>
      </c>
      <c r="X69" s="188">
        <f t="shared" si="14"/>
        <v>0.7670673513304278</v>
      </c>
      <c r="Y69" s="13"/>
      <c r="Z69" s="188">
        <f t="shared" si="9"/>
        <v>0.44686647666054058</v>
      </c>
      <c r="AA69" s="10"/>
      <c r="AB69" s="188">
        <f t="shared" si="15"/>
        <v>-0.17521663259483067</v>
      </c>
      <c r="AC69" s="188">
        <f t="shared" si="16"/>
        <v>0.98452990389430428</v>
      </c>
      <c r="AD69" s="188">
        <f t="shared" si="17"/>
        <v>0.36343720518258116</v>
      </c>
      <c r="AE69" s="188">
        <f t="shared" si="18"/>
        <v>0.99999873137450346</v>
      </c>
      <c r="AF69" s="188">
        <f t="shared" si="19"/>
        <v>1.5928745662368571E-3</v>
      </c>
      <c r="AG69" s="188">
        <f t="shared" si="20"/>
        <v>0.21104326358076803</v>
      </c>
      <c r="AH69" s="9"/>
      <c r="AI69" s="9"/>
    </row>
    <row r="70" spans="2:35" x14ac:dyDescent="0.25">
      <c r="Q70" s="10"/>
      <c r="R70" s="166">
        <f t="shared" si="21"/>
        <v>6.5</v>
      </c>
      <c r="S70" s="166"/>
      <c r="T70" s="166">
        <f t="shared" si="10"/>
        <v>193.5</v>
      </c>
      <c r="U70" s="166">
        <f t="shared" si="11"/>
        <v>252.52796874801808</v>
      </c>
      <c r="V70" s="188">
        <f t="shared" si="12"/>
        <v>3.9599574057392339E-3</v>
      </c>
      <c r="W70" s="189">
        <f t="shared" si="13"/>
        <v>0.64254046047369984</v>
      </c>
      <c r="X70" s="188">
        <f t="shared" si="14"/>
        <v>0.76625175801054179</v>
      </c>
      <c r="Y70" s="13"/>
      <c r="Z70" s="188">
        <f t="shared" si="9"/>
        <v>0.44775498444665324</v>
      </c>
      <c r="AA70" s="10"/>
      <c r="AB70" s="188">
        <f t="shared" si="15"/>
        <v>-0.17396585453934549</v>
      </c>
      <c r="AC70" s="188">
        <f t="shared" si="16"/>
        <v>0.9847516851746918</v>
      </c>
      <c r="AD70" s="188">
        <f t="shared" si="17"/>
        <v>0.36423765248604906</v>
      </c>
      <c r="AE70" s="188">
        <f t="shared" si="18"/>
        <v>0.99999994796890124</v>
      </c>
      <c r="AF70" s="188">
        <f t="shared" si="19"/>
        <v>3.2258672471768834E-4</v>
      </c>
      <c r="AG70" s="188">
        <f t="shared" si="20"/>
        <v>0.21138505986934664</v>
      </c>
      <c r="AH70" s="9"/>
      <c r="AI70" s="9"/>
    </row>
    <row r="71" spans="2:35" x14ac:dyDescent="0.25">
      <c r="Q71" s="10"/>
      <c r="R71" s="10"/>
      <c r="S71" s="10"/>
      <c r="T71" s="10"/>
      <c r="U71" s="10"/>
      <c r="V71" s="10"/>
      <c r="W71" s="13"/>
      <c r="X71" s="10"/>
      <c r="Y71" s="13"/>
      <c r="Z71" s="188"/>
      <c r="AA71" s="10"/>
      <c r="AB71" s="188"/>
      <c r="AC71" s="190"/>
      <c r="AD71" s="190"/>
      <c r="AE71" s="190"/>
      <c r="AF71" s="190"/>
      <c r="AG71" s="190"/>
      <c r="AH71" s="9"/>
      <c r="AI71" s="9"/>
    </row>
    <row r="72" spans="2:35" x14ac:dyDescent="0.25">
      <c r="Q72" s="10"/>
      <c r="R72" s="10"/>
      <c r="S72" s="10"/>
      <c r="T72" s="10"/>
      <c r="U72" s="10"/>
      <c r="V72" s="10"/>
      <c r="W72" s="10"/>
      <c r="X72" s="10"/>
      <c r="Y72" s="10"/>
      <c r="Z72" s="188"/>
      <c r="AA72" s="13">
        <v>74.5</v>
      </c>
      <c r="AB72" s="188"/>
      <c r="AC72" s="190"/>
      <c r="AD72" s="190"/>
      <c r="AE72" s="190"/>
      <c r="AF72" s="190"/>
      <c r="AG72" s="190"/>
      <c r="AH72" s="9"/>
      <c r="AI72" s="9"/>
    </row>
    <row r="73" spans="2:35" x14ac:dyDescent="0.25">
      <c r="Q73" s="10"/>
      <c r="R73" s="10"/>
      <c r="S73" s="166">
        <f>S50</f>
        <v>247.64515945198687</v>
      </c>
      <c r="T73" s="166">
        <f>$T$50-R57</f>
        <v>200</v>
      </c>
      <c r="U73" s="166">
        <f>SQRT($S$73*$S$73+T73*T73)</f>
        <v>318.3207894561711</v>
      </c>
      <c r="V73" s="188">
        <f>1/U73</f>
        <v>3.141485046290663E-3</v>
      </c>
      <c r="W73" s="191">
        <f>$S$73*V73</f>
        <v>0.77797356520468364</v>
      </c>
      <c r="X73" s="192">
        <f>T73*V73</f>
        <v>0.62829700925813259</v>
      </c>
      <c r="Y73" s="10"/>
      <c r="Z73" s="188">
        <f t="shared" ref="Z73:Z86" si="22">shadex($S$50,$T$50,0,$S$43,$Q$57,R57,0,W73,X73,0)</f>
        <v>0.36260887932777996</v>
      </c>
      <c r="AA73" s="10">
        <f>RADIANS(AA72)</f>
        <v>1.3002702927357754</v>
      </c>
      <c r="AB73" s="188">
        <f>$W73*COS($AA$73)-$X73*SIN($AA$73)</f>
        <v>-0.39754173958392508</v>
      </c>
      <c r="AC73" s="188">
        <f>$W73*SIN($AA$73)+$X73*COS($AA$73)</f>
        <v>0.91758409167148636</v>
      </c>
      <c r="AD73" s="188">
        <f t="shared" ref="AD73:AD86" si="23">shadex($S$50,$T$50,0,$S$43,$Q$57,R57,0,AB73,AC73,0)</f>
        <v>0.14717706659249319</v>
      </c>
      <c r="AE73" s="188">
        <f>$W73*COS(-$AA$73)-$X73*SIN(-$AA$73)</f>
        <v>0.81335052397814822</v>
      </c>
      <c r="AF73" s="188">
        <f>$W73*SIN(-$AA$73)+$X73*COS(-$AA$73)</f>
        <v>-0.58177394677354854</v>
      </c>
      <c r="AG73" s="188">
        <f>shadex($S$50,$T$50,0,$S$43,$Q$57,R57,0,AE73,AF73,0)</f>
        <v>0</v>
      </c>
      <c r="AH73" s="9"/>
      <c r="AI73" s="9"/>
    </row>
    <row r="74" spans="2:35" x14ac:dyDescent="0.25">
      <c r="Q74" s="10"/>
      <c r="R74" s="10"/>
      <c r="S74" s="9"/>
      <c r="T74" s="166">
        <f t="shared" ref="T74:T86" si="24">$T$50-R58</f>
        <v>199.5</v>
      </c>
      <c r="U74" s="166">
        <f t="shared" ref="U74:U86" si="25">SQRT($S$73*$S$73+T74*T74)</f>
        <v>318.00687885641719</v>
      </c>
      <c r="V74" s="188">
        <f t="shared" ref="V74:V86" si="26">1/U74</f>
        <v>3.1445860655470552E-3</v>
      </c>
      <c r="W74" s="188">
        <f t="shared" ref="W74:W86" si="27">$S$73*V74</f>
        <v>0.77874151761289656</v>
      </c>
      <c r="X74" s="188">
        <f t="shared" ref="X74:X86" si="28">T74*V74</f>
        <v>0.62734492007663756</v>
      </c>
      <c r="Y74" s="10"/>
      <c r="Z74" s="188">
        <f t="shared" si="22"/>
        <v>0.36309720709154292</v>
      </c>
      <c r="AA74" s="9"/>
      <c r="AB74" s="188">
        <f t="shared" ref="AB74:AB86" si="29">$W74*COS($AA$73)-$X74*SIN($AA$73)</f>
        <v>-0.39641905109998976</v>
      </c>
      <c r="AC74" s="188">
        <f t="shared" ref="AC74:AC86" si="30">$W74*SIN($AA$73)+$X74*COS($AA$73)</f>
        <v>0.91806967923191085</v>
      </c>
      <c r="AD74" s="188">
        <f t="shared" si="23"/>
        <v>0.14736631526424807</v>
      </c>
      <c r="AE74" s="188">
        <f t="shared" ref="AE74:AE86" si="31">$W74*COS(-$AA$73)-$X74*SIN(-$AA$73)</f>
        <v>0.81263828820316542</v>
      </c>
      <c r="AF74" s="188">
        <f t="shared" ref="AF74:AF86" si="32">$W74*SIN(-$AA$73)+$X74*COS(-$AA$73)</f>
        <v>-0.58276840386746176</v>
      </c>
      <c r="AG74" s="188">
        <f t="shared" ref="AG74:AG86" si="33">shadex($S$50,$T$50,0,$S$43,$Q$57,R58,0,AE74,AF74,0)</f>
        <v>0</v>
      </c>
      <c r="AH74" s="9"/>
      <c r="AI74" s="9"/>
    </row>
    <row r="75" spans="2:35" x14ac:dyDescent="0.25">
      <c r="Q75" s="10"/>
      <c r="R75" s="10"/>
      <c r="S75" s="9"/>
      <c r="T75" s="166">
        <f t="shared" si="24"/>
        <v>199</v>
      </c>
      <c r="U75" s="166">
        <f t="shared" si="25"/>
        <v>317.69344500634571</v>
      </c>
      <c r="V75" s="188">
        <f t="shared" si="26"/>
        <v>3.147688489386445E-3</v>
      </c>
      <c r="W75" s="188">
        <f t="shared" si="27"/>
        <v>0.77950981785928986</v>
      </c>
      <c r="X75" s="188">
        <f t="shared" si="28"/>
        <v>0.62639000938790257</v>
      </c>
      <c r="Y75" s="10"/>
      <c r="Z75" s="188">
        <f t="shared" si="22"/>
        <v>0.36358632847075489</v>
      </c>
      <c r="AA75" s="9"/>
      <c r="AB75" s="188">
        <f t="shared" si="29"/>
        <v>-0.39529355077004369</v>
      </c>
      <c r="AC75" s="188">
        <f t="shared" si="30"/>
        <v>0.91855484796478581</v>
      </c>
      <c r="AD75" s="188">
        <f t="shared" si="23"/>
        <v>0.1475555257540834</v>
      </c>
      <c r="AE75" s="188">
        <f t="shared" si="31"/>
        <v>0.81192342649359261</v>
      </c>
      <c r="AF75" s="188">
        <f t="shared" si="32"/>
        <v>-0.58376395016385141</v>
      </c>
      <c r="AG75" s="188">
        <f t="shared" si="33"/>
        <v>0</v>
      </c>
      <c r="AH75" s="9"/>
      <c r="AI75" s="9"/>
    </row>
    <row r="76" spans="2:35" x14ac:dyDescent="0.25">
      <c r="Q76" s="10"/>
      <c r="R76" s="10"/>
      <c r="S76" s="9"/>
      <c r="T76" s="166">
        <f t="shared" si="24"/>
        <v>198.5</v>
      </c>
      <c r="U76" s="166">
        <f t="shared" si="25"/>
        <v>317.38048931842047</v>
      </c>
      <c r="V76" s="188">
        <f t="shared" si="26"/>
        <v>3.1507922939671418E-3</v>
      </c>
      <c r="W76" s="188">
        <f t="shared" si="27"/>
        <v>0.78027846003958434</v>
      </c>
      <c r="X76" s="188">
        <f t="shared" si="28"/>
        <v>0.62543227035247762</v>
      </c>
      <c r="Y76" s="10"/>
      <c r="Z76" s="188">
        <f t="shared" si="22"/>
        <v>0.36407624236249575</v>
      </c>
      <c r="AA76" s="9"/>
      <c r="AB76" s="188">
        <f t="shared" si="29"/>
        <v>-0.39416523358123445</v>
      </c>
      <c r="AC76" s="188">
        <f t="shared" si="30"/>
        <v>0.91903959035280458</v>
      </c>
      <c r="AD76" s="188">
        <f t="shared" si="23"/>
        <v>0.1477446940044721</v>
      </c>
      <c r="AE76" s="188">
        <f t="shared" si="31"/>
        <v>0.81120593068087765</v>
      </c>
      <c r="AF76" s="188">
        <f t="shared" si="32"/>
        <v>-0.5847605818009376</v>
      </c>
      <c r="AG76" s="188">
        <f t="shared" si="33"/>
        <v>0</v>
      </c>
      <c r="AH76" s="9"/>
      <c r="AI76" s="9"/>
    </row>
    <row r="77" spans="2:35" x14ac:dyDescent="0.25">
      <c r="Q77" s="10"/>
      <c r="R77" s="10"/>
      <c r="S77" s="9"/>
      <c r="T77" s="166">
        <f t="shared" si="24"/>
        <v>198</v>
      </c>
      <c r="U77" s="166">
        <f t="shared" si="25"/>
        <v>317.06801320852281</v>
      </c>
      <c r="V77" s="188">
        <f t="shared" si="26"/>
        <v>3.1538974552514712E-3</v>
      </c>
      <c r="W77" s="188">
        <f t="shared" si="27"/>
        <v>0.78104743820096623</v>
      </c>
      <c r="X77" s="188">
        <f t="shared" si="28"/>
        <v>0.62447169613979125</v>
      </c>
      <c r="Y77" s="10"/>
      <c r="Z77" s="188">
        <f t="shared" si="22"/>
        <v>0.36456694762839331</v>
      </c>
      <c r="AA77" s="9"/>
      <c r="AB77" s="188">
        <f t="shared" si="29"/>
        <v>-0.39303409454223559</v>
      </c>
      <c r="AC77" s="188">
        <f t="shared" si="30"/>
        <v>0.91952389883426355</v>
      </c>
      <c r="AD77" s="188">
        <f t="shared" si="23"/>
        <v>0.14793381591883731</v>
      </c>
      <c r="AE77" s="188">
        <f t="shared" si="31"/>
        <v>0.81048579259205356</v>
      </c>
      <c r="AF77" s="188">
        <f t="shared" si="32"/>
        <v>-0.5857582948677984</v>
      </c>
      <c r="AG77" s="188">
        <f t="shared" si="33"/>
        <v>0</v>
      </c>
      <c r="AH77" s="9"/>
      <c r="AI77" s="9"/>
    </row>
    <row r="78" spans="2:35" x14ac:dyDescent="0.25">
      <c r="Q78" s="10"/>
      <c r="R78" s="10"/>
      <c r="S78" s="9"/>
      <c r="T78" s="166">
        <f t="shared" si="24"/>
        <v>197.5</v>
      </c>
      <c r="U78" s="166">
        <f t="shared" si="25"/>
        <v>316.75601809594713</v>
      </c>
      <c r="V78" s="188">
        <f t="shared" si="26"/>
        <v>3.1570039490049864E-3</v>
      </c>
      <c r="W78" s="188">
        <f t="shared" si="27"/>
        <v>0.78181674634189213</v>
      </c>
      <c r="X78" s="188">
        <f t="shared" si="28"/>
        <v>0.62350827992848479</v>
      </c>
      <c r="Y78" s="10"/>
      <c r="Z78" s="188">
        <f t="shared" si="22"/>
        <v>0.3650584430942308</v>
      </c>
      <c r="AA78" s="9"/>
      <c r="AB78" s="188">
        <f t="shared" si="29"/>
        <v>-0.39190012868362101</v>
      </c>
      <c r="AC78" s="188">
        <f t="shared" si="30"/>
        <v>0.92000776580296406</v>
      </c>
      <c r="AD78" s="188">
        <f t="shared" si="23"/>
        <v>0.14812288736133361</v>
      </c>
      <c r="AE78" s="188">
        <f t="shared" si="31"/>
        <v>0.80976300405000856</v>
      </c>
      <c r="AF78" s="188">
        <f t="shared" si="32"/>
        <v>-0.58675708540409299</v>
      </c>
      <c r="AG78" s="188">
        <f t="shared" si="33"/>
        <v>0</v>
      </c>
      <c r="AH78" s="9"/>
      <c r="AI78" s="9"/>
    </row>
    <row r="79" spans="2:35" x14ac:dyDescent="0.25">
      <c r="Q79" s="10"/>
      <c r="R79" s="10"/>
      <c r="S79" s="9"/>
      <c r="T79" s="166">
        <f t="shared" si="24"/>
        <v>197</v>
      </c>
      <c r="U79" s="166">
        <f t="shared" si="25"/>
        <v>316.44450540339614</v>
      </c>
      <c r="V79" s="188">
        <f t="shared" si="26"/>
        <v>3.1601117507956827E-3</v>
      </c>
      <c r="W79" s="188">
        <f t="shared" si="27"/>
        <v>0.78258637841189427</v>
      </c>
      <c r="X79" s="188">
        <f t="shared" si="28"/>
        <v>0.62254201490674954</v>
      </c>
      <c r="Y79" s="10"/>
      <c r="Z79" s="188">
        <f t="shared" si="22"/>
        <v>0.36555072754955303</v>
      </c>
      <c r="AA79" s="9"/>
      <c r="AB79" s="188">
        <f t="shared" si="29"/>
        <v>-0.39076333105824146</v>
      </c>
      <c r="AC79" s="188">
        <f t="shared" si="30"/>
        <v>0.92049118360811433</v>
      </c>
      <c r="AD79" s="188">
        <f t="shared" si="23"/>
        <v>0.14831190415662798</v>
      </c>
      <c r="AE79" s="188">
        <f t="shared" si="31"/>
        <v>0.80903755687375933</v>
      </c>
      <c r="AF79" s="188">
        <f t="shared" si="32"/>
        <v>-0.58775694939978285</v>
      </c>
      <c r="AG79" s="188">
        <f t="shared" si="33"/>
        <v>0</v>
      </c>
      <c r="AH79" s="9"/>
      <c r="AI79" s="9"/>
    </row>
    <row r="80" spans="2:35" x14ac:dyDescent="0.25">
      <c r="Q80" s="10"/>
      <c r="R80" s="10"/>
      <c r="S80" s="9"/>
      <c r="T80" s="166">
        <f t="shared" si="24"/>
        <v>196.5</v>
      </c>
      <c r="U80" s="166">
        <f t="shared" si="25"/>
        <v>316.13347655697584</v>
      </c>
      <c r="V80" s="188">
        <f t="shared" si="26"/>
        <v>3.1632208359932195E-3</v>
      </c>
      <c r="W80" s="188">
        <f t="shared" si="27"/>
        <v>0.78335632831138802</v>
      </c>
      <c r="X80" s="188">
        <f t="shared" si="28"/>
        <v>0.6215728942726676</v>
      </c>
      <c r="Y80" s="10"/>
      <c r="Z80" s="188">
        <f t="shared" si="22"/>
        <v>0.36604379974726831</v>
      </c>
      <c r="AA80" s="9"/>
      <c r="AB80" s="188">
        <f t="shared" si="29"/>
        <v>-0.38962369674160491</v>
      </c>
      <c r="AC80" s="188">
        <f t="shared" si="30"/>
        <v>0.92097414455423543</v>
      </c>
      <c r="AD80" s="188">
        <f t="shared" si="23"/>
        <v>0.14850086208968161</v>
      </c>
      <c r="AE80" s="188">
        <f t="shared" si="31"/>
        <v>0.80830944287872741</v>
      </c>
      <c r="AF80" s="188">
        <f t="shared" si="32"/>
        <v>-0.58875788279485586</v>
      </c>
      <c r="AG80" s="188">
        <f t="shared" si="33"/>
        <v>0</v>
      </c>
      <c r="AH80" s="9"/>
      <c r="AI80" s="9"/>
    </row>
    <row r="81" spans="17:35" x14ac:dyDescent="0.25">
      <c r="Q81" s="10"/>
      <c r="R81" s="10"/>
      <c r="S81" s="9"/>
      <c r="T81" s="166">
        <f t="shared" si="24"/>
        <v>196</v>
      </c>
      <c r="U81" s="166">
        <f t="shared" si="25"/>
        <v>315.82293298619084</v>
      </c>
      <c r="V81" s="188">
        <f t="shared" si="26"/>
        <v>3.1663311797681406E-3</v>
      </c>
      <c r="W81" s="188">
        <f t="shared" si="27"/>
        <v>0.78412658989147888</v>
      </c>
      <c r="X81" s="188">
        <f t="shared" si="28"/>
        <v>0.62060091123455552</v>
      </c>
      <c r="Y81" s="10"/>
      <c r="Z81" s="188">
        <f t="shared" si="22"/>
        <v>0.36653765840324881</v>
      </c>
      <c r="AA81" s="9"/>
      <c r="AB81" s="188">
        <f t="shared" si="29"/>
        <v>-0.388481220832259</v>
      </c>
      <c r="AC81" s="188">
        <f t="shared" si="30"/>
        <v>0.92145664090106694</v>
      </c>
      <c r="AD81" s="188">
        <f t="shared" si="23"/>
        <v>0.14868975690553285</v>
      </c>
      <c r="AE81" s="188">
        <f t="shared" si="31"/>
        <v>0.80757865387701933</v>
      </c>
      <c r="AF81" s="188">
        <f t="shared" si="32"/>
        <v>-0.58975988147904879</v>
      </c>
      <c r="AG81" s="188">
        <f t="shared" si="33"/>
        <v>0</v>
      </c>
      <c r="AH81" s="9"/>
      <c r="AI81" s="9"/>
    </row>
    <row r="82" spans="17:35" x14ac:dyDescent="0.25">
      <c r="T82" s="128">
        <f t="shared" si="24"/>
        <v>195.5</v>
      </c>
      <c r="U82" s="128">
        <f t="shared" si="25"/>
        <v>315.5128761239389</v>
      </c>
      <c r="V82" s="129">
        <f t="shared" si="26"/>
        <v>3.1694427570911014E-3</v>
      </c>
      <c r="W82" s="129">
        <f t="shared" si="27"/>
        <v>0.78489715695377071</v>
      </c>
      <c r="X82" s="129">
        <f t="shared" si="28"/>
        <v>0.61962605901131029</v>
      </c>
      <c r="Z82" s="129">
        <f t="shared" si="22"/>
        <v>0.36703230219592559</v>
      </c>
      <c r="AB82" s="129">
        <f t="shared" si="29"/>
        <v>-0.38733589845217542</v>
      </c>
      <c r="AC82" s="129">
        <f t="shared" si="30"/>
        <v>0.92193866486347453</v>
      </c>
      <c r="AD82" s="129">
        <f t="shared" si="23"/>
        <v>0.14887858430908021</v>
      </c>
      <c r="AE82" s="129">
        <f t="shared" si="31"/>
        <v>0.80684518167770836</v>
      </c>
      <c r="AF82" s="129">
        <f t="shared" si="32"/>
        <v>-0.59076294129156903</v>
      </c>
      <c r="AG82" s="129">
        <f t="shared" si="33"/>
        <v>0</v>
      </c>
    </row>
    <row r="83" spans="17:35" x14ac:dyDescent="0.25">
      <c r="T83" s="128">
        <f t="shared" si="24"/>
        <v>195</v>
      </c>
      <c r="U83" s="128">
        <f t="shared" si="25"/>
        <v>315.20330740650547</v>
      </c>
      <c r="V83" s="129">
        <f t="shared" si="26"/>
        <v>3.1725555427321033E-3</v>
      </c>
      <c r="W83" s="129">
        <f t="shared" si="27"/>
        <v>0.78566802325017648</v>
      </c>
      <c r="X83" s="129">
        <f t="shared" si="28"/>
        <v>0.61864833083276016</v>
      </c>
      <c r="Z83" s="129">
        <f t="shared" si="22"/>
        <v>0.36752772976588338</v>
      </c>
      <c r="AB83" s="129">
        <f t="shared" si="29"/>
        <v>-0.38618772474713936</v>
      </c>
      <c r="AC83" s="129">
        <f t="shared" si="30"/>
        <v>0.92242020861136154</v>
      </c>
      <c r="AD83" s="129">
        <f t="shared" si="23"/>
        <v>0.14906733996486674</v>
      </c>
      <c r="AE83" s="129">
        <f t="shared" si="31"/>
        <v>0.8061090180871221</v>
      </c>
      <c r="AF83" s="129">
        <f t="shared" si="32"/>
        <v>-0.59176705802081941</v>
      </c>
      <c r="AG83" s="129">
        <f t="shared" si="33"/>
        <v>0</v>
      </c>
    </row>
    <row r="84" spans="17:35" x14ac:dyDescent="0.25">
      <c r="T84" s="128">
        <f t="shared" si="24"/>
        <v>194.5</v>
      </c>
      <c r="U84" s="128">
        <f t="shared" si="25"/>
        <v>314.89422827355855</v>
      </c>
      <c r="V84" s="129">
        <f t="shared" si="26"/>
        <v>3.175669511259725E-3</v>
      </c>
      <c r="W84" s="129">
        <f t="shared" si="27"/>
        <v>0.78643918248272782</v>
      </c>
      <c r="X84" s="129">
        <f t="shared" si="28"/>
        <v>0.61766771994001646</v>
      </c>
      <c r="Z84" s="129">
        <f t="shared" si="22"/>
        <v>0.36802393971545033</v>
      </c>
      <c r="AB84" s="129">
        <f t="shared" si="29"/>
        <v>-0.38503669488713865</v>
      </c>
      <c r="AC84" s="129">
        <f t="shared" si="30"/>
        <v>0.92290126426957952</v>
      </c>
      <c r="AD84" s="129">
        <f t="shared" si="23"/>
        <v>0.14925601949686521</v>
      </c>
      <c r="AE84" s="129">
        <f t="shared" si="31"/>
        <v>0.805370154909131</v>
      </c>
      <c r="AF84" s="129">
        <f t="shared" si="32"/>
        <v>-0.59277222740412028</v>
      </c>
      <c r="AG84" s="129">
        <f t="shared" si="33"/>
        <v>0</v>
      </c>
    </row>
    <row r="85" spans="17:35" x14ac:dyDescent="0.25">
      <c r="T85" s="128">
        <f t="shared" si="24"/>
        <v>194</v>
      </c>
      <c r="U85" s="128">
        <f t="shared" si="25"/>
        <v>314.58564016814245</v>
      </c>
      <c r="V85" s="129">
        <f t="shared" si="26"/>
        <v>3.1787846370403662E-3</v>
      </c>
      <c r="W85" s="129">
        <f t="shared" si="27"/>
        <v>0.78721062830338773</v>
      </c>
      <c r="X85" s="129">
        <f t="shared" si="28"/>
        <v>0.61668421958583108</v>
      </c>
      <c r="Z85" s="129">
        <f t="shared" si="22"/>
        <v>0.36852093060828595</v>
      </c>
      <c r="AB85" s="129">
        <f t="shared" si="29"/>
        <v>-0.38388280406675868</v>
      </c>
      <c r="AC85" s="129">
        <f t="shared" si="30"/>
        <v>0.92338182391784307</v>
      </c>
      <c r="AD85" s="129">
        <f t="shared" si="23"/>
        <v>0.14944461848826388</v>
      </c>
      <c r="AE85" s="129">
        <f t="shared" si="31"/>
        <v>0.80462858394544201</v>
      </c>
      <c r="AF85" s="129">
        <f t="shared" si="32"/>
        <v>-0.59377844512743372</v>
      </c>
      <c r="AG85" s="129">
        <f t="shared" si="33"/>
        <v>0</v>
      </c>
    </row>
    <row r="86" spans="17:35" x14ac:dyDescent="0.25">
      <c r="T86" s="128">
        <f t="shared" si="24"/>
        <v>193.5</v>
      </c>
      <c r="U86" s="128">
        <f t="shared" si="25"/>
        <v>314.27754453667222</v>
      </c>
      <c r="V86" s="129">
        <f t="shared" si="26"/>
        <v>3.1819008942374901E-3</v>
      </c>
      <c r="W86" s="129">
        <f t="shared" si="27"/>
        <v>0.78798235431386288</v>
      </c>
      <c r="X86" s="129">
        <f t="shared" si="28"/>
        <v>0.61569782303495435</v>
      </c>
      <c r="Z86" s="129">
        <f t="shared" si="22"/>
        <v>0.36901870096896444</v>
      </c>
      <c r="AB86" s="129">
        <f t="shared" si="29"/>
        <v>-0.38272604750557726</v>
      </c>
      <c r="AC86" s="129">
        <f t="shared" si="30"/>
        <v>0.92386187959064459</v>
      </c>
      <c r="AD86" s="129">
        <f t="shared" si="23"/>
        <v>0.14963313248125309</v>
      </c>
      <c r="AE86" s="129">
        <f t="shared" si="31"/>
        <v>0.80388429699589403</v>
      </c>
      <c r="AF86" s="129">
        <f t="shared" si="32"/>
        <v>-0.59478570682508614</v>
      </c>
      <c r="AG86" s="129">
        <f t="shared" si="33"/>
        <v>0</v>
      </c>
    </row>
    <row r="87" spans="17:35" x14ac:dyDescent="0.25">
      <c r="T87" s="128"/>
    </row>
  </sheetData>
  <mergeCells count="3">
    <mergeCell ref="I31:K31"/>
    <mergeCell ref="AB55:AC55"/>
    <mergeCell ref="AE55:AF55"/>
  </mergeCells>
  <pageMargins left="0.7" right="0.7" top="0.75" bottom="0.75" header="0.3" footer="0.3"/>
  <pageSetup paperSize="9" orientation="portrait" r:id="rId1"/>
  <ignoredErrors>
    <ignoredError sqref="S49:T49 T51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429D-8FB8-44B0-BC84-1D2C5B603ECA}">
  <sheetPr codeName="Sheet3"/>
  <dimension ref="B1:AF77"/>
  <sheetViews>
    <sheetView topLeftCell="E1" zoomScaleNormal="100" workbookViewId="0">
      <selection activeCell="V34" sqref="V34"/>
    </sheetView>
  </sheetViews>
  <sheetFormatPr defaultRowHeight="15" x14ac:dyDescent="0.25"/>
  <cols>
    <col min="2" max="3" width="2.7109375" customWidth="1"/>
    <col min="4" max="4" width="12.7109375" customWidth="1"/>
    <col min="5" max="6" width="12.7109375" style="4" customWidth="1"/>
    <col min="7" max="7" width="12.7109375" style="6" customWidth="1"/>
    <col min="8" max="8" width="2.7109375" style="4" customWidth="1"/>
    <col min="9" max="9" width="7" customWidth="1"/>
    <col min="10" max="11" width="2.7109375" style="4" customWidth="1"/>
    <col min="12" max="12" width="12.7109375" customWidth="1"/>
    <col min="13" max="14" width="12.7109375" style="4" customWidth="1"/>
    <col min="15" max="15" width="12.7109375" customWidth="1"/>
    <col min="16" max="16" width="2.7109375" customWidth="1"/>
    <col min="18" max="19" width="2.7109375" customWidth="1"/>
    <col min="21" max="22" width="9.140625" style="4"/>
    <col min="32" max="32" width="9" customWidth="1"/>
  </cols>
  <sheetData>
    <row r="1" spans="2:22" ht="15.75" thickBot="1" x14ac:dyDescent="0.3"/>
    <row r="2" spans="2:22" ht="14.1" customHeight="1" x14ac:dyDescent="0.25">
      <c r="B2" s="17"/>
      <c r="C2" s="18"/>
      <c r="D2" s="18"/>
      <c r="E2" s="19"/>
      <c r="F2" s="19"/>
      <c r="G2" s="20"/>
      <c r="H2" s="21"/>
      <c r="J2" s="80"/>
      <c r="K2" s="19"/>
      <c r="L2" s="18"/>
      <c r="M2" s="19"/>
      <c r="N2" s="19"/>
      <c r="O2" s="18"/>
      <c r="P2" s="81"/>
    </row>
    <row r="3" spans="2:22" ht="14.1" customHeight="1" x14ac:dyDescent="0.25">
      <c r="B3" s="22"/>
      <c r="C3" s="67" t="s">
        <v>53</v>
      </c>
      <c r="D3" s="9"/>
      <c r="E3" s="10"/>
      <c r="F3" s="10"/>
      <c r="G3" s="11"/>
      <c r="H3" s="23"/>
      <c r="J3" s="82"/>
      <c r="K3" s="67" t="s">
        <v>48</v>
      </c>
      <c r="L3" s="9"/>
      <c r="M3" s="10"/>
      <c r="N3" s="10"/>
      <c r="O3" s="9"/>
      <c r="P3" s="83"/>
      <c r="S3" s="1" t="s">
        <v>54</v>
      </c>
      <c r="U3" s="5" t="s">
        <v>5</v>
      </c>
      <c r="V3" s="5" t="s">
        <v>6</v>
      </c>
    </row>
    <row r="4" spans="2:22" ht="14.1" customHeight="1" x14ac:dyDescent="0.25">
      <c r="B4" s="22"/>
      <c r="C4" s="9"/>
      <c r="D4" s="9"/>
      <c r="E4" s="10"/>
      <c r="F4" s="10"/>
      <c r="G4" s="11"/>
      <c r="H4" s="23"/>
      <c r="J4" s="84"/>
      <c r="K4" s="10"/>
      <c r="L4" s="9"/>
      <c r="M4" s="10"/>
      <c r="N4" s="10"/>
      <c r="O4" s="9"/>
      <c r="P4" s="83"/>
    </row>
    <row r="5" spans="2:22" ht="14.1" customHeight="1" x14ac:dyDescent="0.25">
      <c r="B5" s="22"/>
      <c r="C5" s="46"/>
      <c r="D5" s="47"/>
      <c r="E5" s="48"/>
      <c r="F5" s="48"/>
      <c r="G5" s="87"/>
      <c r="H5" s="23"/>
      <c r="J5" s="84"/>
      <c r="K5" s="69"/>
      <c r="L5" s="47"/>
      <c r="M5" s="48"/>
      <c r="N5" s="48"/>
      <c r="O5" s="70"/>
      <c r="P5" s="83"/>
      <c r="U5" s="96">
        <f>M11</f>
        <v>-200</v>
      </c>
      <c r="V5" s="96">
        <f>N11</f>
        <v>200</v>
      </c>
    </row>
    <row r="6" spans="2:22" x14ac:dyDescent="0.25">
      <c r="B6" s="22"/>
      <c r="C6" s="50"/>
      <c r="D6" s="12" t="s">
        <v>15</v>
      </c>
      <c r="E6" s="10"/>
      <c r="F6" s="10"/>
      <c r="G6" s="88"/>
      <c r="H6" s="23"/>
      <c r="J6" s="84"/>
      <c r="K6" s="71"/>
      <c r="L6" s="12" t="s">
        <v>15</v>
      </c>
      <c r="M6" s="44"/>
      <c r="N6" s="44"/>
      <c r="O6" s="72"/>
      <c r="P6" s="83"/>
      <c r="U6" s="96">
        <f ca="1">M30</f>
        <v>-50</v>
      </c>
      <c r="V6" s="96">
        <f>N11</f>
        <v>200</v>
      </c>
    </row>
    <row r="7" spans="2:22" x14ac:dyDescent="0.25">
      <c r="B7" s="22"/>
      <c r="C7" s="50"/>
      <c r="D7" s="15" t="s">
        <v>13</v>
      </c>
      <c r="E7" s="62">
        <v>100</v>
      </c>
      <c r="F7" s="10"/>
      <c r="G7" s="88"/>
      <c r="H7" s="23"/>
      <c r="J7" s="84"/>
      <c r="K7" s="71"/>
      <c r="L7" s="9" t="s">
        <v>13</v>
      </c>
      <c r="M7" s="62">
        <f>E7</f>
        <v>100</v>
      </c>
      <c r="N7" s="10"/>
      <c r="O7" s="72"/>
      <c r="P7" s="83"/>
      <c r="U7" s="96"/>
      <c r="V7" s="96"/>
    </row>
    <row r="8" spans="2:22" x14ac:dyDescent="0.25">
      <c r="B8" s="22"/>
      <c r="C8" s="50"/>
      <c r="D8" s="15" t="s">
        <v>47</v>
      </c>
      <c r="E8" s="10">
        <f>E17*2</f>
        <v>200</v>
      </c>
      <c r="F8" s="10"/>
      <c r="G8" s="88"/>
      <c r="H8" s="23"/>
      <c r="J8" s="84"/>
      <c r="K8" s="71"/>
      <c r="L8" s="9" t="s">
        <v>47</v>
      </c>
      <c r="M8" s="62">
        <f>E8</f>
        <v>200</v>
      </c>
      <c r="N8" s="10"/>
      <c r="O8" s="72"/>
      <c r="P8" s="83"/>
      <c r="U8" s="96">
        <f ca="1">M30</f>
        <v>-50</v>
      </c>
      <c r="V8" s="96">
        <f>N11</f>
        <v>200</v>
      </c>
    </row>
    <row r="9" spans="2:22" x14ac:dyDescent="0.25">
      <c r="B9" s="22"/>
      <c r="C9" s="50"/>
      <c r="D9" s="15"/>
      <c r="E9" s="10"/>
      <c r="F9" s="10"/>
      <c r="G9" s="88"/>
      <c r="H9" s="23"/>
      <c r="J9" s="84"/>
      <c r="K9" s="71"/>
      <c r="L9" s="9"/>
      <c r="M9" s="10"/>
      <c r="N9" s="10"/>
      <c r="O9" s="72"/>
      <c r="P9" s="83"/>
      <c r="U9" s="96">
        <f>M12</f>
        <v>200</v>
      </c>
      <c r="V9" s="96">
        <f>N11</f>
        <v>200</v>
      </c>
    </row>
    <row r="10" spans="2:22" x14ac:dyDescent="0.25">
      <c r="B10" s="22"/>
      <c r="C10" s="50"/>
      <c r="D10" s="43" t="s">
        <v>52</v>
      </c>
      <c r="E10" s="44" t="s">
        <v>5</v>
      </c>
      <c r="F10" s="44" t="s">
        <v>6</v>
      </c>
      <c r="G10" s="89" t="s">
        <v>42</v>
      </c>
      <c r="H10" s="23"/>
      <c r="J10" s="84"/>
      <c r="K10" s="71"/>
      <c r="L10" s="68" t="s">
        <v>52</v>
      </c>
      <c r="M10" s="44" t="s">
        <v>5</v>
      </c>
      <c r="N10" s="44" t="s">
        <v>6</v>
      </c>
      <c r="O10" s="89" t="s">
        <v>42</v>
      </c>
      <c r="P10" s="83"/>
      <c r="U10" s="96"/>
      <c r="V10" s="96"/>
    </row>
    <row r="11" spans="2:22" x14ac:dyDescent="0.25">
      <c r="B11" s="22"/>
      <c r="C11" s="50"/>
      <c r="D11" s="15" t="s">
        <v>7</v>
      </c>
      <c r="E11" s="63">
        <f>-E8</f>
        <v>-200</v>
      </c>
      <c r="F11" s="63">
        <f>E8</f>
        <v>200</v>
      </c>
      <c r="G11" s="90">
        <v>0</v>
      </c>
      <c r="H11" s="23"/>
      <c r="J11" s="84"/>
      <c r="K11" s="71"/>
      <c r="L11" s="15" t="s">
        <v>7</v>
      </c>
      <c r="M11" s="63">
        <f>-M8</f>
        <v>-200</v>
      </c>
      <c r="N11" s="63">
        <f>M8</f>
        <v>200</v>
      </c>
      <c r="O11" s="90">
        <v>0</v>
      </c>
      <c r="P11" s="83"/>
      <c r="U11" s="96">
        <f>M11</f>
        <v>-200</v>
      </c>
      <c r="V11" s="96">
        <f>N11</f>
        <v>200</v>
      </c>
    </row>
    <row r="12" spans="2:22" x14ac:dyDescent="0.25">
      <c r="B12" s="22"/>
      <c r="C12" s="50"/>
      <c r="D12" s="15" t="s">
        <v>8</v>
      </c>
      <c r="E12" s="63">
        <f>E8</f>
        <v>200</v>
      </c>
      <c r="F12" s="63">
        <f>E8</f>
        <v>200</v>
      </c>
      <c r="G12" s="90">
        <f>G11</f>
        <v>0</v>
      </c>
      <c r="H12" s="23"/>
      <c r="J12" s="84"/>
      <c r="K12" s="71"/>
      <c r="L12" s="15" t="s">
        <v>8</v>
      </c>
      <c r="M12" s="63">
        <f>M8</f>
        <v>200</v>
      </c>
      <c r="N12" s="63">
        <f>M8</f>
        <v>200</v>
      </c>
      <c r="O12" s="90">
        <f>O11</f>
        <v>0</v>
      </c>
      <c r="P12" s="83"/>
      <c r="U12" s="96">
        <f ca="1">M30</f>
        <v>-50</v>
      </c>
      <c r="V12" s="96">
        <f ca="1">F30</f>
        <v>0</v>
      </c>
    </row>
    <row r="13" spans="2:22" x14ac:dyDescent="0.25">
      <c r="B13" s="22"/>
      <c r="C13" s="52"/>
      <c r="D13" s="53"/>
      <c r="E13" s="54"/>
      <c r="F13" s="54"/>
      <c r="G13" s="91"/>
      <c r="H13" s="23"/>
      <c r="J13" s="84"/>
      <c r="K13" s="73"/>
      <c r="L13" s="57"/>
      <c r="M13" s="58"/>
      <c r="N13" s="58"/>
      <c r="O13" s="74"/>
      <c r="P13" s="83"/>
      <c r="U13" s="96"/>
      <c r="V13" s="96"/>
    </row>
    <row r="14" spans="2:22" x14ac:dyDescent="0.25">
      <c r="B14" s="22"/>
      <c r="C14" s="9"/>
      <c r="D14" s="15"/>
      <c r="E14" s="16"/>
      <c r="F14" s="16"/>
      <c r="G14" s="11"/>
      <c r="H14" s="23"/>
      <c r="J14" s="84"/>
      <c r="K14" s="10"/>
      <c r="L14" s="9"/>
      <c r="M14" s="10"/>
      <c r="N14" s="10"/>
      <c r="O14" s="9"/>
      <c r="P14" s="83"/>
      <c r="U14" s="96">
        <f ca="1">M30</f>
        <v>-50</v>
      </c>
      <c r="V14" s="96">
        <f>N11</f>
        <v>200</v>
      </c>
    </row>
    <row r="15" spans="2:22" x14ac:dyDescent="0.25">
      <c r="B15" s="22"/>
      <c r="C15" s="46"/>
      <c r="D15" s="56"/>
      <c r="E15" s="48"/>
      <c r="F15" s="48"/>
      <c r="G15" s="87"/>
      <c r="H15" s="23"/>
      <c r="J15" s="84"/>
      <c r="K15" s="69"/>
      <c r="L15" s="47"/>
      <c r="M15" s="48"/>
      <c r="N15" s="48"/>
      <c r="O15" s="70"/>
      <c r="P15" s="83"/>
      <c r="U15" s="96">
        <f ca="1">M30</f>
        <v>-50</v>
      </c>
      <c r="V15" s="96">
        <f ca="1">F30</f>
        <v>0</v>
      </c>
    </row>
    <row r="16" spans="2:22" x14ac:dyDescent="0.25">
      <c r="B16" s="22"/>
      <c r="C16" s="50"/>
      <c r="D16" s="12" t="s">
        <v>1</v>
      </c>
      <c r="E16" s="10"/>
      <c r="F16" s="10"/>
      <c r="G16" s="88"/>
      <c r="H16" s="23"/>
      <c r="J16" s="84"/>
      <c r="K16" s="71"/>
      <c r="L16" s="12" t="s">
        <v>1</v>
      </c>
      <c r="M16" s="10"/>
      <c r="N16" s="10"/>
      <c r="O16" s="72"/>
      <c r="P16" s="83"/>
      <c r="U16" s="96"/>
      <c r="V16" s="96"/>
    </row>
    <row r="17" spans="2:32" x14ac:dyDescent="0.25">
      <c r="B17" s="22"/>
      <c r="C17" s="50"/>
      <c r="D17" s="9" t="s">
        <v>0</v>
      </c>
      <c r="E17" s="10">
        <v>100</v>
      </c>
      <c r="F17" s="10"/>
      <c r="G17" s="88"/>
      <c r="H17" s="23"/>
      <c r="J17" s="84"/>
      <c r="K17" s="71"/>
      <c r="L17" s="9" t="s">
        <v>0</v>
      </c>
      <c r="M17" s="10">
        <f>E17</f>
        <v>100</v>
      </c>
      <c r="N17" s="10"/>
      <c r="O17" s="72"/>
      <c r="P17" s="83"/>
      <c r="U17" s="96">
        <f>M12</f>
        <v>200</v>
      </c>
      <c r="V17" s="96">
        <f>N11</f>
        <v>200</v>
      </c>
    </row>
    <row r="18" spans="2:32" x14ac:dyDescent="0.25">
      <c r="B18" s="22"/>
      <c r="C18" s="50"/>
      <c r="D18" s="9" t="s">
        <v>2</v>
      </c>
      <c r="E18" s="10">
        <v>1024</v>
      </c>
      <c r="F18" s="10"/>
      <c r="G18" s="88"/>
      <c r="H18" s="23"/>
      <c r="J18" s="84"/>
      <c r="K18" s="71"/>
      <c r="L18" s="9" t="s">
        <v>2</v>
      </c>
      <c r="M18" s="10">
        <f>E18</f>
        <v>1024</v>
      </c>
      <c r="N18" s="10"/>
      <c r="O18" s="72"/>
      <c r="P18" s="83"/>
      <c r="U18" s="96">
        <f ca="1">M30</f>
        <v>-50</v>
      </c>
      <c r="V18" s="96">
        <f ca="1">F30</f>
        <v>0</v>
      </c>
    </row>
    <row r="19" spans="2:32" x14ac:dyDescent="0.25">
      <c r="B19" s="22"/>
      <c r="C19" s="50"/>
      <c r="D19" s="9" t="s">
        <v>3</v>
      </c>
      <c r="E19" s="10">
        <f>E17/E18</f>
        <v>9.765625E-2</v>
      </c>
      <c r="F19" s="10"/>
      <c r="G19" s="88"/>
      <c r="H19" s="23"/>
      <c r="J19" s="84"/>
      <c r="K19" s="71"/>
      <c r="L19" s="9" t="s">
        <v>3</v>
      </c>
      <c r="M19" s="10">
        <f>E19</f>
        <v>9.765625E-2</v>
      </c>
      <c r="N19" s="10"/>
      <c r="O19" s="72"/>
      <c r="P19" s="83"/>
    </row>
    <row r="20" spans="2:32" x14ac:dyDescent="0.25">
      <c r="B20" s="22"/>
      <c r="C20" s="52"/>
      <c r="D20" s="57"/>
      <c r="E20" s="58"/>
      <c r="F20" s="58"/>
      <c r="G20" s="91"/>
      <c r="H20" s="23"/>
      <c r="J20" s="84"/>
      <c r="K20" s="73"/>
      <c r="L20" s="57"/>
      <c r="M20" s="58"/>
      <c r="N20" s="58"/>
      <c r="O20" s="55"/>
      <c r="P20" s="83"/>
      <c r="U20" s="64">
        <f ca="1">E30</f>
        <v>-50</v>
      </c>
      <c r="V20" s="64">
        <f ca="1">F30</f>
        <v>0</v>
      </c>
      <c r="X20" s="4"/>
      <c r="Y20" s="5"/>
      <c r="Z20" s="5"/>
      <c r="AA20" s="5"/>
      <c r="AB20" s="5"/>
      <c r="AC20" s="4"/>
    </row>
    <row r="21" spans="2:32" x14ac:dyDescent="0.25">
      <c r="B21" s="22"/>
      <c r="C21" s="9"/>
      <c r="D21" s="9"/>
      <c r="E21" s="10"/>
      <c r="F21" s="10"/>
      <c r="G21" s="11"/>
      <c r="H21" s="23"/>
      <c r="J21" s="84"/>
      <c r="K21" s="10"/>
      <c r="L21" s="9"/>
      <c r="M21" s="10"/>
      <c r="N21" s="10"/>
      <c r="O21" s="10"/>
      <c r="P21" s="83"/>
      <c r="T21" s="4"/>
      <c r="U21" s="64">
        <f ca="1">E30+(E31*40)</f>
        <v>-82.2</v>
      </c>
      <c r="V21" s="64">
        <f ca="1">F30+(F31*40)</f>
        <v>11.68</v>
      </c>
      <c r="X21" s="4"/>
      <c r="Y21" s="4"/>
      <c r="AA21" s="4"/>
      <c r="AB21" s="5" t="s">
        <v>14</v>
      </c>
      <c r="AC21" s="5"/>
      <c r="AD21" s="5"/>
      <c r="AE21" s="5" t="s">
        <v>16</v>
      </c>
      <c r="AF21" s="4"/>
    </row>
    <row r="22" spans="2:32" x14ac:dyDescent="0.25">
      <c r="B22" s="22"/>
      <c r="C22" s="46"/>
      <c r="D22" s="47"/>
      <c r="E22" s="48"/>
      <c r="F22" s="48"/>
      <c r="G22" s="87"/>
      <c r="H22" s="23"/>
      <c r="J22" s="84"/>
      <c r="K22" s="69"/>
      <c r="L22" s="47"/>
      <c r="M22" s="48"/>
      <c r="N22" s="48"/>
      <c r="O22" s="49"/>
      <c r="P22" s="83"/>
      <c r="X22" s="5" t="s">
        <v>5</v>
      </c>
      <c r="Y22" s="5" t="s">
        <v>6</v>
      </c>
      <c r="Z22" s="5" t="s">
        <v>42</v>
      </c>
      <c r="AA22" s="5"/>
      <c r="AB22" s="5" t="s">
        <v>45</v>
      </c>
      <c r="AC22" s="5"/>
      <c r="AD22" s="5"/>
      <c r="AE22" s="5" t="s">
        <v>45</v>
      </c>
    </row>
    <row r="23" spans="2:32" x14ac:dyDescent="0.25">
      <c r="B23" s="22"/>
      <c r="C23" s="50"/>
      <c r="D23" s="12" t="s">
        <v>40</v>
      </c>
      <c r="E23" s="10"/>
      <c r="F23" s="10"/>
      <c r="G23" s="88"/>
      <c r="H23" s="23"/>
      <c r="J23" s="84"/>
      <c r="K23" s="71"/>
      <c r="L23" s="12" t="s">
        <v>49</v>
      </c>
      <c r="M23" s="10"/>
      <c r="N23" s="10"/>
      <c r="O23" s="88"/>
      <c r="P23" s="83"/>
      <c r="U23" s="64">
        <f ca="1">U20</f>
        <v>-50</v>
      </c>
      <c r="V23" s="64">
        <f ca="1">V20</f>
        <v>0</v>
      </c>
      <c r="X23" s="64">
        <f ca="1">M30</f>
        <v>-50</v>
      </c>
      <c r="Y23" s="4">
        <v>200</v>
      </c>
      <c r="Z23" s="65">
        <f ca="1">O30</f>
        <v>50</v>
      </c>
      <c r="AB23" s="63">
        <f ca="1">shadex($E$11,$F$11,$G$11,$E$7,$X$23,$Y23,$Z$23,$AB$49,$AB$50,0)</f>
        <v>0</v>
      </c>
      <c r="AE23" s="63">
        <f ca="1">shadex($E$12,$F$12,$G$12,$E$7,$X$23,$Y23,$Z$23,$AE$49,$AE$50,0)</f>
        <v>0</v>
      </c>
    </row>
    <row r="24" spans="2:32" x14ac:dyDescent="0.25">
      <c r="B24" s="22"/>
      <c r="C24" s="50"/>
      <c r="D24" s="15" t="s">
        <v>38</v>
      </c>
      <c r="E24" s="10">
        <v>64</v>
      </c>
      <c r="F24" s="10"/>
      <c r="G24" s="88"/>
      <c r="H24" s="23"/>
      <c r="J24" s="84"/>
      <c r="K24" s="71"/>
      <c r="L24" s="15" t="s">
        <v>38</v>
      </c>
      <c r="M24" s="10" t="s">
        <v>51</v>
      </c>
      <c r="N24" s="10"/>
      <c r="O24" s="88"/>
      <c r="P24" s="83"/>
      <c r="U24" s="4">
        <f ca="1">E30-F31*40</f>
        <v>-61.68</v>
      </c>
      <c r="V24" s="4">
        <f ca="1">F30+E31*40</f>
        <v>-32.200000000000003</v>
      </c>
      <c r="X24" s="4"/>
      <c r="Y24" s="4">
        <f>Y23-10</f>
        <v>190</v>
      </c>
      <c r="AB24" s="63">
        <f t="shared" ref="AB24:AB44" ca="1" si="0">shadex($E$11,$F$11,$G$11,$E$7,$X$23,$Y24,$Z$23,$AB$49,$AB$50,0)</f>
        <v>0</v>
      </c>
      <c r="AE24" s="63">
        <f t="shared" ref="AE24:AE44" ca="1" si="1">shadex($E$12,$F$12,$G$12,$E$7,$X$23,$Y24,$Z$23,$AE$49,$AE$50,0)</f>
        <v>0</v>
      </c>
      <c r="AF24" s="63"/>
    </row>
    <row r="25" spans="2:32" x14ac:dyDescent="0.25">
      <c r="B25" s="22"/>
      <c r="C25" s="50"/>
      <c r="D25" s="9" t="s">
        <v>36</v>
      </c>
      <c r="E25" s="10">
        <v>1</v>
      </c>
      <c r="F25" s="10"/>
      <c r="G25" s="88"/>
      <c r="H25" s="23"/>
      <c r="J25" s="84"/>
      <c r="K25" s="71"/>
      <c r="L25" s="9" t="s">
        <v>36</v>
      </c>
      <c r="M25" s="10">
        <f>E25</f>
        <v>1</v>
      </c>
      <c r="N25" s="10"/>
      <c r="O25" s="88"/>
      <c r="P25" s="83"/>
      <c r="X25" s="4"/>
      <c r="Y25" s="4">
        <f t="shared" ref="Y25:Y40" si="2">Y24-10</f>
        <v>180</v>
      </c>
      <c r="AB25" s="63">
        <f t="shared" ca="1" si="0"/>
        <v>0</v>
      </c>
      <c r="AE25" s="63">
        <f t="shared" ca="1" si="1"/>
        <v>0</v>
      </c>
    </row>
    <row r="26" spans="2:32" x14ac:dyDescent="0.25">
      <c r="B26" s="22"/>
      <c r="C26" s="50"/>
      <c r="D26" s="15" t="s">
        <v>37</v>
      </c>
      <c r="E26" s="10">
        <v>1</v>
      </c>
      <c r="F26" s="10"/>
      <c r="G26" s="88"/>
      <c r="H26" s="23"/>
      <c r="J26" s="84"/>
      <c r="K26" s="71"/>
      <c r="L26" s="15" t="s">
        <v>37</v>
      </c>
      <c r="M26" s="10">
        <f>E26</f>
        <v>1</v>
      </c>
      <c r="N26" s="10"/>
      <c r="O26" s="88"/>
      <c r="P26" s="83"/>
      <c r="U26" s="64">
        <f ca="1">U23</f>
        <v>-50</v>
      </c>
      <c r="V26" s="64">
        <f ca="1">V23</f>
        <v>0</v>
      </c>
      <c r="X26" s="4"/>
      <c r="Y26" s="4">
        <f t="shared" si="2"/>
        <v>170</v>
      </c>
      <c r="AB26" s="63">
        <f t="shared" ca="1" si="0"/>
        <v>0</v>
      </c>
      <c r="AE26" s="63">
        <f t="shared" ca="1" si="1"/>
        <v>0</v>
      </c>
    </row>
    <row r="27" spans="2:32" x14ac:dyDescent="0.25">
      <c r="B27" s="22"/>
      <c r="C27" s="50"/>
      <c r="D27" s="15"/>
      <c r="E27" s="10"/>
      <c r="F27" s="10"/>
      <c r="G27" s="88"/>
      <c r="H27" s="23"/>
      <c r="J27" s="84"/>
      <c r="K27" s="71"/>
      <c r="L27" s="15"/>
      <c r="M27" s="10"/>
      <c r="N27" s="10"/>
      <c r="O27" s="88"/>
      <c r="P27" s="83"/>
      <c r="U27" s="64">
        <f ca="1">E30+F31*40</f>
        <v>-38.32</v>
      </c>
      <c r="V27" s="64">
        <f ca="1">F30-E31*40</f>
        <v>32.200000000000003</v>
      </c>
      <c r="X27" s="4"/>
      <c r="Y27" s="4">
        <f t="shared" si="2"/>
        <v>160</v>
      </c>
      <c r="AB27" s="63">
        <f t="shared" ca="1" si="0"/>
        <v>0</v>
      </c>
      <c r="AE27" s="63">
        <f t="shared" ca="1" si="1"/>
        <v>0.10267884500848146</v>
      </c>
    </row>
    <row r="28" spans="2:32" s="1" customFormat="1" x14ac:dyDescent="0.25">
      <c r="B28" s="24"/>
      <c r="C28" s="59"/>
      <c r="D28" s="12"/>
      <c r="E28" s="44" t="s">
        <v>5</v>
      </c>
      <c r="F28" s="44" t="s">
        <v>6</v>
      </c>
      <c r="G28" s="89" t="s">
        <v>42</v>
      </c>
      <c r="H28" s="45"/>
      <c r="J28" s="82"/>
      <c r="K28" s="75"/>
      <c r="L28" s="12"/>
      <c r="M28" s="44" t="s">
        <v>5</v>
      </c>
      <c r="N28" s="44" t="s">
        <v>6</v>
      </c>
      <c r="O28" s="89" t="s">
        <v>42</v>
      </c>
      <c r="P28" s="83"/>
      <c r="Q28"/>
      <c r="U28" s="4"/>
      <c r="V28" s="4"/>
      <c r="W28"/>
      <c r="X28" s="4"/>
      <c r="Y28" s="4">
        <f t="shared" si="2"/>
        <v>150</v>
      </c>
      <c r="Z28"/>
      <c r="AA28"/>
      <c r="AB28" s="63">
        <f t="shared" ca="1" si="0"/>
        <v>0</v>
      </c>
      <c r="AC28"/>
      <c r="AD28"/>
      <c r="AE28" s="63">
        <f t="shared" ca="1" si="1"/>
        <v>0.11602702078931697</v>
      </c>
    </row>
    <row r="29" spans="2:32" x14ac:dyDescent="0.25">
      <c r="B29" s="22"/>
      <c r="C29" s="50"/>
      <c r="D29" s="43" t="s">
        <v>41</v>
      </c>
      <c r="E29" s="10">
        <f>($E24*0)+$E25</f>
        <v>1</v>
      </c>
      <c r="F29" s="10">
        <f>($E24*1)+$E25+1</f>
        <v>66</v>
      </c>
      <c r="G29" s="51">
        <f>($E24*2)+$E25+2</f>
        <v>131</v>
      </c>
      <c r="H29" s="23"/>
      <c r="J29" s="84"/>
      <c r="K29" s="71"/>
      <c r="L29" s="43"/>
      <c r="M29" s="10"/>
      <c r="N29" s="10"/>
      <c r="O29" s="51"/>
      <c r="P29" s="83"/>
      <c r="X29" s="5"/>
      <c r="Y29" s="4">
        <f t="shared" si="2"/>
        <v>140</v>
      </c>
      <c r="Z29" s="1"/>
      <c r="AB29" s="63">
        <f t="shared" ca="1" si="0"/>
        <v>0</v>
      </c>
      <c r="AD29" s="1"/>
      <c r="AE29" s="63">
        <f t="shared" ca="1" si="1"/>
        <v>0.12864776572875988</v>
      </c>
    </row>
    <row r="30" spans="2:32" x14ac:dyDescent="0.25">
      <c r="B30" s="22"/>
      <c r="C30" s="50"/>
      <c r="D30" s="43" t="s">
        <v>43</v>
      </c>
      <c r="E30" s="90">
        <f ca="1">INDIRECT(ADDRESS($E$29,$E$26,1,1,"Vertex"))</f>
        <v>-50</v>
      </c>
      <c r="F30" s="62">
        <f ca="1">INDIRECT(ADDRESS($F$29,$E$26,1,1,"Vertex"))</f>
        <v>0</v>
      </c>
      <c r="G30" s="90">
        <f ca="1">INDIRECT(ADDRESS($G$29,$E$26,1,1,"Vertex"))</f>
        <v>50</v>
      </c>
      <c r="H30" s="23"/>
      <c r="J30" s="84"/>
      <c r="K30" s="71"/>
      <c r="L30" s="43" t="s">
        <v>43</v>
      </c>
      <c r="M30" s="10">
        <f ca="1">E30</f>
        <v>-50</v>
      </c>
      <c r="N30" s="62" t="s">
        <v>50</v>
      </c>
      <c r="O30" s="51">
        <f ca="1">G30</f>
        <v>50</v>
      </c>
      <c r="P30" s="83"/>
      <c r="X30" s="4"/>
      <c r="Y30" s="4">
        <f t="shared" si="2"/>
        <v>130</v>
      </c>
      <c r="AB30" s="63">
        <f t="shared" ca="1" si="0"/>
        <v>0</v>
      </c>
      <c r="AE30" s="63">
        <f t="shared" ca="1" si="1"/>
        <v>0.14046708948078626</v>
      </c>
    </row>
    <row r="31" spans="2:32" x14ac:dyDescent="0.25">
      <c r="B31" s="22"/>
      <c r="C31" s="50"/>
      <c r="D31" s="43" t="s">
        <v>44</v>
      </c>
      <c r="E31" s="62">
        <f ca="1">INDIRECT(ADDRESS($E$29,$E$26,1,1,"Normal"))</f>
        <v>-0.80500000000000005</v>
      </c>
      <c r="F31" s="62">
        <f ca="1">INDIRECT(ADDRESS($F$29,$E$26,1,1,"Normal"))</f>
        <v>0.29199999999999998</v>
      </c>
      <c r="G31" s="90">
        <f ca="1">INDIRECT(ADDRESS($G$29,$E$26,1,1,"Normal"))</f>
        <v>0.51700000000000002</v>
      </c>
      <c r="H31" s="23"/>
      <c r="J31" s="84"/>
      <c r="K31" s="71"/>
      <c r="L31" s="43" t="s">
        <v>44</v>
      </c>
      <c r="M31" s="62" t="s">
        <v>50</v>
      </c>
      <c r="N31" s="62" t="s">
        <v>50</v>
      </c>
      <c r="O31" s="90" t="s">
        <v>50</v>
      </c>
      <c r="P31" s="83"/>
      <c r="X31" s="4"/>
      <c r="Y31" s="4">
        <f t="shared" si="2"/>
        <v>120</v>
      </c>
      <c r="AB31" s="63">
        <f t="shared" ca="1" si="0"/>
        <v>0</v>
      </c>
      <c r="AE31" s="63">
        <f t="shared" ca="1" si="1"/>
        <v>0.15142944510393547</v>
      </c>
    </row>
    <row r="32" spans="2:32" x14ac:dyDescent="0.25">
      <c r="B32" s="22"/>
      <c r="C32" s="52"/>
      <c r="D32" s="57"/>
      <c r="E32" s="58"/>
      <c r="F32" s="58"/>
      <c r="G32" s="91"/>
      <c r="H32" s="23"/>
      <c r="J32" s="84"/>
      <c r="K32" s="73"/>
      <c r="L32" s="57"/>
      <c r="M32" s="58"/>
      <c r="N32" s="58"/>
      <c r="O32" s="74"/>
      <c r="P32" s="83"/>
      <c r="X32" s="4"/>
      <c r="Y32" s="4">
        <f t="shared" si="2"/>
        <v>110</v>
      </c>
      <c r="AB32" s="63">
        <f t="shared" ca="1" si="0"/>
        <v>0</v>
      </c>
      <c r="AE32" s="63">
        <f t="shared" ca="1" si="1"/>
        <v>0.16149760883905642</v>
      </c>
    </row>
    <row r="33" spans="2:31" x14ac:dyDescent="0.25">
      <c r="B33" s="22"/>
      <c r="C33" s="9"/>
      <c r="D33" s="9"/>
      <c r="E33" s="10"/>
      <c r="F33" s="10"/>
      <c r="G33" s="11"/>
      <c r="H33" s="23"/>
      <c r="J33" s="84"/>
      <c r="K33" s="10"/>
      <c r="L33" s="9"/>
      <c r="M33" s="10"/>
      <c r="N33" s="10"/>
      <c r="O33" s="9"/>
      <c r="P33" s="83"/>
      <c r="X33" s="4"/>
      <c r="Y33" s="4">
        <f t="shared" si="2"/>
        <v>100</v>
      </c>
      <c r="AB33" s="63">
        <f t="shared" ca="1" si="0"/>
        <v>0.11718161300427543</v>
      </c>
      <c r="AE33" s="63">
        <f t="shared" ca="1" si="1"/>
        <v>0.17065184042465403</v>
      </c>
    </row>
    <row r="34" spans="2:31" x14ac:dyDescent="0.25">
      <c r="B34" s="22"/>
      <c r="C34" s="46"/>
      <c r="D34" s="47"/>
      <c r="E34" s="48"/>
      <c r="F34" s="48"/>
      <c r="G34" s="87"/>
      <c r="H34" s="23"/>
      <c r="J34" s="84"/>
      <c r="K34" s="69"/>
      <c r="L34" s="47"/>
      <c r="M34" s="47"/>
      <c r="N34" s="47"/>
      <c r="O34" s="70"/>
      <c r="P34" s="83"/>
      <c r="X34" s="4"/>
      <c r="Y34" s="4">
        <f t="shared" si="2"/>
        <v>90</v>
      </c>
      <c r="AB34" s="63">
        <f t="shared" ca="1" si="0"/>
        <v>0.13578932413158659</v>
      </c>
      <c r="AE34" s="63">
        <f t="shared" ca="1" si="1"/>
        <v>0.178888467672673</v>
      </c>
    </row>
    <row r="35" spans="2:31" s="1" customFormat="1" x14ac:dyDescent="0.25">
      <c r="B35" s="24"/>
      <c r="C35" s="59"/>
      <c r="D35" s="12" t="s">
        <v>17</v>
      </c>
      <c r="E35" s="44"/>
      <c r="F35" s="44"/>
      <c r="G35" s="89"/>
      <c r="H35" s="23"/>
      <c r="I35"/>
      <c r="J35" s="84"/>
      <c r="K35" s="71"/>
      <c r="L35" s="12" t="s">
        <v>17</v>
      </c>
      <c r="M35" s="9"/>
      <c r="N35" s="9"/>
      <c r="O35" s="72"/>
      <c r="P35" s="83"/>
      <c r="U35" s="4"/>
      <c r="V35" s="4"/>
      <c r="W35"/>
      <c r="X35" s="4"/>
      <c r="Y35" s="4">
        <f t="shared" si="2"/>
        <v>80</v>
      </c>
      <c r="Z35"/>
      <c r="AA35"/>
      <c r="AB35" s="63">
        <f t="shared" ca="1" si="0"/>
        <v>0.15162973084807327</v>
      </c>
      <c r="AC35"/>
      <c r="AD35"/>
      <c r="AE35" s="63">
        <f t="shared" ca="1" si="1"/>
        <v>0.18621805646444733</v>
      </c>
    </row>
    <row r="36" spans="2:31" s="1" customFormat="1" x14ac:dyDescent="0.25">
      <c r="B36" s="24"/>
      <c r="C36" s="59"/>
      <c r="D36" s="12"/>
      <c r="E36" s="16"/>
      <c r="F36" s="16"/>
      <c r="G36" s="92"/>
      <c r="H36" s="23"/>
      <c r="I36"/>
      <c r="J36" s="84"/>
      <c r="K36" s="71"/>
      <c r="L36" s="9"/>
      <c r="M36" s="9"/>
      <c r="N36" s="9"/>
      <c r="O36" s="76"/>
      <c r="P36" s="85"/>
      <c r="U36" s="4"/>
      <c r="V36" s="4"/>
      <c r="W36"/>
      <c r="X36" s="5"/>
      <c r="Y36" s="4">
        <f t="shared" si="2"/>
        <v>70</v>
      </c>
      <c r="AA36"/>
      <c r="AB36" s="63">
        <f t="shared" ca="1" si="0"/>
        <v>0.16493171516816973</v>
      </c>
      <c r="AC36"/>
      <c r="AE36" s="63">
        <f t="shared" ca="1" si="1"/>
        <v>0.19266332733810931</v>
      </c>
    </row>
    <row r="37" spans="2:31" s="1" customFormat="1" x14ac:dyDescent="0.25">
      <c r="B37" s="24"/>
      <c r="C37" s="59"/>
      <c r="D37" s="15" t="s">
        <v>52</v>
      </c>
      <c r="E37" s="14" t="s">
        <v>45</v>
      </c>
      <c r="F37" s="14" t="s">
        <v>46</v>
      </c>
      <c r="G37" s="89"/>
      <c r="H37" s="23"/>
      <c r="I37"/>
      <c r="J37" s="84"/>
      <c r="K37" s="71"/>
      <c r="L37" s="15" t="s">
        <v>52</v>
      </c>
      <c r="M37" s="14" t="s">
        <v>46</v>
      </c>
      <c r="N37" s="14" t="s">
        <v>45</v>
      </c>
      <c r="O37" s="72"/>
      <c r="P37" s="83"/>
      <c r="U37" s="4"/>
      <c r="V37" s="4"/>
      <c r="W37"/>
      <c r="X37" s="5"/>
      <c r="Y37" s="4">
        <f t="shared" si="2"/>
        <v>60</v>
      </c>
      <c r="AA37"/>
      <c r="AB37" s="63">
        <f t="shared" ca="1" si="0"/>
        <v>0.17594319138292683</v>
      </c>
      <c r="AC37"/>
      <c r="AE37" s="63">
        <f t="shared" ca="1" si="1"/>
        <v>0.19825696613126692</v>
      </c>
    </row>
    <row r="38" spans="2:31" s="7" customFormat="1" x14ac:dyDescent="0.25">
      <c r="B38" s="25"/>
      <c r="C38" s="60"/>
      <c r="D38" s="15" t="s">
        <v>7</v>
      </c>
      <c r="E38" s="63">
        <f ca="1">shadex($E11,$F11,$G11,$E$7,$E$30,$F$30,$G$30,$E$31,$F$31,$G$31)</f>
        <v>0.23584615384615384</v>
      </c>
      <c r="F38" s="16">
        <f ca="1">INT(E38*255)</f>
        <v>60</v>
      </c>
      <c r="G38" s="93"/>
      <c r="H38" s="23"/>
      <c r="I38"/>
      <c r="J38" s="84"/>
      <c r="K38" s="77"/>
      <c r="L38" s="15" t="s">
        <v>7</v>
      </c>
      <c r="M38" s="78">
        <f ca="1">$F$38</f>
        <v>60</v>
      </c>
      <c r="N38" s="99">
        <f ca="1">M38/255</f>
        <v>0.23529411764705882</v>
      </c>
      <c r="O38" s="72"/>
      <c r="P38" s="83"/>
      <c r="U38" s="4"/>
      <c r="V38" s="4"/>
      <c r="W38"/>
      <c r="X38" s="5"/>
      <c r="Y38" s="4">
        <f t="shared" si="2"/>
        <v>50</v>
      </c>
      <c r="Z38" s="1"/>
      <c r="AA38"/>
      <c r="AB38" s="63">
        <f t="shared" ca="1" si="0"/>
        <v>0.18491565906970023</v>
      </c>
      <c r="AC38"/>
      <c r="AD38" s="1"/>
      <c r="AE38" s="63">
        <f t="shared" ca="1" si="1"/>
        <v>0.2030394532619339</v>
      </c>
    </row>
    <row r="39" spans="2:31" s="7" customFormat="1" x14ac:dyDescent="0.25">
      <c r="B39" s="25"/>
      <c r="C39" s="60"/>
      <c r="D39" s="15" t="s">
        <v>8</v>
      </c>
      <c r="E39" s="63">
        <f ca="1">shadex($E12,$F12,$G12,$E$7,$E$30,$F$30,$G$30,$E$31,$F$31,$G$31)</f>
        <v>0</v>
      </c>
      <c r="F39" s="16">
        <f ca="1">INT(E39*255)</f>
        <v>0</v>
      </c>
      <c r="G39" s="93"/>
      <c r="H39" s="23"/>
      <c r="I39"/>
      <c r="J39" s="84"/>
      <c r="K39" s="77"/>
      <c r="L39" s="15" t="s">
        <v>8</v>
      </c>
      <c r="M39" s="78">
        <f ca="1">$F$39</f>
        <v>0</v>
      </c>
      <c r="N39" s="99">
        <f ca="1">M39/255</f>
        <v>0</v>
      </c>
      <c r="O39" s="72"/>
      <c r="P39" s="83"/>
      <c r="U39" s="4"/>
      <c r="V39" s="4"/>
      <c r="W39"/>
      <c r="X39" s="8"/>
      <c r="Y39" s="4">
        <f t="shared" si="2"/>
        <v>40</v>
      </c>
      <c r="AA39"/>
      <c r="AB39" s="63">
        <f t="shared" ca="1" si="0"/>
        <v>0.19209330584867557</v>
      </c>
      <c r="AC39"/>
      <c r="AE39" s="63">
        <f t="shared" ca="1" si="1"/>
        <v>0.20705700867696741</v>
      </c>
    </row>
    <row r="40" spans="2:31" s="7" customFormat="1" x14ac:dyDescent="0.25">
      <c r="B40" s="25"/>
      <c r="C40" s="61"/>
      <c r="D40" s="53"/>
      <c r="E40" s="54"/>
      <c r="F40" s="54"/>
      <c r="G40" s="94"/>
      <c r="H40" s="23"/>
      <c r="I40"/>
      <c r="J40" s="84"/>
      <c r="K40" s="79"/>
      <c r="L40" s="57"/>
      <c r="M40" s="57"/>
      <c r="N40" s="57"/>
      <c r="O40" s="74"/>
      <c r="P40" s="83"/>
      <c r="U40" s="4"/>
      <c r="V40" s="4"/>
      <c r="W40"/>
      <c r="X40" s="8"/>
      <c r="Y40" s="4">
        <f t="shared" si="2"/>
        <v>30</v>
      </c>
      <c r="AA40"/>
      <c r="AB40" s="63">
        <f t="shared" ca="1" si="0"/>
        <v>0.19770591365631182</v>
      </c>
      <c r="AC40"/>
      <c r="AE40" s="63">
        <f t="shared" ca="1" si="1"/>
        <v>0.21035972110593484</v>
      </c>
    </row>
    <row r="41" spans="2:31" s="3" customFormat="1" ht="15.75" thickBot="1" x14ac:dyDescent="0.3">
      <c r="B41" s="26"/>
      <c r="C41" s="30"/>
      <c r="D41" s="27"/>
      <c r="E41" s="28"/>
      <c r="F41" s="28"/>
      <c r="G41" s="29"/>
      <c r="H41" s="31"/>
      <c r="J41" s="26"/>
      <c r="K41" s="30"/>
      <c r="L41" s="27"/>
      <c r="M41" s="27"/>
      <c r="N41" s="27"/>
      <c r="O41" s="27"/>
      <c r="P41" s="86"/>
      <c r="U41" s="4"/>
      <c r="V41" s="4"/>
      <c r="W41"/>
      <c r="X41" s="8"/>
      <c r="Y41" s="4">
        <f>Y40-10</f>
        <v>20</v>
      </c>
      <c r="Z41" s="7"/>
      <c r="AA41"/>
      <c r="AB41" s="63">
        <f t="shared" ca="1" si="0"/>
        <v>0.20196474244263818</v>
      </c>
      <c r="AC41"/>
      <c r="AD41" s="7"/>
      <c r="AE41" s="63">
        <f t="shared" ca="1" si="1"/>
        <v>0.21299990387639942</v>
      </c>
    </row>
    <row r="42" spans="2:31" s="3" customFormat="1" x14ac:dyDescent="0.25">
      <c r="D42"/>
      <c r="E42" s="4"/>
      <c r="F42" s="4"/>
      <c r="G42" s="6"/>
      <c r="L42"/>
      <c r="M42"/>
      <c r="N42"/>
      <c r="O42"/>
      <c r="P42"/>
      <c r="U42" s="4"/>
      <c r="V42" s="4"/>
      <c r="W42"/>
      <c r="Y42" s="4">
        <f t="shared" ref="Y42" si="3">Y41-10</f>
        <v>10</v>
      </c>
      <c r="AA42"/>
      <c r="AB42" s="63">
        <f ca="1">shadex($E$11,$F$11,$G$11,$E$7,$X$23,$Y42,$Z$23,$AB$49,$AB$50,0)</f>
        <v>0.20506061679770307</v>
      </c>
      <c r="AC42"/>
      <c r="AE42" s="63">
        <f t="shared" ca="1" si="1"/>
        <v>0.21503069696612601</v>
      </c>
    </row>
    <row r="43" spans="2:31" s="3" customFormat="1" x14ac:dyDescent="0.25">
      <c r="L43"/>
      <c r="M43"/>
      <c r="N43"/>
      <c r="O43" s="1"/>
      <c r="P43" s="1"/>
      <c r="U43" s="4"/>
      <c r="V43" s="4"/>
      <c r="W43"/>
      <c r="Y43" s="4">
        <f>Y42-10</f>
        <v>0</v>
      </c>
      <c r="AA43"/>
      <c r="AB43" s="63">
        <f ca="1">shadex($E$11,$F$11,$G$11,$E$7,$X$23,$Y43,$Z$23,$AB$49,$AB$50,0)</f>
        <v>0.20716355625341357</v>
      </c>
      <c r="AC43"/>
      <c r="AE43" s="63">
        <f t="shared" ca="1" si="1"/>
        <v>0.21650491703799399</v>
      </c>
    </row>
    <row r="44" spans="2:31" s="3" customFormat="1" x14ac:dyDescent="0.25">
      <c r="L44"/>
      <c r="M44"/>
      <c r="N44"/>
      <c r="O44" s="1"/>
      <c r="P44" s="1"/>
      <c r="U44" s="4"/>
      <c r="V44" s="4"/>
      <c r="W44"/>
      <c r="Y44" s="4">
        <f>Y43-10</f>
        <v>-10</v>
      </c>
      <c r="AA44"/>
      <c r="AB44" s="63">
        <f t="shared" ca="1" si="0"/>
        <v>0.20842342440816358</v>
      </c>
      <c r="AC44"/>
      <c r="AE44" s="63">
        <f t="shared" ca="1" si="1"/>
        <v>0.21747414403944457</v>
      </c>
    </row>
    <row r="45" spans="2:31" s="3" customFormat="1" x14ac:dyDescent="0.25">
      <c r="L45"/>
      <c r="M45"/>
      <c r="N45"/>
      <c r="O45" s="1"/>
      <c r="P45" s="1"/>
      <c r="U45" s="4"/>
      <c r="V45" s="4"/>
      <c r="W45"/>
      <c r="AA45"/>
    </row>
    <row r="46" spans="2:31" s="3" customFormat="1" x14ac:dyDescent="0.25">
      <c r="L46"/>
      <c r="M46"/>
      <c r="N46"/>
      <c r="O46" s="1"/>
      <c r="P46" s="1"/>
      <c r="U46" s="4"/>
      <c r="V46" s="4"/>
      <c r="W46"/>
      <c r="Y46" s="100">
        <f ca="1">F30</f>
        <v>0</v>
      </c>
      <c r="AA46" s="99">
        <f ca="1">N38</f>
        <v>0.23529411764705882</v>
      </c>
      <c r="AB46" s="97">
        <f ca="1">shadex($E$11,$F$11,$G$11,$E$7,$X$23,$Y46,$Z$23,$AB$49,$AB$50,0)</f>
        <v>0.20716355625341357</v>
      </c>
      <c r="AD46" s="99">
        <f ca="1">N39</f>
        <v>0</v>
      </c>
      <c r="AE46" s="97">
        <f ca="1">shadex($E$12,$F$12,$G$12,$E$7,$X$23,$Y46,$Z$23,$AE$49,$AE$50,0)</f>
        <v>0.21650491703799399</v>
      </c>
    </row>
    <row r="47" spans="2:31" s="3" customFormat="1" x14ac:dyDescent="0.25">
      <c r="L47"/>
      <c r="M47"/>
      <c r="N47"/>
      <c r="O47" s="1"/>
      <c r="P47" s="1"/>
      <c r="U47" s="4"/>
      <c r="V47" s="4"/>
      <c r="W47"/>
    </row>
    <row r="48" spans="2:31" s="3" customFormat="1" x14ac:dyDescent="0.25">
      <c r="L48"/>
      <c r="M48"/>
      <c r="N48"/>
      <c r="O48" s="1"/>
      <c r="P48" s="1"/>
      <c r="U48" s="4"/>
      <c r="V48" s="4"/>
      <c r="W48"/>
      <c r="AA48" s="63" t="s">
        <v>55</v>
      </c>
      <c r="AB48" s="101">
        <v>20.54</v>
      </c>
      <c r="AC48" s="98"/>
      <c r="AD48" s="63" t="s">
        <v>55</v>
      </c>
      <c r="AE48" s="101">
        <v>6.58</v>
      </c>
    </row>
    <row r="49" spans="2:31" s="3" customFormat="1" x14ac:dyDescent="0.25">
      <c r="L49"/>
      <c r="M49"/>
      <c r="N49"/>
      <c r="O49" s="1"/>
      <c r="P49" s="1"/>
      <c r="U49" s="4"/>
      <c r="V49" s="4"/>
      <c r="W49"/>
      <c r="AA49" s="63" t="s">
        <v>56</v>
      </c>
      <c r="AB49" s="63">
        <f>SIN(RADIANS(AB48))</f>
        <v>0.35086121641150692</v>
      </c>
      <c r="AC49" s="63"/>
      <c r="AD49" s="63" t="s">
        <v>56</v>
      </c>
      <c r="AE49" s="63">
        <f>SIN(RADIANS(AE48))</f>
        <v>0.11459039098834944</v>
      </c>
    </row>
    <row r="50" spans="2:31" s="3" customFormat="1" x14ac:dyDescent="0.25">
      <c r="L50"/>
      <c r="M50"/>
      <c r="N50"/>
      <c r="O50" s="1"/>
      <c r="P50" s="1"/>
      <c r="AA50" s="63" t="s">
        <v>11</v>
      </c>
      <c r="AB50" s="63">
        <f>COS(RADIANS(AB48))</f>
        <v>0.93642747013222427</v>
      </c>
      <c r="AC50" s="63"/>
      <c r="AD50" s="63" t="s">
        <v>11</v>
      </c>
      <c r="AE50" s="63">
        <f>COS(RADIANS(AE48))</f>
        <v>0.99341282571403178</v>
      </c>
    </row>
    <row r="51" spans="2:31" x14ac:dyDescent="0.25">
      <c r="B51" s="3"/>
      <c r="C51" s="3"/>
      <c r="D51" s="3"/>
      <c r="E51" s="3"/>
      <c r="F51" s="3"/>
      <c r="G51" s="3"/>
      <c r="M51"/>
      <c r="N51"/>
      <c r="O51" s="7"/>
      <c r="P51" s="7"/>
    </row>
    <row r="52" spans="2:31" s="3" customFormat="1" x14ac:dyDescent="0.25">
      <c r="L52"/>
      <c r="M52"/>
      <c r="N52"/>
      <c r="O52" s="7"/>
      <c r="P52" s="7"/>
    </row>
    <row r="53" spans="2:31" s="3" customFormat="1" x14ac:dyDescent="0.25">
      <c r="L53"/>
      <c r="M53"/>
      <c r="N53"/>
      <c r="O53" s="7"/>
      <c r="P53" s="7"/>
    </row>
    <row r="54" spans="2:31" s="3" customFormat="1" x14ac:dyDescent="0.25">
      <c r="L54"/>
      <c r="M54"/>
      <c r="N54"/>
    </row>
    <row r="55" spans="2:31" x14ac:dyDescent="0.25">
      <c r="B55" s="3"/>
      <c r="C55" s="3"/>
      <c r="D55" s="3"/>
      <c r="E55" s="3"/>
      <c r="F55" s="3"/>
      <c r="G55" s="3"/>
      <c r="J55" s="3"/>
      <c r="K55" s="3"/>
      <c r="M55"/>
      <c r="N55"/>
      <c r="O55" s="3"/>
      <c r="P55" s="3"/>
    </row>
    <row r="56" spans="2:31" x14ac:dyDescent="0.25">
      <c r="B56" s="3"/>
      <c r="C56" s="3"/>
      <c r="D56" s="3"/>
      <c r="E56" s="3"/>
      <c r="F56" s="3"/>
      <c r="G56" s="3"/>
      <c r="J56" s="3"/>
      <c r="K56" s="3"/>
      <c r="M56"/>
      <c r="N56"/>
      <c r="O56" s="3"/>
      <c r="P56" s="3"/>
    </row>
    <row r="57" spans="2:31" x14ac:dyDescent="0.25">
      <c r="B57" s="3"/>
      <c r="C57" s="3"/>
      <c r="D57" s="3"/>
      <c r="E57" s="3"/>
      <c r="F57" s="3"/>
      <c r="G57" s="3"/>
      <c r="J57" s="3"/>
      <c r="K57" s="3"/>
      <c r="M57"/>
      <c r="N57"/>
      <c r="O57" s="3"/>
      <c r="P57" s="3"/>
    </row>
    <row r="58" spans="2:31" x14ac:dyDescent="0.25">
      <c r="B58" s="3"/>
      <c r="C58" s="3"/>
      <c r="D58" s="3"/>
      <c r="E58" s="3"/>
      <c r="F58" s="3"/>
      <c r="G58" s="3"/>
      <c r="J58" s="3"/>
      <c r="K58" s="3"/>
      <c r="M58"/>
      <c r="N58"/>
      <c r="O58" s="3"/>
      <c r="P58" s="3"/>
    </row>
    <row r="59" spans="2:31" x14ac:dyDescent="0.25">
      <c r="B59" s="3"/>
      <c r="C59" s="3"/>
      <c r="D59" s="3"/>
      <c r="E59" s="3"/>
      <c r="F59" s="3"/>
      <c r="G59" s="3"/>
      <c r="J59" s="3"/>
      <c r="K59" s="3"/>
      <c r="M59"/>
      <c r="N59"/>
      <c r="O59" s="3"/>
      <c r="P59" s="3"/>
    </row>
    <row r="60" spans="2:31" x14ac:dyDescent="0.25">
      <c r="B60" s="3"/>
      <c r="C60" s="3"/>
      <c r="D60" s="3"/>
      <c r="E60" s="3"/>
      <c r="F60" s="3"/>
      <c r="G60" s="3"/>
      <c r="J60" s="3"/>
      <c r="K60" s="3"/>
      <c r="M60"/>
      <c r="N60"/>
      <c r="O60" s="3"/>
      <c r="P60" s="3"/>
    </row>
    <row r="61" spans="2:31" x14ac:dyDescent="0.25">
      <c r="B61" s="3"/>
      <c r="C61" s="3"/>
      <c r="D61" s="3"/>
      <c r="E61" s="3"/>
      <c r="F61" s="3"/>
      <c r="G61" s="3"/>
      <c r="J61" s="3"/>
      <c r="K61" s="3"/>
      <c r="M61"/>
      <c r="N61"/>
    </row>
    <row r="62" spans="2:31" x14ac:dyDescent="0.25">
      <c r="B62" s="3"/>
      <c r="C62" s="3"/>
      <c r="D62" s="3"/>
      <c r="E62" s="3"/>
      <c r="F62" s="3"/>
      <c r="G62" s="3"/>
      <c r="J62" s="3"/>
      <c r="K62" s="3"/>
      <c r="M62"/>
      <c r="N62"/>
      <c r="O62" s="3"/>
      <c r="P62" s="3"/>
    </row>
    <row r="63" spans="2:31" x14ac:dyDescent="0.25">
      <c r="B63" s="3"/>
      <c r="C63" s="3"/>
      <c r="D63" s="3"/>
      <c r="E63" s="3"/>
      <c r="F63" s="3"/>
      <c r="G63" s="3"/>
      <c r="J63" s="3"/>
      <c r="K63" s="3"/>
      <c r="L63" s="3"/>
      <c r="M63" s="3"/>
      <c r="N63" s="3"/>
      <c r="O63" s="3"/>
      <c r="P63" s="3"/>
    </row>
    <row r="64" spans="2:31" x14ac:dyDescent="0.25">
      <c r="J64" s="3"/>
      <c r="K64" s="3"/>
      <c r="L64" s="3"/>
      <c r="M64" s="3"/>
      <c r="N64" s="3"/>
      <c r="O64" s="3"/>
      <c r="P64" s="3"/>
    </row>
    <row r="65" spans="10:14" x14ac:dyDescent="0.25">
      <c r="J65" s="3"/>
      <c r="K65" s="3"/>
      <c r="L65" s="3"/>
      <c r="M65" s="3"/>
      <c r="N65" s="3"/>
    </row>
    <row r="66" spans="10:14" x14ac:dyDescent="0.25">
      <c r="J66" s="3"/>
      <c r="K66" s="3"/>
      <c r="L66" s="3"/>
      <c r="M66" s="3"/>
      <c r="N66" s="3"/>
    </row>
    <row r="67" spans="10:14" x14ac:dyDescent="0.25">
      <c r="J67" s="3"/>
      <c r="K67" s="3"/>
      <c r="L67" s="3"/>
      <c r="M67" s="3"/>
      <c r="N67" s="3"/>
    </row>
    <row r="68" spans="10:14" x14ac:dyDescent="0.25">
      <c r="L68" s="3"/>
      <c r="M68" s="3"/>
      <c r="N68" s="3"/>
    </row>
    <row r="69" spans="10:14" x14ac:dyDescent="0.25">
      <c r="L69" s="3"/>
      <c r="M69" s="3"/>
      <c r="N69" s="3"/>
    </row>
    <row r="70" spans="10:14" x14ac:dyDescent="0.25">
      <c r="L70" s="3"/>
      <c r="M70" s="3"/>
      <c r="N70" s="3"/>
    </row>
    <row r="71" spans="10:14" x14ac:dyDescent="0.25">
      <c r="L71" s="3"/>
      <c r="M71" s="3"/>
      <c r="N71" s="3"/>
    </row>
    <row r="72" spans="10:14" x14ac:dyDescent="0.25">
      <c r="L72" s="3"/>
      <c r="M72" s="3"/>
      <c r="N72" s="3"/>
    </row>
    <row r="73" spans="10:14" x14ac:dyDescent="0.25">
      <c r="L73" s="3"/>
      <c r="M73" s="3"/>
      <c r="N73" s="3"/>
    </row>
    <row r="74" spans="10:14" x14ac:dyDescent="0.25">
      <c r="L74" s="3"/>
      <c r="M74" s="3"/>
      <c r="N74" s="3"/>
    </row>
    <row r="75" spans="10:14" x14ac:dyDescent="0.25">
      <c r="L75" s="3"/>
      <c r="M75" s="3"/>
      <c r="N75" s="3"/>
    </row>
    <row r="76" spans="10:14" x14ac:dyDescent="0.25">
      <c r="L76" s="3"/>
      <c r="M76" s="3"/>
      <c r="N76" s="3"/>
    </row>
    <row r="77" spans="10:14" x14ac:dyDescent="0.25">
      <c r="L77" s="3"/>
      <c r="M77" s="3"/>
      <c r="N77" s="3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3CCFD-3E96-47D8-8C89-5D634F68A822}">
  <sheetPr codeName="Sheet8"/>
  <dimension ref="A1:C64"/>
  <sheetViews>
    <sheetView workbookViewId="0">
      <selection activeCell="A9" sqref="A9"/>
    </sheetView>
  </sheetViews>
  <sheetFormatPr defaultRowHeight="15" x14ac:dyDescent="0.25"/>
  <sheetData>
    <row r="1" spans="1:3" x14ac:dyDescent="0.25">
      <c r="A1">
        <f>Vertex!$A131</f>
        <v>50</v>
      </c>
      <c r="B1">
        <f>Value!$A1/$C$1</f>
        <v>6</v>
      </c>
      <c r="C1">
        <v>10</v>
      </c>
    </row>
    <row r="2" spans="1:3" x14ac:dyDescent="0.25">
      <c r="A2">
        <f>Vertex!$A132</f>
        <v>49.902000000000001</v>
      </c>
      <c r="B2">
        <f>Value!$A2/$C$1</f>
        <v>6</v>
      </c>
    </row>
    <row r="3" spans="1:3" x14ac:dyDescent="0.25">
      <c r="A3">
        <f>Vertex!$A133</f>
        <v>49.805</v>
      </c>
      <c r="B3">
        <f>Value!$A3/$C$1</f>
        <v>7.1</v>
      </c>
    </row>
    <row r="4" spans="1:3" x14ac:dyDescent="0.25">
      <c r="A4">
        <f>Vertex!$A134</f>
        <v>49.707000000000001</v>
      </c>
      <c r="B4">
        <f>Value!$A4/$C$1</f>
        <v>8.8000000000000007</v>
      </c>
    </row>
    <row r="5" spans="1:3" x14ac:dyDescent="0.25">
      <c r="A5">
        <f>Vertex!$A135</f>
        <v>49.609000000000002</v>
      </c>
      <c r="B5">
        <f>Value!$A5/$C$1</f>
        <v>7.9</v>
      </c>
    </row>
    <row r="6" spans="1:3" x14ac:dyDescent="0.25">
      <c r="A6">
        <f>Vertex!$A136</f>
        <v>49.512</v>
      </c>
      <c r="B6">
        <f>Value!$A6/$C$1</f>
        <v>5.6</v>
      </c>
    </row>
    <row r="7" spans="1:3" x14ac:dyDescent="0.25">
      <c r="A7">
        <f>Vertex!$A137</f>
        <v>49.414000000000001</v>
      </c>
      <c r="B7">
        <f>Value!$A7/$C$1</f>
        <v>4.5</v>
      </c>
    </row>
    <row r="8" spans="1:3" x14ac:dyDescent="0.25">
      <c r="A8">
        <f>Vertex!$A138</f>
        <v>49.316000000000003</v>
      </c>
      <c r="B8">
        <f>Value!$A8/$C$1</f>
        <v>5.2</v>
      </c>
    </row>
    <row r="9" spans="1:3" x14ac:dyDescent="0.25">
      <c r="A9">
        <f>Vertex!$A139</f>
        <v>49.219000000000001</v>
      </c>
      <c r="B9">
        <f>Value!$A9/$C$1</f>
        <v>6.5</v>
      </c>
    </row>
    <row r="10" spans="1:3" x14ac:dyDescent="0.25">
      <c r="A10">
        <f>Vertex!$A140</f>
        <v>49.121000000000002</v>
      </c>
      <c r="B10">
        <f>Value!$A10/$C$1</f>
        <v>7.2</v>
      </c>
    </row>
    <row r="11" spans="1:3" x14ac:dyDescent="0.25">
      <c r="A11">
        <f>Vertex!$A141</f>
        <v>49.023000000000003</v>
      </c>
      <c r="B11">
        <f>Value!$A11/$C$1</f>
        <v>9.1</v>
      </c>
    </row>
    <row r="12" spans="1:3" x14ac:dyDescent="0.25">
      <c r="A12">
        <f>Vertex!$A142</f>
        <v>48.926000000000002</v>
      </c>
      <c r="B12">
        <f>Value!$A12/$C$1</f>
        <v>8</v>
      </c>
    </row>
    <row r="13" spans="1:3" x14ac:dyDescent="0.25">
      <c r="A13">
        <f>Vertex!$A143</f>
        <v>48.828000000000003</v>
      </c>
      <c r="B13">
        <f>Value!$A13/$C$1</f>
        <v>6.3</v>
      </c>
    </row>
    <row r="14" spans="1:3" x14ac:dyDescent="0.25">
      <c r="A14">
        <f>Vertex!$A144</f>
        <v>48.73</v>
      </c>
      <c r="B14">
        <f>Value!$A14/$C$1</f>
        <v>6.1</v>
      </c>
    </row>
    <row r="15" spans="1:3" x14ac:dyDescent="0.25">
      <c r="A15">
        <f>Vertex!$A145</f>
        <v>48.633000000000003</v>
      </c>
      <c r="B15">
        <f>Value!$A15/$C$1</f>
        <v>3.6</v>
      </c>
    </row>
    <row r="16" spans="1:3" x14ac:dyDescent="0.25">
      <c r="A16">
        <f>Vertex!$A146</f>
        <v>48.534999999999997</v>
      </c>
      <c r="B16">
        <f>Value!$A16/$C$1</f>
        <v>0</v>
      </c>
    </row>
    <row r="17" spans="1:2" x14ac:dyDescent="0.25">
      <c r="A17">
        <f>Vertex!$A147</f>
        <v>48.438000000000002</v>
      </c>
      <c r="B17">
        <f>Value!$A17/$C$1</f>
        <v>4.0999999999999996</v>
      </c>
    </row>
    <row r="18" spans="1:2" x14ac:dyDescent="0.25">
      <c r="A18">
        <f>Vertex!$A148</f>
        <v>48.34</v>
      </c>
      <c r="B18">
        <f>Value!$A18/$C$1</f>
        <v>7.6</v>
      </c>
    </row>
    <row r="19" spans="1:2" x14ac:dyDescent="0.25">
      <c r="A19">
        <f>Vertex!$A149</f>
        <v>48.241999999999997</v>
      </c>
      <c r="B19">
        <f>Value!$A19/$C$1</f>
        <v>7.7</v>
      </c>
    </row>
    <row r="20" spans="1:2" x14ac:dyDescent="0.25">
      <c r="A20">
        <f>Vertex!$A150</f>
        <v>48.145000000000003</v>
      </c>
      <c r="B20">
        <f>Value!$A20/$C$1</f>
        <v>8.6</v>
      </c>
    </row>
    <row r="21" spans="1:2" x14ac:dyDescent="0.25">
      <c r="A21">
        <f>Vertex!$A151</f>
        <v>48.046999999999997</v>
      </c>
      <c r="B21">
        <f>Value!$A21/$C$1</f>
        <v>7.6</v>
      </c>
    </row>
    <row r="22" spans="1:2" x14ac:dyDescent="0.25">
      <c r="A22">
        <f>Vertex!$A152</f>
        <v>47.948999999999998</v>
      </c>
      <c r="B22">
        <f>Value!$A22/$C$1</f>
        <v>6.7</v>
      </c>
    </row>
    <row r="23" spans="1:2" x14ac:dyDescent="0.25">
      <c r="A23">
        <f>Vertex!$A153</f>
        <v>47.851999999999997</v>
      </c>
      <c r="B23">
        <f>Value!$A23/$C$1</f>
        <v>6</v>
      </c>
    </row>
    <row r="24" spans="1:2" x14ac:dyDescent="0.25">
      <c r="A24">
        <f>Vertex!$A154</f>
        <v>47.753999999999998</v>
      </c>
      <c r="B24">
        <f>Value!$A24/$C$1</f>
        <v>5.0999999999999996</v>
      </c>
    </row>
    <row r="25" spans="1:2" x14ac:dyDescent="0.25">
      <c r="A25">
        <f>Vertex!$A155</f>
        <v>47.655999999999999</v>
      </c>
      <c r="B25">
        <f>Value!$A25/$C$1</f>
        <v>6.6</v>
      </c>
    </row>
    <row r="26" spans="1:2" x14ac:dyDescent="0.25">
      <c r="A26">
        <f>Vertex!$A156</f>
        <v>47.558999999999997</v>
      </c>
      <c r="B26">
        <f>Value!$A26/$C$1</f>
        <v>6.9</v>
      </c>
    </row>
    <row r="27" spans="1:2" x14ac:dyDescent="0.25">
      <c r="A27">
        <f>Vertex!$A157</f>
        <v>47.460999999999999</v>
      </c>
      <c r="B27">
        <f>Value!$A27/$C$1</f>
        <v>6.8</v>
      </c>
    </row>
    <row r="28" spans="1:2" x14ac:dyDescent="0.25">
      <c r="A28">
        <f>Vertex!$A158</f>
        <v>47.363</v>
      </c>
      <c r="B28">
        <f>Value!$A28/$C$1</f>
        <v>5.8</v>
      </c>
    </row>
    <row r="29" spans="1:2" x14ac:dyDescent="0.25">
      <c r="A29">
        <f>Vertex!$A159</f>
        <v>47.265999999999998</v>
      </c>
      <c r="B29">
        <f>Value!$A29/$C$1</f>
        <v>6.8</v>
      </c>
    </row>
    <row r="30" spans="1:2" x14ac:dyDescent="0.25">
      <c r="A30">
        <f>Vertex!$A160</f>
        <v>47.167999999999999</v>
      </c>
      <c r="B30">
        <f>Value!$A30/$C$1</f>
        <v>8.4</v>
      </c>
    </row>
    <row r="31" spans="1:2" x14ac:dyDescent="0.25">
      <c r="A31">
        <f>Vertex!$A161</f>
        <v>47.07</v>
      </c>
      <c r="B31">
        <f>Value!$A31/$C$1</f>
        <v>9.6</v>
      </c>
    </row>
    <row r="32" spans="1:2" x14ac:dyDescent="0.25">
      <c r="A32">
        <f>Vertex!$A162</f>
        <v>46.972999999999999</v>
      </c>
      <c r="B32">
        <f>Value!$A32/$C$1</f>
        <v>8.8000000000000007</v>
      </c>
    </row>
    <row r="33" spans="1:2" x14ac:dyDescent="0.25">
      <c r="A33">
        <f>Vertex!$A163</f>
        <v>46.875</v>
      </c>
      <c r="B33">
        <f>Value!$A33/$C$1</f>
        <v>8.3000000000000007</v>
      </c>
    </row>
    <row r="34" spans="1:2" x14ac:dyDescent="0.25">
      <c r="A34">
        <f>Vertex!$A164</f>
        <v>46.777000000000001</v>
      </c>
      <c r="B34">
        <f>Value!$A34/$C$1</f>
        <v>9.6</v>
      </c>
    </row>
    <row r="35" spans="1:2" x14ac:dyDescent="0.25">
      <c r="A35">
        <f>Vertex!$A165</f>
        <v>46.68</v>
      </c>
      <c r="B35">
        <f>Value!$A35/$C$1</f>
        <v>9.6</v>
      </c>
    </row>
    <row r="36" spans="1:2" x14ac:dyDescent="0.25">
      <c r="A36">
        <f>Vertex!$A166</f>
        <v>46.582000000000001</v>
      </c>
      <c r="B36">
        <f>Value!$A36/$C$1</f>
        <v>9.9</v>
      </c>
    </row>
    <row r="37" spans="1:2" x14ac:dyDescent="0.25">
      <c r="A37">
        <f>Vertex!$A167</f>
        <v>46.484000000000002</v>
      </c>
      <c r="B37">
        <f>Value!$A37/$C$1</f>
        <v>8.1</v>
      </c>
    </row>
    <row r="38" spans="1:2" x14ac:dyDescent="0.25">
      <c r="A38">
        <f>Vertex!$A168</f>
        <v>46.387</v>
      </c>
      <c r="B38">
        <f>Value!$A38/$C$1</f>
        <v>6.8</v>
      </c>
    </row>
    <row r="39" spans="1:2" x14ac:dyDescent="0.25">
      <c r="A39">
        <f>Vertex!$A169</f>
        <v>46.289000000000001</v>
      </c>
      <c r="B39">
        <f>Value!$A39/$C$1</f>
        <v>7.9</v>
      </c>
    </row>
    <row r="40" spans="1:2" x14ac:dyDescent="0.25">
      <c r="A40">
        <f>Vertex!$A170</f>
        <v>46.191000000000003</v>
      </c>
      <c r="B40">
        <f>Value!$A40/$C$1</f>
        <v>8.1</v>
      </c>
    </row>
    <row r="41" spans="1:2" x14ac:dyDescent="0.25">
      <c r="A41">
        <f>Vertex!$A171</f>
        <v>46.094000000000001</v>
      </c>
      <c r="B41">
        <f>Value!$A41/$C$1</f>
        <v>7.1</v>
      </c>
    </row>
    <row r="42" spans="1:2" x14ac:dyDescent="0.25">
      <c r="A42">
        <f>Vertex!$A172</f>
        <v>45.996000000000002</v>
      </c>
      <c r="B42">
        <f>Value!$A42/$C$1</f>
        <v>6.6</v>
      </c>
    </row>
    <row r="43" spans="1:2" x14ac:dyDescent="0.25">
      <c r="A43">
        <f>Vertex!$A173</f>
        <v>45.898000000000003</v>
      </c>
      <c r="B43">
        <f>Value!$A43/$C$1</f>
        <v>4.3</v>
      </c>
    </row>
    <row r="44" spans="1:2" x14ac:dyDescent="0.25">
      <c r="A44">
        <f>Vertex!$A174</f>
        <v>45.801000000000002</v>
      </c>
      <c r="B44">
        <f>Value!$A44/$C$1</f>
        <v>3.8</v>
      </c>
    </row>
    <row r="45" spans="1:2" x14ac:dyDescent="0.25">
      <c r="A45">
        <f>Vertex!$A175</f>
        <v>45.703000000000003</v>
      </c>
      <c r="B45">
        <f>Value!$A45/$C$1</f>
        <v>4.0999999999999996</v>
      </c>
    </row>
    <row r="46" spans="1:2" x14ac:dyDescent="0.25">
      <c r="A46">
        <f>Vertex!$A176</f>
        <v>45.604999999999997</v>
      </c>
      <c r="B46">
        <f>Value!$A46/$C$1</f>
        <v>3.7</v>
      </c>
    </row>
    <row r="47" spans="1:2" x14ac:dyDescent="0.25">
      <c r="A47">
        <f>Vertex!$A177</f>
        <v>45.508000000000003</v>
      </c>
      <c r="B47">
        <f>Value!$A47/$C$1</f>
        <v>0</v>
      </c>
    </row>
    <row r="48" spans="1:2" x14ac:dyDescent="0.25">
      <c r="A48">
        <f>Vertex!$A178</f>
        <v>45.41</v>
      </c>
      <c r="B48">
        <f>Value!$A48/$C$1</f>
        <v>0</v>
      </c>
    </row>
    <row r="49" spans="1:2" x14ac:dyDescent="0.25">
      <c r="A49">
        <f>Vertex!$A179</f>
        <v>45.313000000000002</v>
      </c>
      <c r="B49">
        <f>Value!$A49/$C$1</f>
        <v>0</v>
      </c>
    </row>
    <row r="50" spans="1:2" x14ac:dyDescent="0.25">
      <c r="A50">
        <f>Vertex!$A180</f>
        <v>45.215000000000003</v>
      </c>
      <c r="B50">
        <f>Value!$A50/$C$1</f>
        <v>3.5</v>
      </c>
    </row>
    <row r="51" spans="1:2" x14ac:dyDescent="0.25">
      <c r="A51">
        <f>Vertex!$A181</f>
        <v>45.116999999999997</v>
      </c>
      <c r="B51">
        <f>Value!$A51/$C$1</f>
        <v>6.6</v>
      </c>
    </row>
    <row r="52" spans="1:2" x14ac:dyDescent="0.25">
      <c r="A52">
        <f>Vertex!$A182</f>
        <v>45.02</v>
      </c>
      <c r="B52">
        <f>Value!$A52/$C$1</f>
        <v>6.9</v>
      </c>
    </row>
    <row r="53" spans="1:2" x14ac:dyDescent="0.25">
      <c r="A53">
        <f>Vertex!$A183</f>
        <v>44.921999999999997</v>
      </c>
      <c r="B53">
        <f>Value!$A53/$C$1</f>
        <v>6.1</v>
      </c>
    </row>
    <row r="54" spans="1:2" x14ac:dyDescent="0.25">
      <c r="A54">
        <f>Vertex!$A184</f>
        <v>44.823999999999998</v>
      </c>
      <c r="B54">
        <f>Value!$A54/$C$1</f>
        <v>4.3</v>
      </c>
    </row>
    <row r="55" spans="1:2" x14ac:dyDescent="0.25">
      <c r="A55">
        <f>Vertex!$A185</f>
        <v>44.726999999999997</v>
      </c>
      <c r="B55">
        <f>Value!$A55/$C$1</f>
        <v>0</v>
      </c>
    </row>
    <row r="56" spans="1:2" x14ac:dyDescent="0.25">
      <c r="A56">
        <f>Vertex!$A186</f>
        <v>44.628999999999998</v>
      </c>
      <c r="B56">
        <f>Value!$A56/$C$1</f>
        <v>0</v>
      </c>
    </row>
    <row r="57" spans="1:2" x14ac:dyDescent="0.25">
      <c r="A57">
        <f>Vertex!$A187</f>
        <v>44.530999999999999</v>
      </c>
      <c r="B57">
        <f>Value!$A57/$C$1</f>
        <v>0</v>
      </c>
    </row>
    <row r="58" spans="1:2" x14ac:dyDescent="0.25">
      <c r="A58">
        <f>Vertex!$A188</f>
        <v>44.433999999999997</v>
      </c>
      <c r="B58">
        <f>Value!$A58/$C$1</f>
        <v>6.2</v>
      </c>
    </row>
    <row r="59" spans="1:2" x14ac:dyDescent="0.25">
      <c r="A59">
        <f>Vertex!$A189</f>
        <v>44.335999999999999</v>
      </c>
      <c r="B59">
        <f>Value!$A59/$C$1</f>
        <v>8.6</v>
      </c>
    </row>
    <row r="60" spans="1:2" x14ac:dyDescent="0.25">
      <c r="A60">
        <f>Vertex!$A190</f>
        <v>44.238</v>
      </c>
      <c r="B60">
        <f>Value!$A60/$C$1</f>
        <v>6.6</v>
      </c>
    </row>
    <row r="61" spans="1:2" x14ac:dyDescent="0.25">
      <c r="A61">
        <f>Vertex!$A191</f>
        <v>44.140999999999998</v>
      </c>
      <c r="B61">
        <f>Value!$A61/$C$1</f>
        <v>4.8</v>
      </c>
    </row>
    <row r="62" spans="1:2" x14ac:dyDescent="0.25">
      <c r="A62">
        <f>Vertex!$A192</f>
        <v>44.042999999999999</v>
      </c>
      <c r="B62">
        <f>Value!$A62/$C$1</f>
        <v>8</v>
      </c>
    </row>
    <row r="63" spans="1:2" x14ac:dyDescent="0.25">
      <c r="A63">
        <f>Vertex!$A193</f>
        <v>43.945</v>
      </c>
      <c r="B63">
        <f>Value!$A63/$C$1</f>
        <v>9.8000000000000007</v>
      </c>
    </row>
    <row r="64" spans="1:2" x14ac:dyDescent="0.25">
      <c r="A64">
        <f>Vertex!$A194</f>
        <v>43.847999999999999</v>
      </c>
      <c r="B64">
        <f>Value!$A64/$C$1</f>
        <v>7.2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4DCCE-C18E-4F97-AC4F-CD55BDE0676A}">
  <sheetPr codeName="Sheet7"/>
  <dimension ref="B2:U53"/>
  <sheetViews>
    <sheetView topLeftCell="A4" zoomScaleNormal="100" workbookViewId="0">
      <selection activeCell="I18" sqref="I18"/>
    </sheetView>
  </sheetViews>
  <sheetFormatPr defaultRowHeight="15" x14ac:dyDescent="0.25"/>
  <cols>
    <col min="2" max="2" width="8.7109375" customWidth="1"/>
    <col min="3" max="3" width="10.5703125" bestFit="1" customWidth="1"/>
    <col min="4" max="5" width="10.7109375" style="4" customWidth="1"/>
    <col min="6" max="6" width="10.7109375" style="3" customWidth="1"/>
    <col min="7" max="7" width="9.140625" style="3"/>
    <col min="8" max="8" width="12" bestFit="1" customWidth="1"/>
    <col min="9" max="9" width="9.140625" style="4"/>
    <col min="10" max="10" width="9.140625" style="64"/>
    <col min="12" max="12" width="9.140625" style="66"/>
    <col min="13" max="13" width="9.140625" style="4"/>
    <col min="15" max="16" width="9.140625" style="4"/>
  </cols>
  <sheetData>
    <row r="2" spans="2:21" x14ac:dyDescent="0.25">
      <c r="D2"/>
      <c r="F2"/>
      <c r="H2" s="9"/>
      <c r="I2" s="10"/>
      <c r="J2" s="62"/>
      <c r="K2" s="10"/>
      <c r="L2" s="104"/>
      <c r="M2" s="10"/>
      <c r="O2" s="10"/>
      <c r="P2" s="10"/>
      <c r="Q2" s="64"/>
      <c r="R2" s="64"/>
      <c r="U2" s="64"/>
    </row>
    <row r="3" spans="2:21" x14ac:dyDescent="0.25">
      <c r="B3" s="1" t="s">
        <v>1</v>
      </c>
      <c r="C3" s="9" t="s">
        <v>0</v>
      </c>
      <c r="D3" s="10">
        <v>100</v>
      </c>
      <c r="G3" s="13"/>
      <c r="H3" s="12"/>
      <c r="I3" s="44"/>
      <c r="J3" s="105"/>
      <c r="K3" s="9"/>
      <c r="L3" s="44"/>
      <c r="M3" s="105"/>
      <c r="O3" s="10"/>
      <c r="P3" s="10"/>
      <c r="Q3" s="64"/>
      <c r="U3" s="64"/>
    </row>
    <row r="4" spans="2:21" x14ac:dyDescent="0.25">
      <c r="C4" s="9"/>
      <c r="D4" s="10"/>
      <c r="G4" s="13"/>
      <c r="H4" s="9"/>
      <c r="I4" s="10"/>
      <c r="J4" s="105"/>
      <c r="K4" s="9"/>
      <c r="L4" s="104"/>
      <c r="M4" s="9"/>
      <c r="N4" s="9"/>
      <c r="O4" s="10"/>
      <c r="P4" s="10"/>
      <c r="Q4" s="64"/>
      <c r="U4" s="64"/>
    </row>
    <row r="5" spans="2:21" x14ac:dyDescent="0.25">
      <c r="B5" s="12" t="s">
        <v>15</v>
      </c>
      <c r="C5" s="9" t="s">
        <v>13</v>
      </c>
      <c r="D5" s="114">
        <f>D3</f>
        <v>100</v>
      </c>
      <c r="E5" s="114"/>
      <c r="F5" s="114"/>
      <c r="G5" s="13"/>
      <c r="H5" s="9"/>
      <c r="I5" s="266" t="s">
        <v>75</v>
      </c>
      <c r="J5" s="266"/>
      <c r="K5" s="67"/>
      <c r="L5" s="103"/>
      <c r="M5" s="9"/>
      <c r="N5" s="9"/>
      <c r="O5" s="10"/>
      <c r="P5" s="10"/>
      <c r="Q5" s="64"/>
      <c r="U5" s="64"/>
    </row>
    <row r="6" spans="2:21" x14ac:dyDescent="0.25">
      <c r="C6" s="9" t="s">
        <v>47</v>
      </c>
      <c r="D6" s="114">
        <f>D3*2</f>
        <v>200</v>
      </c>
      <c r="E6" s="114"/>
      <c r="F6" s="114"/>
      <c r="G6" s="13"/>
      <c r="H6" s="9"/>
      <c r="I6" s="10" t="s">
        <v>76</v>
      </c>
      <c r="J6" s="62" t="s">
        <v>77</v>
      </c>
      <c r="K6" s="10" t="s">
        <v>79</v>
      </c>
      <c r="L6" s="104"/>
      <c r="M6" s="9"/>
      <c r="N6" s="9"/>
      <c r="O6" s="10"/>
      <c r="P6" s="10"/>
      <c r="Q6" s="64"/>
      <c r="U6" s="64"/>
    </row>
    <row r="7" spans="2:21" x14ac:dyDescent="0.25">
      <c r="C7" s="15" t="s">
        <v>7</v>
      </c>
      <c r="D7" s="114">
        <f>-D6</f>
        <v>-200</v>
      </c>
      <c r="E7" s="114">
        <f>D6</f>
        <v>200</v>
      </c>
      <c r="F7" s="114">
        <v>0</v>
      </c>
      <c r="G7" s="13"/>
      <c r="H7" s="12" t="s">
        <v>74</v>
      </c>
      <c r="I7" s="114">
        <f>shadex(D7,E7,F7,$D$5,$D$18,$E$18,$F$18,$D$20,$E$20,$F$20)</f>
        <v>0.29241830561718213</v>
      </c>
      <c r="J7" s="114">
        <f>shade(D7,E7,F7,1,$D$18,$E$18,$F$18,$D$20,$E$20,$F$20)</f>
        <v>0.73873914494831949</v>
      </c>
      <c r="K7" s="114">
        <f>shade(D7,E7,F7,1,$D$18,0,$F$18,$D$20,$E$20,$F$20)</f>
        <v>0.74294871857680767</v>
      </c>
      <c r="L7" s="10"/>
      <c r="M7" s="62"/>
      <c r="N7" s="9"/>
      <c r="O7" s="10"/>
      <c r="P7" s="10"/>
      <c r="Q7" s="64"/>
      <c r="U7" s="64"/>
    </row>
    <row r="8" spans="2:21" x14ac:dyDescent="0.25">
      <c r="C8" s="15" t="s">
        <v>8</v>
      </c>
      <c r="D8" s="6">
        <v>0</v>
      </c>
      <c r="E8" s="6">
        <f>$E$7</f>
        <v>200</v>
      </c>
      <c r="F8" s="6">
        <v>200</v>
      </c>
      <c r="G8" s="13"/>
      <c r="H8" s="9"/>
      <c r="I8" s="114">
        <f t="shared" ref="I8:I10" si="0">shadex(D8,E8,F8,$D$5,$D$18,$E$18,$F$18,$D$20,$E$20,$F$20)</f>
        <v>0.35647607703028278</v>
      </c>
      <c r="J8" s="114">
        <f>shade(D8,E8,F8,1,$D$18,$E$18,$F$18,$D$20,$E$20,$F$20)</f>
        <v>0.90056890174528348</v>
      </c>
      <c r="K8" s="114">
        <f t="shared" ref="K8:K10" si="1">shade(D8,E8,F8,1,$D$18,0,$F$18,$D$20,$E$20,$F$20)</f>
        <v>0.90330584281046378</v>
      </c>
      <c r="L8" s="10"/>
      <c r="M8" s="62"/>
      <c r="N8" s="9"/>
      <c r="O8" s="10"/>
      <c r="P8" s="10"/>
      <c r="Q8" s="64"/>
      <c r="U8" s="64"/>
    </row>
    <row r="9" spans="2:21" x14ac:dyDescent="0.25">
      <c r="C9" s="43" t="s">
        <v>18</v>
      </c>
      <c r="D9" s="6">
        <f>D6</f>
        <v>200</v>
      </c>
      <c r="E9" s="6">
        <f>$E$7</f>
        <v>200</v>
      </c>
      <c r="F9" s="6">
        <v>0</v>
      </c>
      <c r="H9" s="9"/>
      <c r="I9" s="114">
        <f t="shared" si="0"/>
        <v>0.13468891570816338</v>
      </c>
      <c r="J9" s="114">
        <f>shade(D9,E9,F9,1,$D$18,$E$18,$F$18,$D$20,$E$20,$F$20)</f>
        <v>0.43398766178963399</v>
      </c>
      <c r="K9" s="114">
        <f t="shared" si="1"/>
        <v>0.44014842112084301</v>
      </c>
      <c r="L9" s="10"/>
      <c r="M9" s="62"/>
      <c r="N9" s="9"/>
      <c r="O9" s="10"/>
      <c r="P9" s="10"/>
      <c r="Q9" s="64"/>
      <c r="U9" s="64"/>
    </row>
    <row r="10" spans="2:21" x14ac:dyDescent="0.25">
      <c r="C10" s="43" t="s">
        <v>10</v>
      </c>
      <c r="D10" s="6">
        <v>0</v>
      </c>
      <c r="E10" s="6">
        <f>$E$7</f>
        <v>200</v>
      </c>
      <c r="F10" s="6">
        <v>-200</v>
      </c>
      <c r="H10" s="9"/>
      <c r="I10" s="114">
        <f t="shared" si="0"/>
        <v>0</v>
      </c>
      <c r="J10" s="114">
        <f>shade(D10,E10,F10,1,$D$18,$E$18,$F$18,$D$20,$E$20,$F$20)</f>
        <v>0.30710583830173638</v>
      </c>
      <c r="K10" s="114">
        <f t="shared" si="1"/>
        <v>0.31398011048130264</v>
      </c>
      <c r="L10" s="10"/>
      <c r="M10" s="62"/>
      <c r="N10" s="9"/>
      <c r="O10" s="10"/>
      <c r="P10" s="10"/>
      <c r="Q10" s="64"/>
      <c r="U10" s="64"/>
    </row>
    <row r="11" spans="2:21" x14ac:dyDescent="0.25">
      <c r="H11" s="9"/>
      <c r="I11" s="114"/>
      <c r="J11" s="62"/>
      <c r="K11" s="9"/>
      <c r="L11" s="10"/>
      <c r="M11" s="62"/>
      <c r="N11" s="9"/>
      <c r="O11" s="10"/>
      <c r="P11" s="10"/>
      <c r="Q11" s="64"/>
      <c r="U11" s="64"/>
    </row>
    <row r="12" spans="2:21" x14ac:dyDescent="0.25">
      <c r="B12" s="1" t="s">
        <v>49</v>
      </c>
      <c r="C12" s="9" t="s">
        <v>2</v>
      </c>
      <c r="D12" s="10">
        <v>1024</v>
      </c>
      <c r="E12" s="10"/>
      <c r="I12" s="4" t="s">
        <v>78</v>
      </c>
      <c r="J12" s="4" t="s">
        <v>80</v>
      </c>
      <c r="K12" s="4" t="s">
        <v>81</v>
      </c>
      <c r="L12" s="4" t="s">
        <v>10</v>
      </c>
      <c r="M12" s="4" t="s">
        <v>82</v>
      </c>
      <c r="N12" s="9"/>
      <c r="O12" s="10"/>
      <c r="P12" s="10"/>
      <c r="Q12" s="64"/>
      <c r="U12" s="64"/>
    </row>
    <row r="13" spans="2:21" s="1" customFormat="1" x14ac:dyDescent="0.25">
      <c r="C13" t="s">
        <v>36</v>
      </c>
      <c r="D13" s="4">
        <v>0</v>
      </c>
      <c r="E13" s="10"/>
      <c r="F13" s="2"/>
      <c r="G13" s="2"/>
      <c r="H13" s="15" t="s">
        <v>7</v>
      </c>
      <c r="I13" s="117">
        <f>D7-$D$18</f>
        <v>-150</v>
      </c>
      <c r="J13" s="117">
        <f>E7-$E$18</f>
        <v>197.03399999999999</v>
      </c>
      <c r="K13" s="117">
        <f>F7-$F$18</f>
        <v>-50</v>
      </c>
      <c r="L13" s="117">
        <f>SQRT(I13*I13+J13*J13+K13*K13)</f>
        <v>252.63095051081925</v>
      </c>
      <c r="M13" s="118">
        <f>1/L13</f>
        <v>3.9583431799547998E-3</v>
      </c>
      <c r="N13" s="10"/>
      <c r="O13" s="10"/>
      <c r="P13" s="10"/>
      <c r="Q13" s="64"/>
      <c r="T13"/>
      <c r="U13" s="64"/>
    </row>
    <row r="14" spans="2:21" x14ac:dyDescent="0.25">
      <c r="C14" t="s">
        <v>37</v>
      </c>
      <c r="D14" s="4">
        <v>0</v>
      </c>
      <c r="E14" s="10"/>
      <c r="H14" s="15" t="s">
        <v>8</v>
      </c>
      <c r="I14" s="117">
        <f>D8-$D$18</f>
        <v>50</v>
      </c>
      <c r="J14" s="117">
        <f>E8-$E$18</f>
        <v>197.03399999999999</v>
      </c>
      <c r="K14" s="117">
        <f>F8-$F$18</f>
        <v>150</v>
      </c>
      <c r="L14" s="117">
        <f t="shared" ref="L14:L16" si="2">SQRT(I14*I14+J14*J14+K14*K14)</f>
        <v>252.63095051081925</v>
      </c>
      <c r="M14" s="118">
        <f t="shared" ref="M14:M16" si="3">1/L14</f>
        <v>3.9583431799547998E-3</v>
      </c>
      <c r="N14" s="9"/>
      <c r="O14" s="10"/>
      <c r="P14" s="10"/>
      <c r="Q14" s="64"/>
      <c r="U14" s="64"/>
    </row>
    <row r="15" spans="2:21" x14ac:dyDescent="0.25">
      <c r="C15" s="9" t="s">
        <v>68</v>
      </c>
      <c r="D15" s="114">
        <f>D3/D12</f>
        <v>9.765625E-2</v>
      </c>
      <c r="E15" s="10"/>
      <c r="H15" s="43" t="s">
        <v>18</v>
      </c>
      <c r="I15" s="117">
        <f>D9-$D$18</f>
        <v>250</v>
      </c>
      <c r="J15" s="117">
        <f>E9-$E$18</f>
        <v>197.03399999999999</v>
      </c>
      <c r="K15" s="117">
        <f>F9-$F$18</f>
        <v>-50</v>
      </c>
      <c r="L15" s="117">
        <f t="shared" si="2"/>
        <v>322.21483075116203</v>
      </c>
      <c r="M15" s="118">
        <f t="shared" si="3"/>
        <v>3.1035194676444721E-3</v>
      </c>
      <c r="N15" s="9"/>
      <c r="O15" s="10"/>
      <c r="P15" s="10"/>
      <c r="Q15" s="64"/>
      <c r="U15" s="64"/>
    </row>
    <row r="16" spans="2:21" x14ac:dyDescent="0.25">
      <c r="C16" s="9"/>
      <c r="D16" s="114"/>
      <c r="E16" s="10"/>
      <c r="H16" s="43" t="s">
        <v>10</v>
      </c>
      <c r="I16" s="117">
        <f>D10-$D$18</f>
        <v>50</v>
      </c>
      <c r="J16" s="117">
        <f>E10-$E$18</f>
        <v>197.03399999999999</v>
      </c>
      <c r="K16" s="117">
        <f>F10-$F$18</f>
        <v>-250</v>
      </c>
      <c r="L16" s="117">
        <f t="shared" si="2"/>
        <v>322.21483075116203</v>
      </c>
      <c r="M16" s="118">
        <f t="shared" si="3"/>
        <v>3.1035194676444721E-3</v>
      </c>
      <c r="N16" s="9"/>
      <c r="O16" s="10"/>
      <c r="P16" s="10"/>
      <c r="Q16" s="64"/>
      <c r="U16" s="64"/>
    </row>
    <row r="17" spans="2:21" x14ac:dyDescent="0.25">
      <c r="D17" s="114"/>
      <c r="E17" s="10"/>
      <c r="I17"/>
      <c r="J17"/>
      <c r="L17"/>
      <c r="M17" s="117"/>
      <c r="N17" s="117"/>
      <c r="O17" s="10"/>
      <c r="P17" s="10"/>
      <c r="Q17" s="64"/>
      <c r="U17" s="64"/>
    </row>
    <row r="18" spans="2:21" s="3" customFormat="1" x14ac:dyDescent="0.25">
      <c r="B18" s="1" t="s">
        <v>43</v>
      </c>
      <c r="C18" t="s">
        <v>5</v>
      </c>
      <c r="D18" s="114">
        <f>D14*D15-D3/2</f>
        <v>-50</v>
      </c>
      <c r="E18" s="6">
        <v>2.9660000000000002</v>
      </c>
      <c r="F18" s="6">
        <f>D13*D15+D3/2</f>
        <v>50</v>
      </c>
      <c r="H18" s="15" t="s">
        <v>7</v>
      </c>
      <c r="I18" s="117">
        <f>I13*$M$13</f>
        <v>-0.59375147699321995</v>
      </c>
      <c r="J18" s="117">
        <f>J13*$M$13</f>
        <v>0.77992819011921399</v>
      </c>
      <c r="K18" s="117">
        <f>K13*$M$13</f>
        <v>-0.19791715899773998</v>
      </c>
      <c r="L18"/>
      <c r="M18" s="117">
        <f>SQRT(I18*I18 + J18*J18 + K18*K18)</f>
        <v>0.99999999999999978</v>
      </c>
      <c r="N18" s="117"/>
      <c r="O18" s="10"/>
      <c r="P18" s="10"/>
      <c r="Q18" s="64"/>
      <c r="R18"/>
      <c r="S18"/>
      <c r="T18"/>
      <c r="U18" s="64"/>
    </row>
    <row r="19" spans="2:21" s="3" customFormat="1" x14ac:dyDescent="0.25">
      <c r="B19"/>
      <c r="C19"/>
      <c r="D19" s="4"/>
      <c r="E19" s="10"/>
      <c r="H19" s="15" t="s">
        <v>8</v>
      </c>
      <c r="I19" s="117">
        <f>I14*$M$14</f>
        <v>0.19791715899773998</v>
      </c>
      <c r="J19" s="117">
        <f t="shared" ref="J19:K19" si="4">J14*$M$14</f>
        <v>0.77992819011921399</v>
      </c>
      <c r="K19" s="117">
        <f t="shared" si="4"/>
        <v>0.59375147699321995</v>
      </c>
      <c r="L19"/>
      <c r="M19" s="117">
        <f t="shared" ref="M19:M21" si="5">SQRT(I19*I19 + J19*J19 + K19*K19)</f>
        <v>0.99999999999999978</v>
      </c>
      <c r="N19" s="117"/>
      <c r="O19" s="10"/>
      <c r="P19" s="10"/>
      <c r="Q19" s="64"/>
      <c r="R19"/>
      <c r="S19"/>
      <c r="T19"/>
      <c r="U19" s="64"/>
    </row>
    <row r="20" spans="2:21" s="3" customFormat="1" x14ac:dyDescent="0.25">
      <c r="B20" s="1" t="s">
        <v>44</v>
      </c>
      <c r="C20" t="s">
        <v>5</v>
      </c>
      <c r="D20" s="114">
        <f>D27</f>
        <v>-0.11697777844051097</v>
      </c>
      <c r="E20" s="11">
        <f>D28</f>
        <v>0.93969262078590843</v>
      </c>
      <c r="F20" s="116">
        <f>D29</f>
        <v>0.32139380484326968</v>
      </c>
      <c r="H20" s="43" t="s">
        <v>18</v>
      </c>
      <c r="I20" s="117">
        <f>I15*$M$15</f>
        <v>0.77587986691111799</v>
      </c>
      <c r="J20" s="117">
        <f t="shared" ref="J20:K20" si="6">J15*$M$15</f>
        <v>0.61149885478786092</v>
      </c>
      <c r="K20" s="117">
        <f t="shared" si="6"/>
        <v>-0.15517597338222361</v>
      </c>
      <c r="L20" s="66"/>
      <c r="M20" s="117">
        <f t="shared" si="5"/>
        <v>1</v>
      </c>
      <c r="N20" s="117"/>
      <c r="O20" s="10"/>
      <c r="P20" s="10"/>
      <c r="Q20" s="64"/>
      <c r="R20"/>
      <c r="S20"/>
      <c r="T20"/>
      <c r="U20" s="64"/>
    </row>
    <row r="21" spans="2:21" s="3" customFormat="1" x14ac:dyDescent="0.25">
      <c r="B21"/>
      <c r="C21"/>
      <c r="D21" s="114"/>
      <c r="E21" s="10"/>
      <c r="H21" s="43" t="s">
        <v>10</v>
      </c>
      <c r="I21" s="117">
        <f>I16*$M$16</f>
        <v>0.15517597338222361</v>
      </c>
      <c r="J21" s="117">
        <f t="shared" ref="J21:K21" si="7">J16*$M$16</f>
        <v>0.61149885478786092</v>
      </c>
      <c r="K21" s="117">
        <f t="shared" si="7"/>
        <v>-0.77587986691111799</v>
      </c>
      <c r="L21" s="66"/>
      <c r="M21" s="117">
        <f t="shared" si="5"/>
        <v>1</v>
      </c>
      <c r="N21" s="117"/>
      <c r="O21" s="10"/>
      <c r="P21" s="10"/>
      <c r="Q21" s="64"/>
      <c r="R21"/>
      <c r="S21"/>
      <c r="T21"/>
      <c r="U21" s="64"/>
    </row>
    <row r="22" spans="2:21" s="3" customFormat="1" x14ac:dyDescent="0.25">
      <c r="B22" s="1" t="s">
        <v>12</v>
      </c>
      <c r="C22" t="s">
        <v>69</v>
      </c>
      <c r="D22" s="6">
        <v>20</v>
      </c>
      <c r="E22" s="10"/>
      <c r="H22" s="9"/>
      <c r="I22" s="4"/>
      <c r="J22" s="64"/>
      <c r="K22"/>
      <c r="L22" s="66"/>
      <c r="M22" s="4"/>
      <c r="N22"/>
      <c r="O22" s="10"/>
      <c r="P22" s="10"/>
      <c r="Q22" s="64"/>
      <c r="R22"/>
      <c r="S22"/>
      <c r="T22"/>
      <c r="U22" s="64"/>
    </row>
    <row r="23" spans="2:21" s="3" customFormat="1" x14ac:dyDescent="0.25">
      <c r="B23"/>
      <c r="C23" t="s">
        <v>70</v>
      </c>
      <c r="D23" s="6">
        <v>20</v>
      </c>
      <c r="E23" s="10"/>
      <c r="H23" s="9"/>
      <c r="I23" s="6">
        <f>SUM(I18:I21)</f>
        <v>0.53522152229786157</v>
      </c>
      <c r="J23" s="6">
        <f>SUM(J18:J21)</f>
        <v>2.7828540898141498</v>
      </c>
      <c r="K23" s="6">
        <f>SUM(K18:K21)</f>
        <v>-0.53522152229786157</v>
      </c>
      <c r="L23" s="117">
        <f>SQRT(I23*I23+J23*J23+K23*K23)</f>
        <v>2.8839557973479799</v>
      </c>
      <c r="M23" s="118">
        <f>1/L23</f>
        <v>0.34674595252797469</v>
      </c>
      <c r="N23"/>
      <c r="O23" s="10"/>
      <c r="P23" s="10"/>
      <c r="Q23" s="64"/>
      <c r="R23"/>
      <c r="S23"/>
      <c r="T23"/>
      <c r="U23" s="64"/>
    </row>
    <row r="24" spans="2:21" x14ac:dyDescent="0.25">
      <c r="C24" t="s">
        <v>71</v>
      </c>
      <c r="D24" s="114">
        <v>0</v>
      </c>
      <c r="H24" s="9"/>
      <c r="I24" s="4">
        <f>I23*$M$23</f>
        <v>0.18558589656264465</v>
      </c>
      <c r="J24" s="4">
        <f>J23*$M$23</f>
        <v>0.96494339211897739</v>
      </c>
      <c r="K24" s="4">
        <f>K23*$M$23</f>
        <v>-0.18558589656264465</v>
      </c>
    </row>
    <row r="25" spans="2:21" x14ac:dyDescent="0.25">
      <c r="C25" t="s">
        <v>72</v>
      </c>
      <c r="D25" s="114">
        <f>COS(RADIANS(D22))</f>
        <v>0.93969262078590843</v>
      </c>
      <c r="H25" s="9"/>
    </row>
    <row r="26" spans="2:21" s="3" customFormat="1" x14ac:dyDescent="0.25">
      <c r="B26" s="1"/>
      <c r="C26" t="s">
        <v>73</v>
      </c>
      <c r="D26" s="114">
        <f>SIN(RADIANS(D22))</f>
        <v>0.34202014332566871</v>
      </c>
      <c r="E26" s="5"/>
      <c r="H26"/>
      <c r="I26" s="4"/>
      <c r="J26" s="64"/>
      <c r="K26"/>
      <c r="L26" s="66"/>
      <c r="M26" s="4"/>
      <c r="N26"/>
      <c r="O26" s="4"/>
      <c r="P26" s="4"/>
      <c r="Q26"/>
      <c r="R26"/>
      <c r="S26"/>
      <c r="T26"/>
      <c r="U26"/>
    </row>
    <row r="27" spans="2:21" x14ac:dyDescent="0.25">
      <c r="C27" t="s">
        <v>5</v>
      </c>
      <c r="D27" s="6">
        <f>-SIN(RADIANS(D23))*D26</f>
        <v>-0.11697777844051097</v>
      </c>
    </row>
    <row r="28" spans="2:21" x14ac:dyDescent="0.25">
      <c r="C28" t="s">
        <v>6</v>
      </c>
      <c r="D28" s="6">
        <f>D25</f>
        <v>0.93969262078590843</v>
      </c>
    </row>
    <row r="29" spans="2:21" s="3" customFormat="1" x14ac:dyDescent="0.25">
      <c r="B29"/>
      <c r="C29" t="s">
        <v>42</v>
      </c>
      <c r="D29" s="6">
        <f>COS(RADIANS(D23))*D26</f>
        <v>0.32139380484326968</v>
      </c>
      <c r="E29" s="64"/>
      <c r="H29"/>
      <c r="I29" s="4"/>
      <c r="J29" s="64"/>
      <c r="K29"/>
      <c r="L29" s="66"/>
      <c r="M29" s="4"/>
      <c r="N29"/>
      <c r="O29" s="4"/>
      <c r="P29" s="4"/>
      <c r="Q29"/>
      <c r="R29"/>
      <c r="S29"/>
      <c r="T29"/>
      <c r="U29"/>
    </row>
    <row r="30" spans="2:21" s="3" customFormat="1" x14ac:dyDescent="0.25">
      <c r="B30"/>
      <c r="C30"/>
      <c r="D30" s="96"/>
      <c r="E30" s="96"/>
      <c r="H30"/>
      <c r="I30" s="4"/>
      <c r="J30" s="64"/>
      <c r="K30"/>
      <c r="L30" s="66"/>
      <c r="M30" s="4"/>
      <c r="N30"/>
      <c r="O30" s="4"/>
      <c r="P30" s="4"/>
      <c r="Q30"/>
      <c r="R30"/>
      <c r="S30"/>
      <c r="T30"/>
      <c r="U30"/>
    </row>
    <row r="31" spans="2:21" s="3" customFormat="1" x14ac:dyDescent="0.25">
      <c r="B31"/>
      <c r="C31"/>
      <c r="D31" s="96"/>
      <c r="E31" s="96"/>
      <c r="H31"/>
      <c r="I31" s="4"/>
      <c r="J31" s="64"/>
      <c r="K31"/>
      <c r="L31" s="66"/>
      <c r="M31" s="4"/>
      <c r="N31"/>
      <c r="O31" s="4"/>
      <c r="P31" s="4"/>
      <c r="Q31"/>
      <c r="R31"/>
      <c r="S31"/>
      <c r="T31"/>
      <c r="U31"/>
    </row>
    <row r="32" spans="2:21" s="3" customFormat="1" x14ac:dyDescent="0.25">
      <c r="B32"/>
      <c r="C32"/>
      <c r="D32" s="96"/>
      <c r="E32" s="96"/>
      <c r="H32"/>
      <c r="I32" s="4"/>
      <c r="J32" s="64"/>
      <c r="K32"/>
      <c r="L32" s="66"/>
      <c r="M32" s="4"/>
      <c r="N32"/>
      <c r="O32" s="4"/>
      <c r="P32" s="4"/>
      <c r="Q32"/>
      <c r="R32"/>
      <c r="S32"/>
      <c r="T32"/>
      <c r="U32"/>
    </row>
    <row r="33" spans="2:21" s="3" customFormat="1" x14ac:dyDescent="0.25">
      <c r="B33"/>
      <c r="C33"/>
      <c r="D33" s="96"/>
      <c r="E33" s="96"/>
      <c r="H33"/>
      <c r="I33" s="4"/>
      <c r="J33" s="64"/>
      <c r="K33"/>
      <c r="L33" s="66"/>
      <c r="M33" s="4"/>
      <c r="N33"/>
      <c r="O33" s="4"/>
      <c r="P33" s="4"/>
      <c r="Q33"/>
      <c r="R33"/>
      <c r="S33"/>
      <c r="T33"/>
      <c r="U33"/>
    </row>
    <row r="34" spans="2:21" s="3" customFormat="1" x14ac:dyDescent="0.25">
      <c r="B34"/>
      <c r="C34"/>
      <c r="D34" s="96"/>
      <c r="E34" s="96"/>
      <c r="H34"/>
      <c r="I34" s="4"/>
      <c r="J34" s="64"/>
      <c r="K34"/>
      <c r="L34" s="66"/>
      <c r="M34" s="4"/>
      <c r="N34"/>
      <c r="O34" s="4"/>
      <c r="P34" s="4"/>
      <c r="Q34"/>
      <c r="R34"/>
      <c r="S34"/>
      <c r="T34"/>
      <c r="U34"/>
    </row>
    <row r="35" spans="2:21" s="3" customFormat="1" x14ac:dyDescent="0.25">
      <c r="B35"/>
      <c r="C35"/>
      <c r="D35" s="96"/>
      <c r="E35" s="96"/>
      <c r="H35"/>
      <c r="I35" s="4"/>
      <c r="J35" s="64"/>
      <c r="K35"/>
      <c r="L35" s="66"/>
      <c r="M35" s="4"/>
      <c r="N35"/>
      <c r="O35" s="4"/>
      <c r="P35" s="4"/>
      <c r="Q35"/>
      <c r="R35"/>
      <c r="S35"/>
      <c r="T35"/>
      <c r="U35"/>
    </row>
    <row r="36" spans="2:21" s="3" customFormat="1" x14ac:dyDescent="0.25">
      <c r="B36"/>
      <c r="C36"/>
      <c r="D36" s="96"/>
      <c r="E36" s="96"/>
      <c r="H36"/>
      <c r="I36" s="4"/>
      <c r="J36" s="64"/>
      <c r="K36"/>
      <c r="L36" s="66"/>
      <c r="M36" s="4"/>
      <c r="N36"/>
      <c r="O36" s="4"/>
      <c r="P36" s="4"/>
      <c r="Q36"/>
      <c r="R36"/>
      <c r="S36"/>
      <c r="T36"/>
      <c r="U36"/>
    </row>
    <row r="37" spans="2:21" s="3" customFormat="1" x14ac:dyDescent="0.25">
      <c r="B37"/>
      <c r="C37"/>
      <c r="D37" s="96"/>
      <c r="E37" s="96"/>
      <c r="H37"/>
      <c r="I37" s="4"/>
      <c r="J37" s="64"/>
      <c r="K37"/>
      <c r="L37" s="66"/>
      <c r="M37" s="4"/>
      <c r="N37"/>
      <c r="O37" s="4"/>
      <c r="P37" s="4"/>
      <c r="Q37"/>
      <c r="R37"/>
      <c r="S37"/>
      <c r="T37"/>
      <c r="U37"/>
    </row>
    <row r="38" spans="2:21" s="3" customFormat="1" x14ac:dyDescent="0.25">
      <c r="B38"/>
      <c r="C38"/>
      <c r="D38" s="96"/>
      <c r="E38" s="96"/>
      <c r="H38"/>
      <c r="I38" s="4"/>
      <c r="J38" s="64"/>
      <c r="K38"/>
      <c r="L38" s="66"/>
      <c r="M38" s="4"/>
      <c r="N38"/>
      <c r="O38" s="4"/>
      <c r="P38" s="4"/>
      <c r="Q38"/>
      <c r="R38"/>
      <c r="S38"/>
      <c r="T38"/>
      <c r="U38"/>
    </row>
    <row r="39" spans="2:21" s="3" customFormat="1" x14ac:dyDescent="0.25">
      <c r="B39"/>
      <c r="C39"/>
      <c r="D39" s="96"/>
      <c r="E39" s="96"/>
      <c r="H39"/>
      <c r="I39" s="4"/>
      <c r="J39" s="64"/>
      <c r="K39"/>
      <c r="L39" s="66"/>
      <c r="M39" s="4"/>
      <c r="N39"/>
      <c r="O39" s="4"/>
      <c r="P39" s="4"/>
      <c r="Q39"/>
      <c r="R39"/>
      <c r="S39"/>
      <c r="T39"/>
      <c r="U39"/>
    </row>
    <row r="40" spans="2:21" s="3" customFormat="1" x14ac:dyDescent="0.25">
      <c r="B40"/>
      <c r="C40"/>
      <c r="D40" s="96"/>
      <c r="E40" s="96"/>
      <c r="H40"/>
      <c r="I40" s="4"/>
      <c r="J40" s="64"/>
      <c r="K40"/>
      <c r="L40" s="66"/>
      <c r="M40" s="4"/>
      <c r="N40"/>
      <c r="O40" s="4"/>
      <c r="P40" s="4"/>
      <c r="Q40"/>
      <c r="R40"/>
      <c r="S40"/>
      <c r="T40"/>
      <c r="U40"/>
    </row>
    <row r="41" spans="2:21" s="3" customFormat="1" x14ac:dyDescent="0.25">
      <c r="B41"/>
      <c r="C41"/>
      <c r="D41" s="96"/>
      <c r="E41" s="96"/>
      <c r="H41"/>
      <c r="I41" s="4"/>
      <c r="J41" s="64"/>
      <c r="K41"/>
      <c r="L41" s="66"/>
      <c r="M41" s="4"/>
      <c r="N41"/>
      <c r="O41" s="4"/>
      <c r="P41" s="4"/>
      <c r="Q41"/>
      <c r="R41"/>
      <c r="S41"/>
      <c r="T41"/>
      <c r="U41"/>
    </row>
    <row r="42" spans="2:21" s="3" customFormat="1" x14ac:dyDescent="0.25">
      <c r="B42"/>
      <c r="C42"/>
      <c r="D42" s="96"/>
      <c r="E42" s="96"/>
      <c r="H42"/>
      <c r="I42" s="4"/>
      <c r="J42" s="64"/>
      <c r="K42"/>
      <c r="L42" s="66"/>
      <c r="M42" s="4"/>
      <c r="N42"/>
      <c r="O42" s="4"/>
      <c r="P42" s="4"/>
      <c r="Q42"/>
      <c r="R42"/>
      <c r="S42"/>
      <c r="T42"/>
      <c r="U42"/>
    </row>
    <row r="44" spans="2:21" s="3" customFormat="1" x14ac:dyDescent="0.25">
      <c r="B44"/>
      <c r="C44"/>
      <c r="D44" s="64"/>
      <c r="E44" s="64"/>
      <c r="H44"/>
      <c r="I44" s="4"/>
      <c r="J44" s="64"/>
      <c r="K44"/>
      <c r="L44" s="66"/>
      <c r="M44" s="4"/>
      <c r="N44"/>
      <c r="O44" s="4"/>
      <c r="P44" s="4"/>
      <c r="Q44"/>
      <c r="R44"/>
      <c r="S44"/>
      <c r="T44"/>
      <c r="U44"/>
    </row>
    <row r="45" spans="2:21" s="3" customFormat="1" x14ac:dyDescent="0.25">
      <c r="B45"/>
      <c r="C45" s="4"/>
      <c r="D45" s="64"/>
      <c r="E45" s="64"/>
      <c r="H45"/>
      <c r="I45" s="4"/>
      <c r="J45" s="64"/>
      <c r="K45"/>
      <c r="L45" s="66"/>
      <c r="M45" s="4"/>
      <c r="N45"/>
      <c r="O45" s="4"/>
      <c r="P45" s="4"/>
      <c r="Q45"/>
      <c r="R45"/>
      <c r="S45"/>
      <c r="T45"/>
      <c r="U45"/>
    </row>
    <row r="47" spans="2:21" s="3" customFormat="1" x14ac:dyDescent="0.25">
      <c r="B47"/>
      <c r="C47"/>
      <c r="D47" s="64"/>
      <c r="E47" s="64"/>
      <c r="H47"/>
      <c r="I47" s="4"/>
      <c r="J47" s="64"/>
      <c r="K47"/>
      <c r="L47" s="66"/>
      <c r="M47" s="4"/>
      <c r="N47"/>
      <c r="O47" s="4"/>
      <c r="P47" s="4"/>
      <c r="Q47"/>
      <c r="R47"/>
      <c r="S47"/>
      <c r="T47"/>
      <c r="U47"/>
    </row>
    <row r="50" spans="2:21" s="3" customFormat="1" x14ac:dyDescent="0.25">
      <c r="B50"/>
      <c r="C50"/>
      <c r="D50" s="64"/>
      <c r="E50" s="64"/>
      <c r="H50"/>
      <c r="I50" s="4"/>
      <c r="J50" s="64"/>
      <c r="K50"/>
      <c r="L50" s="66"/>
      <c r="M50" s="4"/>
      <c r="N50"/>
      <c r="O50" s="4"/>
      <c r="P50" s="4"/>
      <c r="Q50"/>
      <c r="R50"/>
      <c r="S50"/>
      <c r="T50"/>
      <c r="U50"/>
    </row>
    <row r="51" spans="2:21" s="3" customFormat="1" x14ac:dyDescent="0.25">
      <c r="B51"/>
      <c r="C51" s="4"/>
      <c r="D51" s="64"/>
      <c r="E51" s="64"/>
      <c r="H51"/>
      <c r="I51" s="4"/>
      <c r="J51" s="64"/>
      <c r="K51"/>
      <c r="L51" s="66"/>
      <c r="M51" s="4"/>
      <c r="N51"/>
      <c r="O51" s="4"/>
      <c r="P51" s="4"/>
      <c r="Q51"/>
      <c r="R51"/>
      <c r="S51"/>
      <c r="T51"/>
      <c r="U51"/>
    </row>
    <row r="53" spans="2:21" s="3" customFormat="1" x14ac:dyDescent="0.25">
      <c r="B53"/>
      <c r="C53"/>
      <c r="D53" s="64"/>
      <c r="E53" s="64"/>
      <c r="H53"/>
      <c r="I53" s="4"/>
      <c r="J53" s="64"/>
      <c r="K53"/>
      <c r="L53" s="66"/>
      <c r="M53" s="4"/>
      <c r="N53"/>
      <c r="O53" s="4"/>
      <c r="P53" s="4"/>
      <c r="Q53"/>
      <c r="R53"/>
      <c r="S53"/>
      <c r="T53"/>
      <c r="U53"/>
    </row>
  </sheetData>
  <mergeCells count="1">
    <mergeCell ref="I5:J5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57"/>
  <sheetViews>
    <sheetView zoomScaleNormal="100" workbookViewId="0">
      <selection activeCell="U31" sqref="U31"/>
    </sheetView>
  </sheetViews>
  <sheetFormatPr defaultRowHeight="15" x14ac:dyDescent="0.25"/>
  <cols>
    <col min="2" max="2" width="8.7109375" customWidth="1"/>
    <col min="3" max="3" width="10.5703125" bestFit="1" customWidth="1"/>
    <col min="4" max="5" width="10.7109375" style="4" customWidth="1"/>
    <col min="6" max="6" width="10.7109375" style="3" customWidth="1"/>
    <col min="7" max="7" width="9.140625" style="3"/>
    <col min="9" max="9" width="9.140625" style="4"/>
    <col min="10" max="10" width="9.140625" style="64"/>
    <col min="12" max="12" width="9.140625" style="66"/>
    <col min="13" max="13" width="9.140625" style="4"/>
    <col min="16" max="16" width="9.140625" style="4"/>
  </cols>
  <sheetData>
    <row r="2" spans="2:23" x14ac:dyDescent="0.25">
      <c r="D2"/>
      <c r="F2"/>
      <c r="J2" s="62"/>
      <c r="K2" s="4"/>
    </row>
    <row r="3" spans="2:23" x14ac:dyDescent="0.25">
      <c r="B3" s="1" t="s">
        <v>1</v>
      </c>
      <c r="C3" s="9" t="s">
        <v>0</v>
      </c>
      <c r="D3" s="10">
        <v>100</v>
      </c>
      <c r="G3" s="13"/>
      <c r="H3" s="1" t="s">
        <v>55</v>
      </c>
      <c r="I3" s="106" t="s">
        <v>7</v>
      </c>
      <c r="J3" s="107">
        <v>21</v>
      </c>
      <c r="K3" s="70"/>
      <c r="L3" s="106" t="s">
        <v>8</v>
      </c>
      <c r="M3" s="107">
        <v>6</v>
      </c>
      <c r="N3" s="70"/>
      <c r="O3" s="106" t="s">
        <v>66</v>
      </c>
      <c r="P3" s="111">
        <f>(J3+M3)/2</f>
        <v>13.5</v>
      </c>
    </row>
    <row r="4" spans="2:23" x14ac:dyDescent="0.25">
      <c r="B4" s="1"/>
      <c r="C4" s="9" t="s">
        <v>2</v>
      </c>
      <c r="D4" s="10">
        <v>1024</v>
      </c>
      <c r="G4" s="13"/>
      <c r="I4" s="71"/>
      <c r="J4" s="62"/>
      <c r="K4" s="72"/>
      <c r="L4" s="108"/>
      <c r="M4" s="9"/>
      <c r="N4" s="72"/>
      <c r="O4" s="50"/>
      <c r="P4" s="51"/>
    </row>
    <row r="5" spans="2:23" x14ac:dyDescent="0.25">
      <c r="B5" s="1"/>
      <c r="C5" s="9" t="s">
        <v>57</v>
      </c>
      <c r="D5" s="62">
        <f>D3/D4</f>
        <v>9.765625E-2</v>
      </c>
      <c r="G5" s="13"/>
      <c r="H5" s="1" t="s">
        <v>43</v>
      </c>
      <c r="I5" s="71" t="s">
        <v>5</v>
      </c>
      <c r="J5" s="62">
        <f ca="1">D17</f>
        <v>-46.972999999999999</v>
      </c>
      <c r="K5" s="72"/>
      <c r="L5" s="108"/>
      <c r="M5" s="9"/>
      <c r="N5" s="72"/>
      <c r="O5" s="50"/>
      <c r="P5" s="51"/>
    </row>
    <row r="6" spans="2:23" x14ac:dyDescent="0.25">
      <c r="C6" s="9"/>
      <c r="D6" s="10"/>
      <c r="G6" s="13"/>
      <c r="I6" s="71" t="s">
        <v>6</v>
      </c>
      <c r="J6" s="105">
        <v>2.6989999999999998</v>
      </c>
      <c r="K6" s="72"/>
      <c r="L6" s="108"/>
      <c r="M6" s="9"/>
      <c r="N6" s="72"/>
      <c r="O6" s="50"/>
      <c r="P6" s="51"/>
    </row>
    <row r="7" spans="2:23" x14ac:dyDescent="0.25">
      <c r="B7" s="12" t="s">
        <v>15</v>
      </c>
      <c r="C7" s="9" t="s">
        <v>13</v>
      </c>
      <c r="D7" s="62">
        <f>D3</f>
        <v>100</v>
      </c>
      <c r="E7" s="62"/>
      <c r="F7" s="102"/>
      <c r="G7" s="13"/>
      <c r="I7" s="71" t="s">
        <v>42</v>
      </c>
      <c r="J7" s="62">
        <v>0</v>
      </c>
      <c r="K7" s="90"/>
      <c r="L7" s="109"/>
      <c r="M7" s="9"/>
      <c r="N7" s="72"/>
      <c r="O7" s="50"/>
      <c r="P7" s="51"/>
    </row>
    <row r="8" spans="2:23" x14ac:dyDescent="0.25">
      <c r="C8" s="9" t="s">
        <v>47</v>
      </c>
      <c r="D8" s="62">
        <f>D3*2</f>
        <v>200</v>
      </c>
      <c r="E8" s="62"/>
      <c r="F8" s="102"/>
      <c r="G8" s="13"/>
      <c r="I8" s="71"/>
      <c r="J8" s="62"/>
      <c r="K8" s="72"/>
      <c r="L8" s="108"/>
      <c r="M8" s="9"/>
      <c r="N8" s="72"/>
      <c r="O8" s="50"/>
      <c r="P8" s="51"/>
    </row>
    <row r="9" spans="2:23" x14ac:dyDescent="0.25">
      <c r="C9" s="15" t="s">
        <v>7</v>
      </c>
      <c r="D9" s="63">
        <f>-D8</f>
        <v>-200</v>
      </c>
      <c r="E9" s="63">
        <f>D8</f>
        <v>200</v>
      </c>
      <c r="F9" s="62">
        <v>0</v>
      </c>
      <c r="G9" s="13"/>
      <c r="H9" s="1" t="s">
        <v>44</v>
      </c>
      <c r="I9" s="71" t="s">
        <v>5</v>
      </c>
      <c r="J9" s="62">
        <f>SIN(RADIANS(J3))</f>
        <v>0.35836794954530027</v>
      </c>
      <c r="K9" s="72"/>
      <c r="L9" s="71" t="s">
        <v>5</v>
      </c>
      <c r="M9" s="62">
        <f>SIN(RADIANS(M3))</f>
        <v>0.10452846326765347</v>
      </c>
      <c r="N9" s="72"/>
      <c r="O9" s="71" t="s">
        <v>5</v>
      </c>
      <c r="P9" s="90">
        <f ca="1">SIN(RADIANS(P3))*R10</f>
        <v>0.22285328292659939</v>
      </c>
      <c r="R9" t="s">
        <v>67</v>
      </c>
    </row>
    <row r="10" spans="2:23" x14ac:dyDescent="0.25">
      <c r="C10" s="15" t="s">
        <v>8</v>
      </c>
      <c r="D10" s="63">
        <f>D8</f>
        <v>200</v>
      </c>
      <c r="E10" s="63">
        <f>D8</f>
        <v>200</v>
      </c>
      <c r="F10" s="62">
        <f>F9</f>
        <v>0</v>
      </c>
      <c r="G10" s="13"/>
      <c r="I10" s="71" t="s">
        <v>6</v>
      </c>
      <c r="J10" s="62">
        <f>COS(RADIANS(J3))</f>
        <v>0.93358042649720174</v>
      </c>
      <c r="K10" s="72"/>
      <c r="L10" s="71" t="s">
        <v>6</v>
      </c>
      <c r="M10" s="62">
        <f>COS(RADIANS(M3))</f>
        <v>0.99452189536827329</v>
      </c>
      <c r="N10" s="72"/>
      <c r="O10" s="71" t="s">
        <v>6</v>
      </c>
      <c r="P10" s="90">
        <f ca="1">COS(RADIANS(P3))*R10</f>
        <v>0.9282507281380592</v>
      </c>
      <c r="R10">
        <f ca="1">SQRT(D21*D21+D22*D22)</f>
        <v>0.95462715234797302</v>
      </c>
    </row>
    <row r="11" spans="2:23" x14ac:dyDescent="0.25">
      <c r="I11" s="71" t="s">
        <v>42</v>
      </c>
      <c r="J11" s="62">
        <v>0</v>
      </c>
      <c r="K11" s="72"/>
      <c r="L11" s="71" t="s">
        <v>42</v>
      </c>
      <c r="M11" s="62">
        <f>F23</f>
        <v>0</v>
      </c>
      <c r="N11" s="72"/>
      <c r="O11" s="71" t="s">
        <v>42</v>
      </c>
      <c r="P11" s="90">
        <f>I23</f>
        <v>0</v>
      </c>
    </row>
    <row r="12" spans="2:23" x14ac:dyDescent="0.25">
      <c r="B12" s="1" t="s">
        <v>49</v>
      </c>
      <c r="C12" t="s">
        <v>38</v>
      </c>
      <c r="D12" s="4">
        <v>64</v>
      </c>
      <c r="E12" s="10"/>
      <c r="I12" s="71"/>
      <c r="J12" s="62"/>
      <c r="K12" s="72"/>
      <c r="L12" s="108"/>
      <c r="M12" s="10"/>
      <c r="N12" s="72"/>
      <c r="O12" s="50"/>
      <c r="P12" s="51"/>
    </row>
    <row r="13" spans="2:23" s="1" customFormat="1" x14ac:dyDescent="0.25">
      <c r="C13" t="s">
        <v>36</v>
      </c>
      <c r="D13" s="4">
        <v>32</v>
      </c>
      <c r="E13" s="10"/>
      <c r="F13" s="2"/>
      <c r="G13" s="2"/>
      <c r="H13" s="1" t="s">
        <v>62</v>
      </c>
      <c r="I13" s="73"/>
      <c r="J13" s="95">
        <f ca="1">shadex($D$9,$E$9,$F$9,$D$7,$J$5,$J$6,$J$7,$J$9,$J$10,$J$11)</f>
        <v>0.20748494473586676</v>
      </c>
      <c r="K13" s="55">
        <f ca="1">INT(J13*255)</f>
        <v>52</v>
      </c>
      <c r="L13" s="110"/>
      <c r="M13" s="95">
        <f ca="1">shadex($D$10,$E$10,$F$10,$D$7,$J$5,$J$6,$J$7,$M$9,$M$10,$M$11)</f>
        <v>0.22220619962157337</v>
      </c>
      <c r="N13" s="55">
        <f ca="1">INT(M13*255)</f>
        <v>56</v>
      </c>
      <c r="O13" s="112"/>
      <c r="P13" s="113"/>
      <c r="V13"/>
      <c r="W13"/>
    </row>
    <row r="14" spans="2:23" x14ac:dyDescent="0.25">
      <c r="C14" t="s">
        <v>37</v>
      </c>
      <c r="D14" s="4">
        <v>32</v>
      </c>
      <c r="E14" s="10"/>
      <c r="K14" s="4"/>
    </row>
    <row r="15" spans="2:23" x14ac:dyDescent="0.25">
      <c r="C15" s="43" t="s">
        <v>63</v>
      </c>
      <c r="D15" s="10">
        <f>($D12*0)+$D13</f>
        <v>32</v>
      </c>
      <c r="E15" s="10">
        <f>($D12*1)+$D13+1</f>
        <v>97</v>
      </c>
      <c r="F15" s="10">
        <f>($D12*2)+$D13+2</f>
        <v>162</v>
      </c>
    </row>
    <row r="16" spans="2:23" x14ac:dyDescent="0.25">
      <c r="E16" s="10"/>
    </row>
    <row r="17" spans="2:20" x14ac:dyDescent="0.25">
      <c r="B17" s="1" t="s">
        <v>43</v>
      </c>
      <c r="C17" t="s">
        <v>5</v>
      </c>
      <c r="D17" s="4">
        <f ca="1">INDIRECT(ADDRESS($D$15,$D$14,1,1,"Vertex"))</f>
        <v>-46.972999999999999</v>
      </c>
      <c r="E17" s="10"/>
    </row>
    <row r="18" spans="2:20" x14ac:dyDescent="0.25">
      <c r="B18" s="1" t="s">
        <v>39</v>
      </c>
      <c r="C18" t="s">
        <v>6</v>
      </c>
      <c r="D18" s="4">
        <f ca="1">INDIRECT(ADDRESS($E$15,$D$14,1,1,"Vertex"))</f>
        <v>2.6989999999999998</v>
      </c>
      <c r="E18" s="10"/>
    </row>
    <row r="19" spans="2:20" x14ac:dyDescent="0.25">
      <c r="C19" t="s">
        <v>42</v>
      </c>
      <c r="D19" s="4">
        <f ca="1">INDIRECT(ADDRESS($F$15,$D$14,1,1,"Vertex"))</f>
        <v>46.972999999999999</v>
      </c>
      <c r="E19" s="4">
        <f ca="1">INDIRECT(ADDRESS($F$15,$D$14,1,1,"Vertex"))</f>
        <v>46.972999999999999</v>
      </c>
    </row>
    <row r="20" spans="2:20" x14ac:dyDescent="0.25">
      <c r="E20" s="10"/>
    </row>
    <row r="21" spans="2:20" x14ac:dyDescent="0.25">
      <c r="B21" s="1" t="s">
        <v>44</v>
      </c>
      <c r="C21" t="s">
        <v>5</v>
      </c>
      <c r="D21" s="4">
        <f ca="1">INDIRECT(ADDRESS($D$15,$D$14,1,1,"Normal"))</f>
        <v>0.22800000000000001</v>
      </c>
      <c r="F21" s="4"/>
    </row>
    <row r="22" spans="2:20" x14ac:dyDescent="0.25">
      <c r="B22" s="1" t="s">
        <v>39</v>
      </c>
      <c r="C22" t="s">
        <v>6</v>
      </c>
      <c r="D22" s="4">
        <f ca="1">INDIRECT(ADDRESS($E$15,$D$14,1,1,"Normal"))</f>
        <v>0.92700000000000005</v>
      </c>
    </row>
    <row r="23" spans="2:20" x14ac:dyDescent="0.25">
      <c r="C23" t="s">
        <v>42</v>
      </c>
      <c r="D23" s="4">
        <f ca="1">INDIRECT(ADDRESS($F$15,$D$14,1,1,"Normal"))</f>
        <v>0.29699999999999999</v>
      </c>
    </row>
    <row r="24" spans="2:20" x14ac:dyDescent="0.25">
      <c r="C24" t="s">
        <v>61</v>
      </c>
      <c r="D24" s="4">
        <v>30</v>
      </c>
    </row>
    <row r="26" spans="2:20" x14ac:dyDescent="0.25">
      <c r="B26" s="1" t="s">
        <v>62</v>
      </c>
      <c r="C26" t="s">
        <v>7</v>
      </c>
      <c r="D26" s="64">
        <f ca="1">shadex($D$9,$E$9,$F$9,$D$7,$D$17,$D$18,$D$19,$D$21,$D$22,$D$23)</f>
        <v>0.20767461141045868</v>
      </c>
      <c r="E26" s="4">
        <f ca="1">INT(D26*255)</f>
        <v>52</v>
      </c>
      <c r="T26" s="64"/>
    </row>
    <row r="27" spans="2:20" x14ac:dyDescent="0.25">
      <c r="C27" t="s">
        <v>8</v>
      </c>
      <c r="D27" s="64">
        <f ca="1">shadex($D$10,$E$10,$F$10,$D$7,$D$17,$D$18,$D$19,$D$21,$D$22,$D$23)</f>
        <v>0.22055939384384438</v>
      </c>
      <c r="E27" s="4">
        <f ca="1">INT(D27*255)</f>
        <v>56</v>
      </c>
      <c r="F27"/>
    </row>
    <row r="28" spans="2:20" x14ac:dyDescent="0.25">
      <c r="C28" t="s">
        <v>64</v>
      </c>
      <c r="D28" s="4" t="s">
        <v>65</v>
      </c>
      <c r="E28" s="4">
        <f>Value!$AF$32</f>
        <v>52</v>
      </c>
    </row>
    <row r="30" spans="2:20" x14ac:dyDescent="0.25">
      <c r="B30" s="1" t="s">
        <v>54</v>
      </c>
      <c r="D30" s="5"/>
      <c r="E30" s="5"/>
    </row>
    <row r="32" spans="2:20" x14ac:dyDescent="0.25">
      <c r="C32" t="s">
        <v>59</v>
      </c>
      <c r="D32" s="96">
        <f>D9</f>
        <v>-200</v>
      </c>
      <c r="E32" s="96">
        <f>E9</f>
        <v>200</v>
      </c>
    </row>
    <row r="33" spans="3:5" x14ac:dyDescent="0.25">
      <c r="D33" s="96">
        <f ca="1">J5</f>
        <v>-46.972999999999999</v>
      </c>
      <c r="E33" s="96">
        <f>E9</f>
        <v>200</v>
      </c>
    </row>
    <row r="34" spans="3:5" x14ac:dyDescent="0.25">
      <c r="D34" s="96"/>
      <c r="E34" s="96"/>
    </row>
    <row r="35" spans="3:5" x14ac:dyDescent="0.25">
      <c r="C35" t="s">
        <v>60</v>
      </c>
      <c r="D35" s="96">
        <f>D10</f>
        <v>200</v>
      </c>
      <c r="E35" s="96">
        <f>E10</f>
        <v>200</v>
      </c>
    </row>
    <row r="36" spans="3:5" x14ac:dyDescent="0.25">
      <c r="D36" s="96">
        <f ca="1">J5</f>
        <v>-46.972999999999999</v>
      </c>
      <c r="E36" s="96">
        <f>E10</f>
        <v>200</v>
      </c>
    </row>
    <row r="37" spans="3:5" x14ac:dyDescent="0.25">
      <c r="D37" s="96"/>
      <c r="E37" s="96"/>
    </row>
    <row r="38" spans="3:5" x14ac:dyDescent="0.25">
      <c r="C38" t="s">
        <v>58</v>
      </c>
      <c r="D38" s="96">
        <f ca="1">J5</f>
        <v>-46.972999999999999</v>
      </c>
      <c r="E38" s="96">
        <f>E9</f>
        <v>200</v>
      </c>
    </row>
    <row r="39" spans="3:5" x14ac:dyDescent="0.25">
      <c r="D39" s="96">
        <f ca="1">J5</f>
        <v>-46.972999999999999</v>
      </c>
      <c r="E39" s="96">
        <f>J6</f>
        <v>2.6989999999999998</v>
      </c>
    </row>
    <row r="40" spans="3:5" x14ac:dyDescent="0.25">
      <c r="D40" s="96"/>
      <c r="E40" s="96"/>
    </row>
    <row r="41" spans="3:5" x14ac:dyDescent="0.25">
      <c r="C41" t="s">
        <v>22</v>
      </c>
      <c r="D41" s="96">
        <f>D32</f>
        <v>-200</v>
      </c>
      <c r="E41" s="96">
        <f>E9</f>
        <v>200</v>
      </c>
    </row>
    <row r="42" spans="3:5" x14ac:dyDescent="0.25">
      <c r="D42" s="96">
        <f ca="1">J5</f>
        <v>-46.972999999999999</v>
      </c>
      <c r="E42" s="96">
        <f>J6</f>
        <v>2.6989999999999998</v>
      </c>
    </row>
    <row r="43" spans="3:5" x14ac:dyDescent="0.25">
      <c r="D43" s="96"/>
      <c r="E43" s="96"/>
    </row>
    <row r="44" spans="3:5" x14ac:dyDescent="0.25">
      <c r="C44" t="s">
        <v>25</v>
      </c>
      <c r="D44" s="96">
        <f>D10</f>
        <v>200</v>
      </c>
      <c r="E44" s="96">
        <f>E10</f>
        <v>200</v>
      </c>
    </row>
    <row r="45" spans="3:5" x14ac:dyDescent="0.25">
      <c r="D45" s="96">
        <f ca="1">J5</f>
        <v>-46.972999999999999</v>
      </c>
      <c r="E45" s="96">
        <f>J6</f>
        <v>2.6989999999999998</v>
      </c>
    </row>
    <row r="47" spans="3:5" x14ac:dyDescent="0.25">
      <c r="C47" t="s">
        <v>44</v>
      </c>
      <c r="D47" s="64">
        <f ca="1">J5+(2*$D$24*P9)</f>
        <v>-33.601803024404035</v>
      </c>
      <c r="E47" s="64">
        <f ca="1">J6+(2*$D$24*P10)</f>
        <v>58.394043688283553</v>
      </c>
    </row>
    <row r="48" spans="3:5" x14ac:dyDescent="0.25">
      <c r="C48" s="4"/>
      <c r="D48" s="64">
        <f ca="1">J5</f>
        <v>-46.972999999999999</v>
      </c>
      <c r="E48" s="64">
        <f>J6</f>
        <v>2.6989999999999998</v>
      </c>
    </row>
    <row r="50" spans="3:5" x14ac:dyDescent="0.25">
      <c r="C50" t="s">
        <v>1</v>
      </c>
      <c r="D50" s="64">
        <f ca="1">J5-($D$24*P10)</f>
        <v>-74.82052184414178</v>
      </c>
      <c r="E50" s="64">
        <f ca="1">J6+($D$24*P9)</f>
        <v>9.384598487797982</v>
      </c>
    </row>
    <row r="51" spans="3:5" x14ac:dyDescent="0.25">
      <c r="D51" s="4">
        <f ca="1">J5+($D$24*P10)</f>
        <v>-19.125478155858222</v>
      </c>
      <c r="E51" s="4">
        <f ca="1">J6-($D$24*P9)</f>
        <v>-3.9865984877979823</v>
      </c>
    </row>
    <row r="53" spans="3:5" x14ac:dyDescent="0.25">
      <c r="C53" t="s">
        <v>44</v>
      </c>
      <c r="D53" s="64">
        <f ca="1">D17+(2*$D$24*D21)</f>
        <v>-33.292999999999999</v>
      </c>
      <c r="E53" s="64">
        <f ca="1">D18+(2*$D$24*D22)</f>
        <v>58.319000000000003</v>
      </c>
    </row>
    <row r="54" spans="3:5" x14ac:dyDescent="0.25">
      <c r="C54" s="4"/>
      <c r="D54" s="64">
        <f ca="1">D17</f>
        <v>-46.972999999999999</v>
      </c>
      <c r="E54" s="64">
        <f ca="1">D18</f>
        <v>2.6989999999999998</v>
      </c>
    </row>
    <row r="56" spans="3:5" x14ac:dyDescent="0.25">
      <c r="C56" t="s">
        <v>1</v>
      </c>
      <c r="D56" s="64">
        <f ca="1">D17-($D$24*D22)</f>
        <v>-74.783000000000001</v>
      </c>
      <c r="E56" s="64">
        <f ca="1">D18+($D$24*D21)</f>
        <v>9.5389999999999997</v>
      </c>
    </row>
    <row r="57" spans="3:5" x14ac:dyDescent="0.25">
      <c r="D57" s="4">
        <f ca="1">D17+($D$24*D22)</f>
        <v>-19.162999999999997</v>
      </c>
      <c r="E57" s="4">
        <f ca="1">D18-($D$24*D21)</f>
        <v>-4.141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65AA-E960-413E-8C5A-5A84C6E44B96}">
  <sheetPr codeName="Sheet2"/>
  <dimension ref="C5:N41"/>
  <sheetViews>
    <sheetView zoomScaleNormal="100" workbookViewId="0">
      <selection activeCell="M19" sqref="M19"/>
    </sheetView>
  </sheetViews>
  <sheetFormatPr defaultRowHeight="15" x14ac:dyDescent="0.25"/>
  <cols>
    <col min="3" max="3" width="9.140625" style="5"/>
    <col min="4" max="4" width="4.42578125" customWidth="1"/>
    <col min="5" max="5" width="9.140625" style="32"/>
    <col min="6" max="6" width="9.140625" style="34"/>
    <col min="7" max="7" width="14.85546875" customWidth="1"/>
  </cols>
  <sheetData>
    <row r="5" spans="3:6" x14ac:dyDescent="0.25">
      <c r="C5" s="5" t="s">
        <v>9</v>
      </c>
      <c r="E5" s="40">
        <v>-50</v>
      </c>
      <c r="F5" s="41">
        <v>0</v>
      </c>
    </row>
    <row r="7" spans="3:6" x14ac:dyDescent="0.25">
      <c r="C7" s="5" t="s">
        <v>20</v>
      </c>
      <c r="E7" s="40">
        <v>-100</v>
      </c>
      <c r="F7" s="40">
        <v>100</v>
      </c>
    </row>
    <row r="8" spans="3:6" x14ac:dyDescent="0.25">
      <c r="C8" s="5" t="s">
        <v>9</v>
      </c>
      <c r="E8" s="32">
        <f>E5</f>
        <v>-50</v>
      </c>
      <c r="F8" s="34">
        <f>F5</f>
        <v>0</v>
      </c>
    </row>
    <row r="10" spans="3:6" s="1" customFormat="1" x14ac:dyDescent="0.25">
      <c r="C10" s="5" t="s">
        <v>21</v>
      </c>
      <c r="D10"/>
      <c r="E10" s="40">
        <v>100</v>
      </c>
      <c r="F10" s="40">
        <v>100</v>
      </c>
    </row>
    <row r="11" spans="3:6" x14ac:dyDescent="0.25">
      <c r="C11" s="5" t="s">
        <v>9</v>
      </c>
      <c r="E11" s="32">
        <f>E5</f>
        <v>-50</v>
      </c>
      <c r="F11" s="34">
        <f>F5</f>
        <v>0</v>
      </c>
    </row>
    <row r="13" spans="3:6" x14ac:dyDescent="0.25">
      <c r="C13" s="5" t="s">
        <v>26</v>
      </c>
      <c r="E13" s="32">
        <f>E5</f>
        <v>-50</v>
      </c>
      <c r="F13" s="34">
        <f>F7</f>
        <v>100</v>
      </c>
    </row>
    <row r="14" spans="3:6" x14ac:dyDescent="0.25">
      <c r="E14" s="32">
        <f>E5</f>
        <v>-50</v>
      </c>
      <c r="F14" s="34">
        <f>F5</f>
        <v>0</v>
      </c>
    </row>
    <row r="16" spans="3:6" x14ac:dyDescent="0.25">
      <c r="C16" s="5" t="s">
        <v>4</v>
      </c>
      <c r="E16" s="32">
        <f>E7</f>
        <v>-100</v>
      </c>
      <c r="F16" s="34">
        <f>F7</f>
        <v>100</v>
      </c>
    </row>
    <row r="17" spans="3:14" s="3" customFormat="1" x14ac:dyDescent="0.25">
      <c r="C17" s="2"/>
      <c r="E17" s="33">
        <f>E10</f>
        <v>100</v>
      </c>
      <c r="F17" s="35">
        <f>F10</f>
        <v>100</v>
      </c>
    </row>
    <row r="18" spans="3:14" s="3" customFormat="1" x14ac:dyDescent="0.25">
      <c r="C18" s="2"/>
      <c r="E18" s="36"/>
      <c r="F18" s="35"/>
    </row>
    <row r="19" spans="3:14" s="3" customFormat="1" x14ac:dyDescent="0.25">
      <c r="C19" s="2" t="s">
        <v>28</v>
      </c>
      <c r="E19" s="33">
        <f>E5</f>
        <v>-50</v>
      </c>
      <c r="F19" s="35">
        <f>F7</f>
        <v>100</v>
      </c>
    </row>
    <row r="20" spans="3:14" s="3" customFormat="1" x14ac:dyDescent="0.25">
      <c r="C20" s="2"/>
      <c r="E20" s="36"/>
      <c r="F20" s="35"/>
    </row>
    <row r="21" spans="3:14" s="3" customFormat="1" x14ac:dyDescent="0.25">
      <c r="C21" s="5" t="s">
        <v>22</v>
      </c>
      <c r="D21"/>
      <c r="E21" s="32">
        <f>SQRT(E23*E23+E22*E22)</f>
        <v>111.80339887498948</v>
      </c>
      <c r="F21" s="35"/>
      <c r="I21" s="2" t="s">
        <v>7</v>
      </c>
      <c r="J21" s="2" t="s">
        <v>31</v>
      </c>
      <c r="K21" s="2" t="s">
        <v>32</v>
      </c>
      <c r="L21" s="2" t="s">
        <v>33</v>
      </c>
      <c r="M21" s="2" t="s">
        <v>34</v>
      </c>
    </row>
    <row r="22" spans="3:14" s="3" customFormat="1" x14ac:dyDescent="0.25">
      <c r="C22" s="5" t="s">
        <v>23</v>
      </c>
      <c r="D22"/>
      <c r="E22" s="32">
        <f>E7-E8</f>
        <v>-50</v>
      </c>
      <c r="F22" s="35"/>
      <c r="I22" s="40">
        <v>10</v>
      </c>
      <c r="J22" s="32">
        <f>E29</f>
        <v>50</v>
      </c>
      <c r="K22" s="32">
        <f>E30</f>
        <v>150</v>
      </c>
      <c r="L22" s="32">
        <f>DEGREES(ATAN2(J$22,I22))</f>
        <v>11.309932474020215</v>
      </c>
      <c r="M22" s="32">
        <f>DEGREES(ATAN2(K$22,I22))</f>
        <v>3.8140748342903543</v>
      </c>
      <c r="N22" s="32"/>
    </row>
    <row r="23" spans="3:14" s="3" customFormat="1" x14ac:dyDescent="0.25">
      <c r="C23" s="5" t="s">
        <v>24</v>
      </c>
      <c r="D23"/>
      <c r="E23" s="32">
        <f>F7-F8</f>
        <v>100</v>
      </c>
      <c r="F23" s="35"/>
      <c r="I23" s="33">
        <f>I22+10</f>
        <v>20</v>
      </c>
      <c r="J23" s="32"/>
      <c r="K23" s="32"/>
      <c r="L23" s="32">
        <f t="shared" ref="L23:L40" si="0">DEGREES(ATAN2(J$22,I23))</f>
        <v>21.801409486351812</v>
      </c>
      <c r="M23" s="32">
        <f t="shared" ref="M23:M40" si="1">DEGREES(ATAN2(K$22,I23))</f>
        <v>7.594643368591445</v>
      </c>
      <c r="N23" s="32"/>
    </row>
    <row r="24" spans="3:14" s="3" customFormat="1" x14ac:dyDescent="0.25">
      <c r="C24" s="5"/>
      <c r="D24"/>
      <c r="E24" s="32"/>
      <c r="F24" s="35"/>
      <c r="I24" s="33">
        <f t="shared" ref="I24:I40" si="2">I23+10</f>
        <v>30</v>
      </c>
      <c r="J24" s="32"/>
      <c r="K24" s="32"/>
      <c r="L24" s="32">
        <f t="shared" si="0"/>
        <v>30.963756532073521</v>
      </c>
      <c r="M24" s="32">
        <f t="shared" si="1"/>
        <v>11.309932474020215</v>
      </c>
      <c r="N24" s="32"/>
    </row>
    <row r="25" spans="3:14" s="3" customFormat="1" x14ac:dyDescent="0.25">
      <c r="C25" s="5" t="s">
        <v>25</v>
      </c>
      <c r="D25"/>
      <c r="E25" s="32">
        <f>SQRT(E27*E27+E26*E26)</f>
        <v>180.27756377319946</v>
      </c>
      <c r="F25" s="35"/>
      <c r="I25" s="33">
        <f t="shared" si="2"/>
        <v>40</v>
      </c>
      <c r="J25" s="32"/>
      <c r="K25" s="32"/>
      <c r="L25" s="32">
        <f t="shared" si="0"/>
        <v>38.659808254090095</v>
      </c>
      <c r="M25" s="32">
        <f t="shared" si="1"/>
        <v>14.931417178137552</v>
      </c>
      <c r="N25" s="32"/>
    </row>
    <row r="26" spans="3:14" x14ac:dyDescent="0.25">
      <c r="C26" s="5" t="s">
        <v>23</v>
      </c>
      <c r="E26" s="32">
        <f>E10-E11</f>
        <v>150</v>
      </c>
      <c r="H26" s="3"/>
      <c r="I26" s="33">
        <f t="shared" si="2"/>
        <v>50</v>
      </c>
      <c r="J26" s="32"/>
      <c r="K26" s="32"/>
      <c r="L26" s="32">
        <f t="shared" si="0"/>
        <v>45</v>
      </c>
      <c r="M26" s="32">
        <f t="shared" si="1"/>
        <v>18.43494882292201</v>
      </c>
      <c r="N26" s="32"/>
    </row>
    <row r="27" spans="3:14" s="3" customFormat="1" x14ac:dyDescent="0.25">
      <c r="C27" s="5" t="s">
        <v>24</v>
      </c>
      <c r="D27"/>
      <c r="E27" s="32">
        <f>F10-F11</f>
        <v>100</v>
      </c>
      <c r="F27" s="35"/>
      <c r="I27" s="33">
        <f t="shared" si="2"/>
        <v>60</v>
      </c>
      <c r="J27" s="32"/>
      <c r="K27" s="32"/>
      <c r="L27" s="32">
        <f t="shared" si="0"/>
        <v>50.19442890773481</v>
      </c>
      <c r="M27" s="32">
        <f t="shared" si="1"/>
        <v>21.801409486351812</v>
      </c>
      <c r="N27" s="32"/>
    </row>
    <row r="28" spans="3:14" s="3" customFormat="1" x14ac:dyDescent="0.25">
      <c r="C28" s="2"/>
      <c r="E28" s="33"/>
      <c r="F28" s="35"/>
      <c r="I28" s="33">
        <f t="shared" si="2"/>
        <v>70</v>
      </c>
      <c r="J28" s="32"/>
      <c r="K28" s="32"/>
      <c r="L28" s="32">
        <f t="shared" si="0"/>
        <v>54.462322208025618</v>
      </c>
      <c r="M28" s="32">
        <f t="shared" si="1"/>
        <v>25.016893478100023</v>
      </c>
      <c r="N28" s="32"/>
    </row>
    <row r="29" spans="3:14" s="3" customFormat="1" x14ac:dyDescent="0.25">
      <c r="C29" s="2" t="s">
        <v>29</v>
      </c>
      <c r="E29" s="33">
        <f>E19-E7</f>
        <v>50</v>
      </c>
      <c r="F29" s="35"/>
      <c r="I29" s="33">
        <f t="shared" si="2"/>
        <v>80</v>
      </c>
      <c r="J29" s="32"/>
      <c r="K29" s="32"/>
      <c r="L29" s="32">
        <f t="shared" si="0"/>
        <v>57.994616791916499</v>
      </c>
      <c r="M29" s="32">
        <f t="shared" si="1"/>
        <v>28.072486935852957</v>
      </c>
      <c r="N29" s="32"/>
    </row>
    <row r="30" spans="3:14" x14ac:dyDescent="0.25">
      <c r="C30" s="5" t="s">
        <v>30</v>
      </c>
      <c r="E30" s="32">
        <f>E10-E8</f>
        <v>150</v>
      </c>
      <c r="H30" s="3"/>
      <c r="I30" s="33">
        <f t="shared" si="2"/>
        <v>90</v>
      </c>
      <c r="J30" s="32"/>
      <c r="K30" s="32"/>
      <c r="L30" s="32">
        <f t="shared" si="0"/>
        <v>60.945395900922861</v>
      </c>
      <c r="M30" s="32">
        <f t="shared" si="1"/>
        <v>30.963756532073521</v>
      </c>
      <c r="N30" s="32"/>
    </row>
    <row r="31" spans="3:14" x14ac:dyDescent="0.25">
      <c r="H31" s="3"/>
      <c r="I31" s="42">
        <f t="shared" si="2"/>
        <v>100</v>
      </c>
      <c r="J31" s="38"/>
      <c r="K31" s="38"/>
      <c r="L31" s="38">
        <f t="shared" si="0"/>
        <v>63.43494882292201</v>
      </c>
      <c r="M31" s="38">
        <f t="shared" si="1"/>
        <v>33.690067525979785</v>
      </c>
      <c r="N31" s="39">
        <f>L31+M31</f>
        <v>97.125016348901795</v>
      </c>
    </row>
    <row r="32" spans="3:14" x14ac:dyDescent="0.25">
      <c r="C32" s="5" t="s">
        <v>27</v>
      </c>
      <c r="E32" s="32">
        <f>DEGREES(ASIN(E29/E21))</f>
        <v>26.56505117707799</v>
      </c>
      <c r="F32" s="34">
        <f>DEGREES(ACOS(E29/E21))</f>
        <v>63.43494882292201</v>
      </c>
      <c r="H32" s="3"/>
      <c r="I32" s="33">
        <f t="shared" si="2"/>
        <v>110</v>
      </c>
      <c r="J32" s="32"/>
      <c r="K32" s="32"/>
      <c r="L32" s="32">
        <f t="shared" si="0"/>
        <v>65.556045219583467</v>
      </c>
      <c r="M32" s="32">
        <f t="shared" si="1"/>
        <v>36.25383773744479</v>
      </c>
      <c r="N32" s="32"/>
    </row>
    <row r="33" spans="3:14" x14ac:dyDescent="0.25">
      <c r="C33" s="5" t="s">
        <v>35</v>
      </c>
      <c r="E33" s="32">
        <f>DEGREES(ASIN(E30/E25))</f>
        <v>56.309932474020222</v>
      </c>
      <c r="F33" s="34">
        <f>DEGREES(ACOS(E30/E25))</f>
        <v>33.690067525979778</v>
      </c>
      <c r="H33" s="3"/>
      <c r="I33" s="33">
        <f t="shared" si="2"/>
        <v>120</v>
      </c>
      <c r="J33" s="32"/>
      <c r="K33" s="32"/>
      <c r="L33" s="32">
        <f t="shared" si="0"/>
        <v>67.38013505195957</v>
      </c>
      <c r="M33" s="32">
        <f t="shared" si="1"/>
        <v>38.659808254090095</v>
      </c>
      <c r="N33" s="32"/>
    </row>
    <row r="34" spans="3:14" x14ac:dyDescent="0.25">
      <c r="H34" s="3"/>
      <c r="I34" s="33">
        <f t="shared" si="2"/>
        <v>130</v>
      </c>
      <c r="J34" s="32"/>
      <c r="K34" s="32"/>
      <c r="L34" s="32">
        <f t="shared" si="0"/>
        <v>68.962488974578193</v>
      </c>
      <c r="M34" s="32">
        <f t="shared" si="1"/>
        <v>40.91438322002513</v>
      </c>
      <c r="N34" s="32"/>
    </row>
    <row r="35" spans="3:14" x14ac:dyDescent="0.25">
      <c r="C35" s="2" t="s">
        <v>19</v>
      </c>
      <c r="D35" s="3"/>
      <c r="E35" s="33">
        <f>E10-E7</f>
        <v>200</v>
      </c>
      <c r="H35" s="3"/>
      <c r="I35" s="33">
        <f t="shared" si="2"/>
        <v>140</v>
      </c>
      <c r="J35" s="32"/>
      <c r="K35" s="32"/>
      <c r="L35" s="32">
        <f t="shared" si="0"/>
        <v>70.346175941946697</v>
      </c>
      <c r="M35" s="32">
        <f t="shared" si="1"/>
        <v>43.025065989118026</v>
      </c>
      <c r="N35" s="32"/>
    </row>
    <row r="36" spans="3:14" x14ac:dyDescent="0.25">
      <c r="C36" s="2" t="s">
        <v>18</v>
      </c>
      <c r="D36" s="3"/>
      <c r="E36" s="33">
        <f>E32+E33</f>
        <v>82.874983651098205</v>
      </c>
      <c r="F36" s="37">
        <f>F32+F33</f>
        <v>97.125016348901795</v>
      </c>
      <c r="H36" s="3"/>
      <c r="I36" s="33">
        <f t="shared" si="2"/>
        <v>150</v>
      </c>
      <c r="J36" s="32"/>
      <c r="K36" s="32"/>
      <c r="L36" s="32">
        <f t="shared" si="0"/>
        <v>71.56505117707799</v>
      </c>
      <c r="M36" s="32">
        <f t="shared" si="1"/>
        <v>45</v>
      </c>
      <c r="N36" s="32"/>
    </row>
    <row r="37" spans="3:14" x14ac:dyDescent="0.25">
      <c r="H37" s="3"/>
      <c r="I37" s="33">
        <f t="shared" si="2"/>
        <v>160</v>
      </c>
      <c r="J37" s="32"/>
      <c r="K37" s="32"/>
      <c r="L37" s="32">
        <f t="shared" si="0"/>
        <v>72.645975363738671</v>
      </c>
      <c r="M37" s="32">
        <f t="shared" si="1"/>
        <v>46.847610265994597</v>
      </c>
      <c r="N37" s="32"/>
    </row>
    <row r="38" spans="3:14" x14ac:dyDescent="0.25">
      <c r="H38" s="3"/>
      <c r="I38" s="33">
        <f t="shared" si="2"/>
        <v>170</v>
      </c>
      <c r="J38" s="32"/>
      <c r="K38" s="32"/>
      <c r="L38" s="32">
        <f t="shared" si="0"/>
        <v>73.610459665965223</v>
      </c>
      <c r="M38" s="32">
        <f t="shared" si="1"/>
        <v>48.576334374997352</v>
      </c>
      <c r="N38" s="32"/>
    </row>
    <row r="39" spans="3:14" x14ac:dyDescent="0.25">
      <c r="H39" s="3"/>
      <c r="I39" s="33">
        <f t="shared" si="2"/>
        <v>180</v>
      </c>
      <c r="J39" s="32"/>
      <c r="K39" s="32"/>
      <c r="L39" s="32">
        <f t="shared" si="0"/>
        <v>74.47588900324574</v>
      </c>
      <c r="M39" s="32">
        <f t="shared" si="1"/>
        <v>50.19442890773481</v>
      </c>
      <c r="N39" s="32"/>
    </row>
    <row r="40" spans="3:14" x14ac:dyDescent="0.25">
      <c r="H40" s="3"/>
      <c r="I40" s="33">
        <f t="shared" si="2"/>
        <v>190</v>
      </c>
      <c r="J40" s="32"/>
      <c r="K40" s="32"/>
      <c r="L40" s="32">
        <f t="shared" si="0"/>
        <v>75.25643716352927</v>
      </c>
      <c r="M40" s="32">
        <f t="shared" si="1"/>
        <v>51.709836807756929</v>
      </c>
      <c r="N40" s="32"/>
    </row>
    <row r="41" spans="3:14" x14ac:dyDescent="0.25">
      <c r="I41" s="32"/>
      <c r="J41" s="32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108A4-7D1E-4D53-8A73-FB7F8E78706D}">
  <sheetPr codeName="Sheet6"/>
  <dimension ref="A1:BL66"/>
  <sheetViews>
    <sheetView zoomScaleNormal="100" workbookViewId="0">
      <selection activeCell="BJ70" sqref="BJ70"/>
    </sheetView>
  </sheetViews>
  <sheetFormatPr defaultColWidth="8.7109375" defaultRowHeight="15" x14ac:dyDescent="0.25"/>
  <cols>
    <col min="1" max="2" width="5.7109375" customWidth="1"/>
    <col min="3" max="4" width="5.7109375" style="4" customWidth="1"/>
    <col min="5" max="6" width="5.7109375" style="3" customWidth="1"/>
    <col min="7" max="34" width="5.7109375" customWidth="1"/>
    <col min="35" max="64" width="5.7109375" style="4" customWidth="1"/>
  </cols>
  <sheetData>
    <row r="1" spans="1:64" x14ac:dyDescent="0.25">
      <c r="A1">
        <f>INT(shadex('Shade - 1'!$D$9,'Shade - 1'!$E$9,'Shade - 1'!$F$9,'Shade - 1'!$D$7,Vertex!A1,Vertex!A66,Vertex!A131,Normal!A1,Normal!A66,Normal!A131)*255)</f>
        <v>60</v>
      </c>
      <c r="B1">
        <f>INT(shadex('Shade - 1'!$D$9,'Shade - 1'!$E$9,'Shade - 1'!$F$9,'Shade - 1'!$D$7,Vertex!B1,Vertex!B66,Vertex!B131,Normal!B1,Normal!B66,Normal!B131)*255)</f>
        <v>72</v>
      </c>
      <c r="C1">
        <f>INT(shadex('Shade - 1'!$D$9,'Shade - 1'!$E$9,'Shade - 1'!$F$9,'Shade - 1'!$D$7,Vertex!C1,Vertex!C66,Vertex!C131,Normal!C1,Normal!C66,Normal!C131)*255)</f>
        <v>85</v>
      </c>
      <c r="D1">
        <f>INT(shadex('Shade - 1'!$D$9,'Shade - 1'!$E$9,'Shade - 1'!$F$9,'Shade - 1'!$D$7,Vertex!D1,Vertex!D66,Vertex!D131,Normal!D1,Normal!D66,Normal!D131)*255)</f>
        <v>88</v>
      </c>
      <c r="E1">
        <f>INT(shadex('Shade - 1'!$D$9,'Shade - 1'!$E$9,'Shade - 1'!$F$9,'Shade - 1'!$D$7,Vertex!E1,Vertex!E66,Vertex!E131,Normal!E1,Normal!E66,Normal!E131)*255)</f>
        <v>91</v>
      </c>
      <c r="F1">
        <f>INT(shadex('Shade - 1'!$D$9,'Shade - 1'!$E$9,'Shade - 1'!$F$9,'Shade - 1'!$D$7,Vertex!F1,Vertex!F66,Vertex!F131,Normal!F1,Normal!F66,Normal!F131)*255)</f>
        <v>82</v>
      </c>
      <c r="G1">
        <f>INT(shadex('Shade - 1'!$D$9,'Shade - 1'!$E$9,'Shade - 1'!$F$9,'Shade - 1'!$D$7,Vertex!G1,Vertex!G66,Vertex!G131,Normal!G1,Normal!G66,Normal!G131)*255)</f>
        <v>74</v>
      </c>
      <c r="H1">
        <f>INT(shadex('Shade - 1'!$D$9,'Shade - 1'!$E$9,'Shade - 1'!$F$9,'Shade - 1'!$D$7,Vertex!H1,Vertex!H66,Vertex!H131,Normal!H1,Normal!H66,Normal!H131)*255)</f>
        <v>80</v>
      </c>
      <c r="I1">
        <f>INT(shadex('Shade - 1'!$D$9,'Shade - 1'!$E$9,'Shade - 1'!$F$9,'Shade - 1'!$D$7,Vertex!I1,Vertex!I66,Vertex!I131,Normal!I1,Normal!I66,Normal!I131)*255)</f>
        <v>92</v>
      </c>
      <c r="J1">
        <f>INT(shadex('Shade - 1'!$D$9,'Shade - 1'!$E$9,'Shade - 1'!$F$9,'Shade - 1'!$D$7,Vertex!J1,Vertex!J66,Vertex!J131,Normal!J1,Normal!J66,Normal!J131)*255)</f>
        <v>95</v>
      </c>
      <c r="K1">
        <f>INT(shadex('Shade - 1'!$D$9,'Shade - 1'!$E$9,'Shade - 1'!$F$9,'Shade - 1'!$D$7,Vertex!K1,Vertex!K66,Vertex!K131,Normal!K1,Normal!K66,Normal!K131)*255)</f>
        <v>98</v>
      </c>
      <c r="L1">
        <f>INT(shadex('Shade - 1'!$D$9,'Shade - 1'!$E$9,'Shade - 1'!$F$9,'Shade - 1'!$D$7,Vertex!L1,Vertex!L66,Vertex!L131,Normal!L1,Normal!L66,Normal!L131)*255)</f>
        <v>96</v>
      </c>
      <c r="M1">
        <f>INT(shadex('Shade - 1'!$D$9,'Shade - 1'!$E$9,'Shade - 1'!$F$9,'Shade - 1'!$D$7,Vertex!M1,Vertex!M66,Vertex!M131,Normal!M1,Normal!M66,Normal!M131)*255)</f>
        <v>82</v>
      </c>
      <c r="N1">
        <f>INT(shadex('Shade - 1'!$D$9,'Shade - 1'!$E$9,'Shade - 1'!$F$9,'Shade - 1'!$D$7,Vertex!N1,Vertex!N66,Vertex!N131,Normal!N1,Normal!N66,Normal!N131)*255)</f>
        <v>87</v>
      </c>
      <c r="O1">
        <f>INT(shadex('Shade - 1'!$D$9,'Shade - 1'!$E$9,'Shade - 1'!$F$9,'Shade - 1'!$D$7,Vertex!O1,Vertex!O66,Vertex!O131,Normal!O1,Normal!O66,Normal!O131)*255)</f>
        <v>100</v>
      </c>
      <c r="P1">
        <f>INT(shadex('Shade - 1'!$D$9,'Shade - 1'!$E$9,'Shade - 1'!$F$9,'Shade - 1'!$D$7,Vertex!P1,Vertex!P66,Vertex!P131,Normal!P1,Normal!P66,Normal!P131)*255)</f>
        <v>99</v>
      </c>
      <c r="Q1">
        <f>INT(shadex('Shade - 1'!$D$9,'Shade - 1'!$E$9,'Shade - 1'!$F$9,'Shade - 1'!$D$7,Vertex!Q1,Vertex!Q66,Vertex!Q131,Normal!Q1,Normal!Q66,Normal!Q131)*255)</f>
        <v>98</v>
      </c>
      <c r="R1">
        <f>INT(shadex('Shade - 1'!$D$9,'Shade - 1'!$E$9,'Shade - 1'!$F$9,'Shade - 1'!$D$7,Vertex!R1,Vertex!R66,Vertex!R131,Normal!R1,Normal!R66,Normal!R131)*255)</f>
        <v>96</v>
      </c>
      <c r="S1">
        <f>INT(shadex('Shade - 1'!$D$9,'Shade - 1'!$E$9,'Shade - 1'!$F$9,'Shade - 1'!$D$7,Vertex!S1,Vertex!S66,Vertex!S131,Normal!S1,Normal!S66,Normal!S131)*255)</f>
        <v>96</v>
      </c>
      <c r="T1">
        <f>INT(shadex('Shade - 1'!$D$9,'Shade - 1'!$E$9,'Shade - 1'!$F$9,'Shade - 1'!$D$7,Vertex!T1,Vertex!T66,Vertex!T131,Normal!T1,Normal!T66,Normal!T131)*255)</f>
        <v>97</v>
      </c>
      <c r="U1">
        <f>INT(shadex('Shade - 1'!$D$9,'Shade - 1'!$E$9,'Shade - 1'!$F$9,'Shade - 1'!$D$7,Vertex!U1,Vertex!U66,Vertex!U131,Normal!U1,Normal!U66,Normal!U131)*255)</f>
        <v>99</v>
      </c>
      <c r="V1">
        <f>INT(shadex('Shade - 1'!$D$9,'Shade - 1'!$E$9,'Shade - 1'!$F$9,'Shade - 1'!$D$7,Vertex!V1,Vertex!V66,Vertex!V131,Normal!V1,Normal!V66,Normal!V131)*255)</f>
        <v>91</v>
      </c>
      <c r="W1">
        <f>INT(shadex('Shade - 1'!$D$9,'Shade - 1'!$E$9,'Shade - 1'!$F$9,'Shade - 1'!$D$7,Vertex!W1,Vertex!W66,Vertex!W131,Normal!W1,Normal!W66,Normal!W131)*255)</f>
        <v>92</v>
      </c>
      <c r="X1">
        <f>INT(shadex('Shade - 1'!$D$9,'Shade - 1'!$E$9,'Shade - 1'!$F$9,'Shade - 1'!$D$7,Vertex!X1,Vertex!X66,Vertex!X131,Normal!X1,Normal!X66,Normal!X131)*255)</f>
        <v>95</v>
      </c>
      <c r="Y1">
        <f>INT(shadex('Shade - 1'!$D$9,'Shade - 1'!$E$9,'Shade - 1'!$F$9,'Shade - 1'!$D$7,Vertex!Y1,Vertex!Y66,Vertex!Y131,Normal!Y1,Normal!Y66,Normal!Y131)*255)</f>
        <v>92</v>
      </c>
      <c r="Z1">
        <f>INT(shadex('Shade - 1'!$D$9,'Shade - 1'!$E$9,'Shade - 1'!$F$9,'Shade - 1'!$D$7,Vertex!Z1,Vertex!Z66,Vertex!Z131,Normal!Z1,Normal!Z66,Normal!Z131)*255)</f>
        <v>93</v>
      </c>
      <c r="AA1">
        <f>INT(shadex('Shade - 1'!$D$9,'Shade - 1'!$E$9,'Shade - 1'!$F$9,'Shade - 1'!$D$7,Vertex!AA1,Vertex!AA66,Vertex!AA131,Normal!AA1,Normal!AA66,Normal!AA131)*255)</f>
        <v>90</v>
      </c>
      <c r="AB1">
        <f>INT(shadex('Shade - 1'!$D$9,'Shade - 1'!$E$9,'Shade - 1'!$F$9,'Shade - 1'!$D$7,Vertex!AB1,Vertex!AB66,Vertex!AB131,Normal!AB1,Normal!AB66,Normal!AB131)*255)</f>
        <v>81</v>
      </c>
      <c r="AC1">
        <f>INT(shadex('Shade - 1'!$D$9,'Shade - 1'!$E$9,'Shade - 1'!$F$9,'Shade - 1'!$D$7,Vertex!AC1,Vertex!AC66,Vertex!AC131,Normal!AC1,Normal!AC66,Normal!AC131)*255)</f>
        <v>92</v>
      </c>
      <c r="AD1">
        <f>INT(shadex('Shade - 1'!$D$9,'Shade - 1'!$E$9,'Shade - 1'!$F$9,'Shade - 1'!$D$7,Vertex!AD1,Vertex!AD66,Vertex!AD131,Normal!AD1,Normal!AD66,Normal!AD131)*255)</f>
        <v>94</v>
      </c>
      <c r="AE1">
        <f>INT(shadex('Shade - 1'!$D$9,'Shade - 1'!$E$9,'Shade - 1'!$F$9,'Shade - 1'!$D$7,Vertex!AE1,Vertex!AE66,Vertex!AE131,Normal!AE1,Normal!AE66,Normal!AE131)*255)</f>
        <v>87</v>
      </c>
      <c r="AF1">
        <f>INT(shadex('Shade - 1'!$D$9,'Shade - 1'!$E$9,'Shade - 1'!$F$9,'Shade - 1'!$D$7,Vertex!AF1,Vertex!AF66,Vertex!AF131,Normal!AF1,Normal!AF66,Normal!AF131)*255)</f>
        <v>83</v>
      </c>
      <c r="AG1">
        <f>INT(shadex('Shade - 1'!$D$9,'Shade - 1'!$E$9,'Shade - 1'!$F$9,'Shade - 1'!$D$7,Vertex!AG1,Vertex!AG66,Vertex!AG131,Normal!AG1,Normal!AG66,Normal!AG131)*255)</f>
        <v>72</v>
      </c>
      <c r="AH1">
        <f>INT(shadex('Shade - 1'!$D$9,'Shade - 1'!$E$9,'Shade - 1'!$F$9,'Shade - 1'!$D$7,Vertex!AH1,Vertex!AH66,Vertex!AH131,Normal!AH1,Normal!AH66,Normal!AH131)*255)</f>
        <v>50</v>
      </c>
      <c r="AI1" s="4">
        <f>INT(shadex('Shade - 1'!$D$9,'Shade - 1'!$E$9,'Shade - 1'!$F$9,'Shade - 1'!$D$7,Vertex!AI1,Vertex!AI66,Vertex!AI131,Normal!AI1,Normal!AI66,Normal!AI131)*255)</f>
        <v>52</v>
      </c>
      <c r="AJ1" s="4">
        <f>INT(shadex('Shade - 1'!$D$9,'Shade - 1'!$E$9,'Shade - 1'!$F$9,'Shade - 1'!$D$7,Vertex!AJ1,Vertex!AJ66,Vertex!AJ131,Normal!AJ1,Normal!AJ66,Normal!AJ131)*255)</f>
        <v>77</v>
      </c>
      <c r="AK1" s="4">
        <f>INT(shadex('Shade - 1'!$D$9,'Shade - 1'!$E$9,'Shade - 1'!$F$9,'Shade - 1'!$D$7,Vertex!AK1,Vertex!AK66,Vertex!AK131,Normal!AK1,Normal!AK66,Normal!AK131)*255)</f>
        <v>85</v>
      </c>
      <c r="AL1" s="4">
        <f>INT(shadex('Shade - 1'!$D$9,'Shade - 1'!$E$9,'Shade - 1'!$F$9,'Shade - 1'!$D$7,Vertex!AL1,Vertex!AL66,Vertex!AL131,Normal!AL1,Normal!AL66,Normal!AL131)*255)</f>
        <v>71</v>
      </c>
      <c r="AM1" s="4">
        <f>INT(shadex('Shade - 1'!$D$9,'Shade - 1'!$E$9,'Shade - 1'!$F$9,'Shade - 1'!$D$7,Vertex!AM1,Vertex!AM66,Vertex!AM131,Normal!AM1,Normal!AM66,Normal!AM131)*255)</f>
        <v>68</v>
      </c>
      <c r="AN1" s="4">
        <f>INT(shadex('Shade - 1'!$D$9,'Shade - 1'!$E$9,'Shade - 1'!$F$9,'Shade - 1'!$D$7,Vertex!AN1,Vertex!AN66,Vertex!AN131,Normal!AN1,Normal!AN66,Normal!AN131)*255)</f>
        <v>93</v>
      </c>
      <c r="AO1" s="4">
        <f>INT(shadex('Shade - 1'!$D$9,'Shade - 1'!$E$9,'Shade - 1'!$F$9,'Shade - 1'!$D$7,Vertex!AO1,Vertex!AO66,Vertex!AO131,Normal!AO1,Normal!AO66,Normal!AO131)*255)</f>
        <v>92</v>
      </c>
      <c r="AP1" s="4">
        <f>INT(shadex('Shade - 1'!$D$9,'Shade - 1'!$E$9,'Shade - 1'!$F$9,'Shade - 1'!$D$7,Vertex!AP1,Vertex!AP66,Vertex!AP131,Normal!AP1,Normal!AP66,Normal!AP131)*255)</f>
        <v>81</v>
      </c>
      <c r="AQ1" s="4">
        <f>INT(shadex('Shade - 1'!$D$9,'Shade - 1'!$E$9,'Shade - 1'!$F$9,'Shade - 1'!$D$7,Vertex!AQ1,Vertex!AQ66,Vertex!AQ131,Normal!AQ1,Normal!AQ66,Normal!AQ131)*255)</f>
        <v>83</v>
      </c>
      <c r="AR1" s="4">
        <f>INT(shadex('Shade - 1'!$D$9,'Shade - 1'!$E$9,'Shade - 1'!$F$9,'Shade - 1'!$D$7,Vertex!AR1,Vertex!AR66,Vertex!AR131,Normal!AR1,Normal!AR66,Normal!AR131)*255)</f>
        <v>91</v>
      </c>
      <c r="AS1" s="4">
        <f>INT(shadex('Shade - 1'!$D$9,'Shade - 1'!$E$9,'Shade - 1'!$F$9,'Shade - 1'!$D$7,Vertex!AS1,Vertex!AS66,Vertex!AS131,Normal!AS1,Normal!AS66,Normal!AS131)*255)</f>
        <v>86</v>
      </c>
      <c r="AT1" s="4">
        <f>INT(shadex('Shade - 1'!$D$9,'Shade - 1'!$E$9,'Shade - 1'!$F$9,'Shade - 1'!$D$7,Vertex!AT1,Vertex!AT66,Vertex!AT131,Normal!AT1,Normal!AT66,Normal!AT131)*255)</f>
        <v>89</v>
      </c>
      <c r="AU1" s="4">
        <f>INT(shadex('Shade - 1'!$D$9,'Shade - 1'!$E$9,'Shade - 1'!$F$9,'Shade - 1'!$D$7,Vertex!AU1,Vertex!AU66,Vertex!AU131,Normal!AU1,Normal!AU66,Normal!AU131)*255)</f>
        <v>99</v>
      </c>
      <c r="AV1" s="4">
        <f>INT(shadex('Shade - 1'!$D$9,'Shade - 1'!$E$9,'Shade - 1'!$F$9,'Shade - 1'!$D$7,Vertex!AV1,Vertex!AV66,Vertex!AV131,Normal!AV1,Normal!AV66,Normal!AV131)*255)</f>
        <v>98</v>
      </c>
      <c r="AW1" s="4">
        <f>INT(shadex('Shade - 1'!$D$9,'Shade - 1'!$E$9,'Shade - 1'!$F$9,'Shade - 1'!$D$7,Vertex!AW1,Vertex!AW66,Vertex!AW131,Normal!AW1,Normal!AW66,Normal!AW131)*255)</f>
        <v>85</v>
      </c>
      <c r="AX1" s="4">
        <f>INT(shadex('Shade - 1'!$D$9,'Shade - 1'!$E$9,'Shade - 1'!$F$9,'Shade - 1'!$D$7,Vertex!AX1,Vertex!AX66,Vertex!AX131,Normal!AX1,Normal!AX66,Normal!AX131)*255)</f>
        <v>84</v>
      </c>
      <c r="AY1" s="4">
        <f>INT(shadex('Shade - 1'!$D$9,'Shade - 1'!$E$9,'Shade - 1'!$F$9,'Shade - 1'!$D$7,Vertex!AY1,Vertex!AY66,Vertex!AY131,Normal!AY1,Normal!AY66,Normal!AY131)*255)</f>
        <v>87</v>
      </c>
      <c r="AZ1" s="4">
        <f>INT(shadex('Shade - 1'!$D$9,'Shade - 1'!$E$9,'Shade - 1'!$F$9,'Shade - 1'!$D$7,Vertex!AZ1,Vertex!AZ66,Vertex!AZ131,Normal!AZ1,Normal!AZ66,Normal!AZ131)*255)</f>
        <v>68</v>
      </c>
      <c r="BA1" s="4">
        <f>INT(shadex('Shade - 1'!$D$9,'Shade - 1'!$E$9,'Shade - 1'!$F$9,'Shade - 1'!$D$7,Vertex!BA1,Vertex!BA66,Vertex!BA131,Normal!BA1,Normal!BA66,Normal!BA131)*255)</f>
        <v>70</v>
      </c>
      <c r="BB1" s="4">
        <f>INT(shadex('Shade - 1'!$D$9,'Shade - 1'!$E$9,'Shade - 1'!$F$9,'Shade - 1'!$D$7,Vertex!BB1,Vertex!BB66,Vertex!BB131,Normal!BB1,Normal!BB66,Normal!BB131)*255)</f>
        <v>80</v>
      </c>
      <c r="BC1" s="4">
        <f>INT(shadex('Shade - 1'!$D$9,'Shade - 1'!$E$9,'Shade - 1'!$F$9,'Shade - 1'!$D$7,Vertex!BC1,Vertex!BC66,Vertex!BC131,Normal!BC1,Normal!BC66,Normal!BC131)*255)</f>
        <v>69</v>
      </c>
      <c r="BD1" s="4">
        <f>INT(shadex('Shade - 1'!$D$9,'Shade - 1'!$E$9,'Shade - 1'!$F$9,'Shade - 1'!$D$7,Vertex!BD1,Vertex!BD66,Vertex!BD131,Normal!BD1,Normal!BD66,Normal!BD131)*255)</f>
        <v>65</v>
      </c>
      <c r="BE1" s="4">
        <f>INT(shadex('Shade - 1'!$D$9,'Shade - 1'!$E$9,'Shade - 1'!$F$9,'Shade - 1'!$D$7,Vertex!BE1,Vertex!BE66,Vertex!BE131,Normal!BE1,Normal!BE66,Normal!BE131)*255)</f>
        <v>68</v>
      </c>
      <c r="BF1" s="4">
        <f>INT(shadex('Shade - 1'!$D$9,'Shade - 1'!$E$9,'Shade - 1'!$F$9,'Shade - 1'!$D$7,Vertex!BF1,Vertex!BF66,Vertex!BF131,Normal!BF1,Normal!BF66,Normal!BF131)*255)</f>
        <v>87</v>
      </c>
      <c r="BG1" s="4">
        <f>INT(shadex('Shade - 1'!$D$9,'Shade - 1'!$E$9,'Shade - 1'!$F$9,'Shade - 1'!$D$7,Vertex!BG1,Vertex!BG66,Vertex!BG131,Normal!BG1,Normal!BG66,Normal!BG131)*255)</f>
        <v>89</v>
      </c>
      <c r="BH1" s="4">
        <f>INT(shadex('Shade - 1'!$D$9,'Shade - 1'!$E$9,'Shade - 1'!$F$9,'Shade - 1'!$D$7,Vertex!BH1,Vertex!BH66,Vertex!BH131,Normal!BH1,Normal!BH66,Normal!BH131)*255)</f>
        <v>75</v>
      </c>
      <c r="BI1" s="4">
        <f>INT(shadex('Shade - 1'!$D$9,'Shade - 1'!$E$9,'Shade - 1'!$F$9,'Shade - 1'!$D$7,Vertex!BI1,Vertex!BI66,Vertex!BI131,Normal!BI1,Normal!BI66,Normal!BI131)*255)</f>
        <v>75</v>
      </c>
      <c r="BJ1" s="4">
        <f>INT(shadex('Shade - 1'!$D$9,'Shade - 1'!$E$9,'Shade - 1'!$F$9,'Shade - 1'!$D$7,Vertex!BJ1,Vertex!BJ66,Vertex!BJ131,Normal!BJ1,Normal!BJ66,Normal!BJ131)*255)</f>
        <v>75</v>
      </c>
      <c r="BK1" s="4">
        <f>INT(shadex('Shade - 1'!$D$9,'Shade - 1'!$E$9,'Shade - 1'!$F$9,'Shade - 1'!$D$7,Vertex!BK1,Vertex!BK66,Vertex!BK131,Normal!BK1,Normal!BK66,Normal!BK131)*255)</f>
        <v>72</v>
      </c>
      <c r="BL1" s="4">
        <f>INT(shadex('Shade - 1'!$D$9,'Shade - 1'!$E$9,'Shade - 1'!$F$9,'Shade - 1'!$D$7,Vertex!BL1,Vertex!BL66,Vertex!BL131,Normal!BL1,Normal!BL66,Normal!BL131)*255)</f>
        <v>43</v>
      </c>
    </row>
    <row r="2" spans="1:64" x14ac:dyDescent="0.25">
      <c r="A2">
        <f>INT(shadex('Shade - 1'!$D$9,'Shade - 1'!$E$9,'Shade - 1'!$F$9,'Shade - 1'!$D$7,Vertex!A2,Vertex!A67,Vertex!A132,Normal!A2,Normal!A67,Normal!A132)*255)</f>
        <v>60</v>
      </c>
      <c r="B2">
        <f>INT(shadex('Shade - 1'!$D$9,'Shade - 1'!$E$9,'Shade - 1'!$F$9,'Shade - 1'!$D$7,Vertex!B2,Vertex!B67,Vertex!B132,Normal!B2,Normal!B67,Normal!B132)*255)</f>
        <v>71</v>
      </c>
      <c r="C2">
        <f>INT(shadex('Shade - 1'!$D$9,'Shade - 1'!$E$9,'Shade - 1'!$F$9,'Shade - 1'!$D$7,Vertex!C2,Vertex!C67,Vertex!C132,Normal!C2,Normal!C67,Normal!C132)*255)</f>
        <v>82</v>
      </c>
      <c r="D2">
        <f>INT(shadex('Shade - 1'!$D$9,'Shade - 1'!$E$9,'Shade - 1'!$F$9,'Shade - 1'!$D$7,Vertex!D2,Vertex!D67,Vertex!D132,Normal!D2,Normal!D67,Normal!D132)*255)</f>
        <v>86</v>
      </c>
      <c r="E2">
        <f>INT(shadex('Shade - 1'!$D$9,'Shade - 1'!$E$9,'Shade - 1'!$F$9,'Shade - 1'!$D$7,Vertex!E2,Vertex!E67,Vertex!E132,Normal!E2,Normal!E67,Normal!E132)*255)</f>
        <v>90</v>
      </c>
      <c r="F2">
        <f>INT(shadex('Shade - 1'!$D$9,'Shade - 1'!$E$9,'Shade - 1'!$F$9,'Shade - 1'!$D$7,Vertex!F2,Vertex!F67,Vertex!F132,Normal!F2,Normal!F67,Normal!F132)*255)</f>
        <v>90</v>
      </c>
      <c r="G2">
        <f>INT(shadex('Shade - 1'!$D$9,'Shade - 1'!$E$9,'Shade - 1'!$F$9,'Shade - 1'!$D$7,Vertex!G2,Vertex!G67,Vertex!G132,Normal!G2,Normal!G67,Normal!G132)*255)</f>
        <v>87</v>
      </c>
      <c r="H2">
        <f>INT(shadex('Shade - 1'!$D$9,'Shade - 1'!$E$9,'Shade - 1'!$F$9,'Shade - 1'!$D$7,Vertex!H2,Vertex!H67,Vertex!H132,Normal!H2,Normal!H67,Normal!H132)*255)</f>
        <v>91</v>
      </c>
      <c r="I2">
        <f>INT(shadex('Shade - 1'!$D$9,'Shade - 1'!$E$9,'Shade - 1'!$F$9,'Shade - 1'!$D$7,Vertex!I2,Vertex!I67,Vertex!I132,Normal!I2,Normal!I67,Normal!I132)*255)</f>
        <v>98</v>
      </c>
      <c r="J2">
        <f>INT(shadex('Shade - 1'!$D$9,'Shade - 1'!$E$9,'Shade - 1'!$F$9,'Shade - 1'!$D$7,Vertex!J2,Vertex!J67,Vertex!J132,Normal!J2,Normal!J67,Normal!J132)*255)</f>
        <v>98</v>
      </c>
      <c r="K2">
        <f>INT(shadex('Shade - 1'!$D$9,'Shade - 1'!$E$9,'Shade - 1'!$F$9,'Shade - 1'!$D$7,Vertex!K2,Vertex!K67,Vertex!K132,Normal!K2,Normal!K67,Normal!K132)*255)</f>
        <v>99</v>
      </c>
      <c r="L2">
        <f>INT(shadex('Shade - 1'!$D$9,'Shade - 1'!$E$9,'Shade - 1'!$F$9,'Shade - 1'!$D$7,Vertex!L2,Vertex!L67,Vertex!L132,Normal!L2,Normal!L67,Normal!L132)*255)</f>
        <v>98</v>
      </c>
      <c r="M2">
        <f>INT(shadex('Shade - 1'!$D$9,'Shade - 1'!$E$9,'Shade - 1'!$F$9,'Shade - 1'!$D$7,Vertex!M2,Vertex!M67,Vertex!M132,Normal!M2,Normal!M67,Normal!M132)*255)</f>
        <v>91</v>
      </c>
      <c r="N2">
        <f>INT(shadex('Shade - 1'!$D$9,'Shade - 1'!$E$9,'Shade - 1'!$F$9,'Shade - 1'!$D$7,Vertex!N2,Vertex!N67,Vertex!N132,Normal!N2,Normal!N67,Normal!N132)*255)</f>
        <v>95</v>
      </c>
      <c r="O2">
        <f>INT(shadex('Shade - 1'!$D$9,'Shade - 1'!$E$9,'Shade - 1'!$F$9,'Shade - 1'!$D$7,Vertex!O2,Vertex!O67,Vertex!O132,Normal!O2,Normal!O67,Normal!O132)*255)</f>
        <v>100</v>
      </c>
      <c r="P2">
        <f>INT(shadex('Shade - 1'!$D$9,'Shade - 1'!$E$9,'Shade - 1'!$F$9,'Shade - 1'!$D$7,Vertex!P2,Vertex!P67,Vertex!P132,Normal!P2,Normal!P67,Normal!P132)*255)</f>
        <v>100</v>
      </c>
      <c r="Q2">
        <f>INT(shadex('Shade - 1'!$D$9,'Shade - 1'!$E$9,'Shade - 1'!$F$9,'Shade - 1'!$D$7,Vertex!Q2,Vertex!Q67,Vertex!Q132,Normal!Q2,Normal!Q67,Normal!Q132)*255)</f>
        <v>97</v>
      </c>
      <c r="R2">
        <f>INT(shadex('Shade - 1'!$D$9,'Shade - 1'!$E$9,'Shade - 1'!$F$9,'Shade - 1'!$D$7,Vertex!R2,Vertex!R67,Vertex!R132,Normal!R2,Normal!R67,Normal!R132)*255)</f>
        <v>95</v>
      </c>
      <c r="S2">
        <f>INT(shadex('Shade - 1'!$D$9,'Shade - 1'!$E$9,'Shade - 1'!$F$9,'Shade - 1'!$D$7,Vertex!S2,Vertex!S67,Vertex!S132,Normal!S2,Normal!S67,Normal!S132)*255)</f>
        <v>97</v>
      </c>
      <c r="T2">
        <f>INT(shadex('Shade - 1'!$D$9,'Shade - 1'!$E$9,'Shade - 1'!$F$9,'Shade - 1'!$D$7,Vertex!T2,Vertex!T67,Vertex!T132,Normal!T2,Normal!T67,Normal!T132)*255)</f>
        <v>99</v>
      </c>
      <c r="U2">
        <f>INT(shadex('Shade - 1'!$D$9,'Shade - 1'!$E$9,'Shade - 1'!$F$9,'Shade - 1'!$D$7,Vertex!U2,Vertex!U67,Vertex!U132,Normal!U2,Normal!U67,Normal!U132)*255)</f>
        <v>98</v>
      </c>
      <c r="V2">
        <f>INT(shadex('Shade - 1'!$D$9,'Shade - 1'!$E$9,'Shade - 1'!$F$9,'Shade - 1'!$D$7,Vertex!V2,Vertex!V67,Vertex!V132,Normal!V2,Normal!V67,Normal!V132)*255)</f>
        <v>95</v>
      </c>
      <c r="W2">
        <f>INT(shadex('Shade - 1'!$D$9,'Shade - 1'!$E$9,'Shade - 1'!$F$9,'Shade - 1'!$D$7,Vertex!W2,Vertex!W67,Vertex!W132,Normal!W2,Normal!W67,Normal!W132)*255)</f>
        <v>97</v>
      </c>
      <c r="X2">
        <f>INT(shadex('Shade - 1'!$D$9,'Shade - 1'!$E$9,'Shade - 1'!$F$9,'Shade - 1'!$D$7,Vertex!X2,Vertex!X67,Vertex!X132,Normal!X2,Normal!X67,Normal!X132)*255)</f>
        <v>96</v>
      </c>
      <c r="Y2">
        <f>INT(shadex('Shade - 1'!$D$9,'Shade - 1'!$E$9,'Shade - 1'!$F$9,'Shade - 1'!$D$7,Vertex!Y2,Vertex!Y67,Vertex!Y132,Normal!Y2,Normal!Y67,Normal!Y132)*255)</f>
        <v>93</v>
      </c>
      <c r="Z2">
        <f>INT(shadex('Shade - 1'!$D$9,'Shade - 1'!$E$9,'Shade - 1'!$F$9,'Shade - 1'!$D$7,Vertex!Z2,Vertex!Z67,Vertex!Z132,Normal!Z2,Normal!Z67,Normal!Z132)*255)</f>
        <v>92</v>
      </c>
      <c r="AA2">
        <f>INT(shadex('Shade - 1'!$D$9,'Shade - 1'!$E$9,'Shade - 1'!$F$9,'Shade - 1'!$D$7,Vertex!AA2,Vertex!AA67,Vertex!AA132,Normal!AA2,Normal!AA67,Normal!AA132)*255)</f>
        <v>90</v>
      </c>
      <c r="AB2">
        <f>INT(shadex('Shade - 1'!$D$9,'Shade - 1'!$E$9,'Shade - 1'!$F$9,'Shade - 1'!$D$7,Vertex!AB2,Vertex!AB67,Vertex!AB132,Normal!AB2,Normal!AB67,Normal!AB132)*255)</f>
        <v>80</v>
      </c>
      <c r="AC2">
        <f>INT(shadex('Shade - 1'!$D$9,'Shade - 1'!$E$9,'Shade - 1'!$F$9,'Shade - 1'!$D$7,Vertex!AC2,Vertex!AC67,Vertex!AC132,Normal!AC2,Normal!AC67,Normal!AC132)*255)</f>
        <v>90</v>
      </c>
      <c r="AD2">
        <f>INT(shadex('Shade - 1'!$D$9,'Shade - 1'!$E$9,'Shade - 1'!$F$9,'Shade - 1'!$D$7,Vertex!AD2,Vertex!AD67,Vertex!AD132,Normal!AD2,Normal!AD67,Normal!AD132)*255)</f>
        <v>89</v>
      </c>
      <c r="AE2">
        <f>INT(shadex('Shade - 1'!$D$9,'Shade - 1'!$E$9,'Shade - 1'!$F$9,'Shade - 1'!$D$7,Vertex!AE2,Vertex!AE67,Vertex!AE132,Normal!AE2,Normal!AE67,Normal!AE132)*255)</f>
        <v>85</v>
      </c>
      <c r="AF2">
        <f>INT(shadex('Shade - 1'!$D$9,'Shade - 1'!$E$9,'Shade - 1'!$F$9,'Shade - 1'!$D$7,Vertex!AF2,Vertex!AF67,Vertex!AF132,Normal!AF2,Normal!AF67,Normal!AF132)*255)</f>
        <v>84</v>
      </c>
      <c r="AG2">
        <f>INT(shadex('Shade - 1'!$D$9,'Shade - 1'!$E$9,'Shade - 1'!$F$9,'Shade - 1'!$D$7,Vertex!AG2,Vertex!AG67,Vertex!AG132,Normal!AG2,Normal!AG67,Normal!AG132)*255)</f>
        <v>77</v>
      </c>
      <c r="AH2">
        <f>INT(shadex('Shade - 1'!$D$9,'Shade - 1'!$E$9,'Shade - 1'!$F$9,'Shade - 1'!$D$7,Vertex!AH2,Vertex!AH67,Vertex!AH132,Normal!AH2,Normal!AH67,Normal!AH132)*255)</f>
        <v>55</v>
      </c>
      <c r="AI2" s="4">
        <f>INT(shadex('Shade - 1'!$D$9,'Shade - 1'!$E$9,'Shade - 1'!$F$9,'Shade - 1'!$D$7,Vertex!AI2,Vertex!AI67,Vertex!AI132,Normal!AI2,Normal!AI67,Normal!AI132)*255)</f>
        <v>57</v>
      </c>
      <c r="AJ2" s="4">
        <f>INT(shadex('Shade - 1'!$D$9,'Shade - 1'!$E$9,'Shade - 1'!$F$9,'Shade - 1'!$D$7,Vertex!AJ2,Vertex!AJ67,Vertex!AJ132,Normal!AJ2,Normal!AJ67,Normal!AJ132)*255)</f>
        <v>78</v>
      </c>
      <c r="AK2" s="4">
        <f>INT(shadex('Shade - 1'!$D$9,'Shade - 1'!$E$9,'Shade - 1'!$F$9,'Shade - 1'!$D$7,Vertex!AK2,Vertex!AK67,Vertex!AK132,Normal!AK2,Normal!AK67,Normal!AK132)*255)</f>
        <v>84</v>
      </c>
      <c r="AL2" s="4">
        <f>INT(shadex('Shade - 1'!$D$9,'Shade - 1'!$E$9,'Shade - 1'!$F$9,'Shade - 1'!$D$7,Vertex!AL2,Vertex!AL67,Vertex!AL132,Normal!AL2,Normal!AL67,Normal!AL132)*255)</f>
        <v>76</v>
      </c>
      <c r="AM2" s="4">
        <f>INT(shadex('Shade - 1'!$D$9,'Shade - 1'!$E$9,'Shade - 1'!$F$9,'Shade - 1'!$D$7,Vertex!AM2,Vertex!AM67,Vertex!AM132,Normal!AM2,Normal!AM67,Normal!AM132)*255)</f>
        <v>84</v>
      </c>
      <c r="AN2" s="4">
        <f>INT(shadex('Shade - 1'!$D$9,'Shade - 1'!$E$9,'Shade - 1'!$F$9,'Shade - 1'!$D$7,Vertex!AN2,Vertex!AN67,Vertex!AN132,Normal!AN2,Normal!AN67,Normal!AN132)*255)</f>
        <v>98</v>
      </c>
      <c r="AO2" s="4">
        <f>INT(shadex('Shade - 1'!$D$9,'Shade - 1'!$E$9,'Shade - 1'!$F$9,'Shade - 1'!$D$7,Vertex!AO2,Vertex!AO67,Vertex!AO132,Normal!AO2,Normal!AO67,Normal!AO132)*255)</f>
        <v>95</v>
      </c>
      <c r="AP2" s="4">
        <f>INT(shadex('Shade - 1'!$D$9,'Shade - 1'!$E$9,'Shade - 1'!$F$9,'Shade - 1'!$D$7,Vertex!AP2,Vertex!AP67,Vertex!AP132,Normal!AP2,Normal!AP67,Normal!AP132)*255)</f>
        <v>86</v>
      </c>
      <c r="AQ2" s="4">
        <f>INT(shadex('Shade - 1'!$D$9,'Shade - 1'!$E$9,'Shade - 1'!$F$9,'Shade - 1'!$D$7,Vertex!AQ2,Vertex!AQ67,Vertex!AQ132,Normal!AQ2,Normal!AQ67,Normal!AQ132)*255)</f>
        <v>87</v>
      </c>
      <c r="AR2" s="4">
        <f>INT(shadex('Shade - 1'!$D$9,'Shade - 1'!$E$9,'Shade - 1'!$F$9,'Shade - 1'!$D$7,Vertex!AR2,Vertex!AR67,Vertex!AR132,Normal!AR2,Normal!AR67,Normal!AR132)*255)</f>
        <v>97</v>
      </c>
      <c r="AS2" s="4">
        <f>INT(shadex('Shade - 1'!$D$9,'Shade - 1'!$E$9,'Shade - 1'!$F$9,'Shade - 1'!$D$7,Vertex!AS2,Vertex!AS67,Vertex!AS132,Normal!AS2,Normal!AS67,Normal!AS132)*255)</f>
        <v>95</v>
      </c>
      <c r="AT2" s="4">
        <f>INT(shadex('Shade - 1'!$D$9,'Shade - 1'!$E$9,'Shade - 1'!$F$9,'Shade - 1'!$D$7,Vertex!AT2,Vertex!AT67,Vertex!AT132,Normal!AT2,Normal!AT67,Normal!AT132)*255)</f>
        <v>86</v>
      </c>
      <c r="AU2" s="4">
        <f>INT(shadex('Shade - 1'!$D$9,'Shade - 1'!$E$9,'Shade - 1'!$F$9,'Shade - 1'!$D$7,Vertex!AU2,Vertex!AU67,Vertex!AU132,Normal!AU2,Normal!AU67,Normal!AU132)*255)</f>
        <v>97</v>
      </c>
      <c r="AV2" s="4">
        <f>INT(shadex('Shade - 1'!$D$9,'Shade - 1'!$E$9,'Shade - 1'!$F$9,'Shade - 1'!$D$7,Vertex!AV2,Vertex!AV67,Vertex!AV132,Normal!AV2,Normal!AV67,Normal!AV132)*255)</f>
        <v>98</v>
      </c>
      <c r="AW2" s="4">
        <f>INT(shadex('Shade - 1'!$D$9,'Shade - 1'!$E$9,'Shade - 1'!$F$9,'Shade - 1'!$D$7,Vertex!AW2,Vertex!AW67,Vertex!AW132,Normal!AW2,Normal!AW67,Normal!AW132)*255)</f>
        <v>88</v>
      </c>
      <c r="AX2" s="4">
        <f>INT(shadex('Shade - 1'!$D$9,'Shade - 1'!$E$9,'Shade - 1'!$F$9,'Shade - 1'!$D$7,Vertex!AX2,Vertex!AX67,Vertex!AX132,Normal!AX2,Normal!AX67,Normal!AX132)*255)</f>
        <v>79</v>
      </c>
      <c r="AY2" s="4">
        <f>INT(shadex('Shade - 1'!$D$9,'Shade - 1'!$E$9,'Shade - 1'!$F$9,'Shade - 1'!$D$7,Vertex!AY2,Vertex!AY67,Vertex!AY132,Normal!AY2,Normal!AY67,Normal!AY132)*255)</f>
        <v>86</v>
      </c>
      <c r="AZ2" s="4">
        <f>INT(shadex('Shade - 1'!$D$9,'Shade - 1'!$E$9,'Shade - 1'!$F$9,'Shade - 1'!$D$7,Vertex!AZ2,Vertex!AZ67,Vertex!AZ132,Normal!AZ2,Normal!AZ67,Normal!AZ132)*255)</f>
        <v>82</v>
      </c>
      <c r="BA2" s="4">
        <f>INT(shadex('Shade - 1'!$D$9,'Shade - 1'!$E$9,'Shade - 1'!$F$9,'Shade - 1'!$D$7,Vertex!BA2,Vertex!BA67,Vertex!BA132,Normal!BA2,Normal!BA67,Normal!BA132)*255)</f>
        <v>73</v>
      </c>
      <c r="BB2" s="4">
        <f>INT(shadex('Shade - 1'!$D$9,'Shade - 1'!$E$9,'Shade - 1'!$F$9,'Shade - 1'!$D$7,Vertex!BB2,Vertex!BB67,Vertex!BB132,Normal!BB2,Normal!BB67,Normal!BB132)*255)</f>
        <v>71</v>
      </c>
      <c r="BC2" s="4">
        <f>INT(shadex('Shade - 1'!$D$9,'Shade - 1'!$E$9,'Shade - 1'!$F$9,'Shade - 1'!$D$7,Vertex!BC2,Vertex!BC67,Vertex!BC132,Normal!BC2,Normal!BC67,Normal!BC132)*255)</f>
        <v>79</v>
      </c>
      <c r="BD2" s="4">
        <f>INT(shadex('Shade - 1'!$D$9,'Shade - 1'!$E$9,'Shade - 1'!$F$9,'Shade - 1'!$D$7,Vertex!BD2,Vertex!BD67,Vertex!BD132,Normal!BD2,Normal!BD67,Normal!BD132)*255)</f>
        <v>75</v>
      </c>
      <c r="BE2" s="4">
        <f>INT(shadex('Shade - 1'!$D$9,'Shade - 1'!$E$9,'Shade - 1'!$F$9,'Shade - 1'!$D$7,Vertex!BE2,Vertex!BE67,Vertex!BE132,Normal!BE2,Normal!BE67,Normal!BE132)*255)</f>
        <v>68</v>
      </c>
      <c r="BF2" s="4">
        <f>INT(shadex('Shade - 1'!$D$9,'Shade - 1'!$E$9,'Shade - 1'!$F$9,'Shade - 1'!$D$7,Vertex!BF2,Vertex!BF67,Vertex!BF132,Normal!BF2,Normal!BF67,Normal!BF132)*255)</f>
        <v>82</v>
      </c>
      <c r="BG2" s="4">
        <f>INT(shadex('Shade - 1'!$D$9,'Shade - 1'!$E$9,'Shade - 1'!$F$9,'Shade - 1'!$D$7,Vertex!BG2,Vertex!BG67,Vertex!BG132,Normal!BG2,Normal!BG67,Normal!BG132)*255)</f>
        <v>80</v>
      </c>
      <c r="BH2" s="4">
        <f>INT(shadex('Shade - 1'!$D$9,'Shade - 1'!$E$9,'Shade - 1'!$F$9,'Shade - 1'!$D$7,Vertex!BH2,Vertex!BH67,Vertex!BH132,Normal!BH2,Normal!BH67,Normal!BH132)*255)</f>
        <v>75</v>
      </c>
      <c r="BI2" s="4">
        <f>INT(shadex('Shade - 1'!$D$9,'Shade - 1'!$E$9,'Shade - 1'!$F$9,'Shade - 1'!$D$7,Vertex!BI2,Vertex!BI67,Vertex!BI132,Normal!BI2,Normal!BI67,Normal!BI132)*255)</f>
        <v>79</v>
      </c>
      <c r="BJ2" s="4">
        <f>INT(shadex('Shade - 1'!$D$9,'Shade - 1'!$E$9,'Shade - 1'!$F$9,'Shade - 1'!$D$7,Vertex!BJ2,Vertex!BJ67,Vertex!BJ132,Normal!BJ2,Normal!BJ67,Normal!BJ132)*255)</f>
        <v>69</v>
      </c>
      <c r="BK2" s="4">
        <f>INT(shadex('Shade - 1'!$D$9,'Shade - 1'!$E$9,'Shade - 1'!$F$9,'Shade - 1'!$D$7,Vertex!BK2,Vertex!BK67,Vertex!BK132,Normal!BK2,Normal!BK67,Normal!BK132)*255)</f>
        <v>71</v>
      </c>
      <c r="BL2" s="4">
        <f>INT(shadex('Shade - 1'!$D$9,'Shade - 1'!$E$9,'Shade - 1'!$F$9,'Shade - 1'!$D$7,Vertex!BL2,Vertex!BL67,Vertex!BL132,Normal!BL2,Normal!BL67,Normal!BL132)*255)</f>
        <v>60</v>
      </c>
    </row>
    <row r="3" spans="1:64" x14ac:dyDescent="0.25">
      <c r="A3">
        <f>INT(shadex('Shade - 1'!$D$9,'Shade - 1'!$E$9,'Shade - 1'!$F$9,'Shade - 1'!$D$7,Vertex!A3,Vertex!A68,Vertex!A133,Normal!A3,Normal!A68,Normal!A133)*255)</f>
        <v>71</v>
      </c>
      <c r="B3">
        <f>INT(shadex('Shade - 1'!$D$9,'Shade - 1'!$E$9,'Shade - 1'!$F$9,'Shade - 1'!$D$7,Vertex!B3,Vertex!B68,Vertex!B133,Normal!B3,Normal!B68,Normal!B133)*255)</f>
        <v>78</v>
      </c>
      <c r="C3">
        <f>INT(shadex('Shade - 1'!$D$9,'Shade - 1'!$E$9,'Shade - 1'!$F$9,'Shade - 1'!$D$7,Vertex!C3,Vertex!C68,Vertex!C133,Normal!C3,Normal!C68,Normal!C133)*255)</f>
        <v>87</v>
      </c>
      <c r="D3">
        <f>INT(shadex('Shade - 1'!$D$9,'Shade - 1'!$E$9,'Shade - 1'!$F$9,'Shade - 1'!$D$7,Vertex!D3,Vertex!D68,Vertex!D133,Normal!D3,Normal!D68,Normal!D133)*255)</f>
        <v>90</v>
      </c>
      <c r="E3">
        <f>INT(shadex('Shade - 1'!$D$9,'Shade - 1'!$E$9,'Shade - 1'!$F$9,'Shade - 1'!$D$7,Vertex!E3,Vertex!E68,Vertex!E133,Normal!E3,Normal!E68,Normal!E133)*255)</f>
        <v>93</v>
      </c>
      <c r="F3">
        <f>INT(shadex('Shade - 1'!$D$9,'Shade - 1'!$E$9,'Shade - 1'!$F$9,'Shade - 1'!$D$7,Vertex!F3,Vertex!F68,Vertex!F133,Normal!F3,Normal!F68,Normal!F133)*255)</f>
        <v>93</v>
      </c>
      <c r="G3">
        <f>INT(shadex('Shade - 1'!$D$9,'Shade - 1'!$E$9,'Shade - 1'!$F$9,'Shade - 1'!$D$7,Vertex!G3,Vertex!G68,Vertex!G133,Normal!G3,Normal!G68,Normal!G133)*255)</f>
        <v>94</v>
      </c>
      <c r="H3">
        <f>INT(shadex('Shade - 1'!$D$9,'Shade - 1'!$E$9,'Shade - 1'!$F$9,'Shade - 1'!$D$7,Vertex!H3,Vertex!H68,Vertex!H133,Normal!H3,Normal!H68,Normal!H133)*255)</f>
        <v>96</v>
      </c>
      <c r="I3">
        <f>INT(shadex('Shade - 1'!$D$9,'Shade - 1'!$E$9,'Shade - 1'!$F$9,'Shade - 1'!$D$7,Vertex!I3,Vertex!I68,Vertex!I133,Normal!I3,Normal!I68,Normal!I133)*255)</f>
        <v>97</v>
      </c>
      <c r="J3">
        <f>INT(shadex('Shade - 1'!$D$9,'Shade - 1'!$E$9,'Shade - 1'!$F$9,'Shade - 1'!$D$7,Vertex!J3,Vertex!J68,Vertex!J133,Normal!J3,Normal!J68,Normal!J133)*255)</f>
        <v>97</v>
      </c>
      <c r="K3">
        <f>INT(shadex('Shade - 1'!$D$9,'Shade - 1'!$E$9,'Shade - 1'!$F$9,'Shade - 1'!$D$7,Vertex!K3,Vertex!K68,Vertex!K133,Normal!K3,Normal!K68,Normal!K133)*255)</f>
        <v>98</v>
      </c>
      <c r="L3">
        <f>INT(shadex('Shade - 1'!$D$9,'Shade - 1'!$E$9,'Shade - 1'!$F$9,'Shade - 1'!$D$7,Vertex!L3,Vertex!L68,Vertex!L133,Normal!L3,Normal!L68,Normal!L133)*255)</f>
        <v>98</v>
      </c>
      <c r="M3">
        <f>INT(shadex('Shade - 1'!$D$9,'Shade - 1'!$E$9,'Shade - 1'!$F$9,'Shade - 1'!$D$7,Vertex!M3,Vertex!M68,Vertex!M133,Normal!M3,Normal!M68,Normal!M133)*255)</f>
        <v>98</v>
      </c>
      <c r="N3">
        <f>INT(shadex('Shade - 1'!$D$9,'Shade - 1'!$E$9,'Shade - 1'!$F$9,'Shade - 1'!$D$7,Vertex!N3,Vertex!N68,Vertex!N133,Normal!N3,Normal!N68,Normal!N133)*255)</f>
        <v>99</v>
      </c>
      <c r="O3">
        <f>INT(shadex('Shade - 1'!$D$9,'Shade - 1'!$E$9,'Shade - 1'!$F$9,'Shade - 1'!$D$7,Vertex!O3,Vertex!O68,Vertex!O133,Normal!O3,Normal!O68,Normal!O133)*255)</f>
        <v>100</v>
      </c>
      <c r="P3">
        <f>INT(shadex('Shade - 1'!$D$9,'Shade - 1'!$E$9,'Shade - 1'!$F$9,'Shade - 1'!$D$7,Vertex!P3,Vertex!P68,Vertex!P133,Normal!P3,Normal!P68,Normal!P133)*255)</f>
        <v>100</v>
      </c>
      <c r="Q3">
        <f>INT(shadex('Shade - 1'!$D$9,'Shade - 1'!$E$9,'Shade - 1'!$F$9,'Shade - 1'!$D$7,Vertex!Q3,Vertex!Q68,Vertex!Q133,Normal!Q3,Normal!Q68,Normal!Q133)*255)</f>
        <v>97</v>
      </c>
      <c r="R3">
        <f>INT(shadex('Shade - 1'!$D$9,'Shade - 1'!$E$9,'Shade - 1'!$F$9,'Shade - 1'!$D$7,Vertex!R3,Vertex!R68,Vertex!R133,Normal!R3,Normal!R68,Normal!R133)*255)</f>
        <v>95</v>
      </c>
      <c r="S3">
        <f>INT(shadex('Shade - 1'!$D$9,'Shade - 1'!$E$9,'Shade - 1'!$F$9,'Shade - 1'!$D$7,Vertex!S3,Vertex!S68,Vertex!S133,Normal!S3,Normal!S68,Normal!S133)*255)</f>
        <v>98</v>
      </c>
      <c r="T3">
        <f>INT(shadex('Shade - 1'!$D$9,'Shade - 1'!$E$9,'Shade - 1'!$F$9,'Shade - 1'!$D$7,Vertex!T3,Vertex!T68,Vertex!T133,Normal!T3,Normal!T68,Normal!T133)*255)</f>
        <v>99</v>
      </c>
      <c r="U3">
        <f>INT(shadex('Shade - 1'!$D$9,'Shade - 1'!$E$9,'Shade - 1'!$F$9,'Shade - 1'!$D$7,Vertex!U3,Vertex!U68,Vertex!U133,Normal!U3,Normal!U68,Normal!U133)*255)</f>
        <v>98</v>
      </c>
      <c r="V3">
        <f>INT(shadex('Shade - 1'!$D$9,'Shade - 1'!$E$9,'Shade - 1'!$F$9,'Shade - 1'!$D$7,Vertex!V3,Vertex!V68,Vertex!V133,Normal!V3,Normal!V68,Normal!V133)*255)</f>
        <v>98</v>
      </c>
      <c r="W3">
        <f>INT(shadex('Shade - 1'!$D$9,'Shade - 1'!$E$9,'Shade - 1'!$F$9,'Shade - 1'!$D$7,Vertex!W3,Vertex!W68,Vertex!W133,Normal!W3,Normal!W68,Normal!W133)*255)</f>
        <v>100</v>
      </c>
      <c r="X3">
        <f>INT(shadex('Shade - 1'!$D$9,'Shade - 1'!$E$9,'Shade - 1'!$F$9,'Shade - 1'!$D$7,Vertex!X3,Vertex!X68,Vertex!X133,Normal!X3,Normal!X68,Normal!X133)*255)</f>
        <v>99</v>
      </c>
      <c r="Y3">
        <f>INT(shadex('Shade - 1'!$D$9,'Shade - 1'!$E$9,'Shade - 1'!$F$9,'Shade - 1'!$D$7,Vertex!Y3,Vertex!Y68,Vertex!Y133,Normal!Y3,Normal!Y68,Normal!Y133)*255)</f>
        <v>94</v>
      </c>
      <c r="Z3">
        <f>INT(shadex('Shade - 1'!$D$9,'Shade - 1'!$E$9,'Shade - 1'!$F$9,'Shade - 1'!$D$7,Vertex!Z3,Vertex!Z68,Vertex!Z133,Normal!Z3,Normal!Z68,Normal!Z133)*255)</f>
        <v>93</v>
      </c>
      <c r="AA3">
        <f>INT(shadex('Shade - 1'!$D$9,'Shade - 1'!$E$9,'Shade - 1'!$F$9,'Shade - 1'!$D$7,Vertex!AA3,Vertex!AA68,Vertex!AA133,Normal!AA3,Normal!AA68,Normal!AA133)*255)</f>
        <v>93</v>
      </c>
      <c r="AB3">
        <f>INT(shadex('Shade - 1'!$D$9,'Shade - 1'!$E$9,'Shade - 1'!$F$9,'Shade - 1'!$D$7,Vertex!AB3,Vertex!AB68,Vertex!AB133,Normal!AB3,Normal!AB68,Normal!AB133)*255)</f>
        <v>84</v>
      </c>
      <c r="AC3">
        <f>INT(shadex('Shade - 1'!$D$9,'Shade - 1'!$E$9,'Shade - 1'!$F$9,'Shade - 1'!$D$7,Vertex!AC3,Vertex!AC68,Vertex!AC133,Normal!AC3,Normal!AC68,Normal!AC133)*255)</f>
        <v>70</v>
      </c>
      <c r="AD3">
        <f>INT(shadex('Shade - 1'!$D$9,'Shade - 1'!$E$9,'Shade - 1'!$F$9,'Shade - 1'!$D$7,Vertex!AD3,Vertex!AD68,Vertex!AD133,Normal!AD3,Normal!AD68,Normal!AD133)*255)</f>
        <v>73</v>
      </c>
      <c r="AE3">
        <f>INT(shadex('Shade - 1'!$D$9,'Shade - 1'!$E$9,'Shade - 1'!$F$9,'Shade - 1'!$D$7,Vertex!AE3,Vertex!AE68,Vertex!AE133,Normal!AE3,Normal!AE68,Normal!AE133)*255)</f>
        <v>87</v>
      </c>
      <c r="AF3">
        <f>INT(shadex('Shade - 1'!$D$9,'Shade - 1'!$E$9,'Shade - 1'!$F$9,'Shade - 1'!$D$7,Vertex!AF3,Vertex!AF68,Vertex!AF133,Normal!AF3,Normal!AF68,Normal!AF133)*255)</f>
        <v>86</v>
      </c>
      <c r="AG3">
        <f>INT(shadex('Shade - 1'!$D$9,'Shade - 1'!$E$9,'Shade - 1'!$F$9,'Shade - 1'!$D$7,Vertex!AG3,Vertex!AG68,Vertex!AG133,Normal!AG3,Normal!AG68,Normal!AG133)*255)</f>
        <v>77</v>
      </c>
      <c r="AH3">
        <f>INT(shadex('Shade - 1'!$D$9,'Shade - 1'!$E$9,'Shade - 1'!$F$9,'Shade - 1'!$D$7,Vertex!AH3,Vertex!AH68,Vertex!AH133,Normal!AH3,Normal!AH68,Normal!AH133)*255)</f>
        <v>62</v>
      </c>
      <c r="AI3" s="4">
        <f>INT(shadex('Shade - 1'!$D$9,'Shade - 1'!$E$9,'Shade - 1'!$F$9,'Shade - 1'!$D$7,Vertex!AI3,Vertex!AI68,Vertex!AI133,Normal!AI3,Normal!AI68,Normal!AI133)*255)</f>
        <v>66</v>
      </c>
      <c r="AJ3" s="4">
        <f>INT(shadex('Shade - 1'!$D$9,'Shade - 1'!$E$9,'Shade - 1'!$F$9,'Shade - 1'!$D$7,Vertex!AJ3,Vertex!AJ68,Vertex!AJ133,Normal!AJ3,Normal!AJ68,Normal!AJ133)*255)</f>
        <v>77</v>
      </c>
      <c r="AK3" s="4">
        <f>INT(shadex('Shade - 1'!$D$9,'Shade - 1'!$E$9,'Shade - 1'!$F$9,'Shade - 1'!$D$7,Vertex!AK3,Vertex!AK68,Vertex!AK133,Normal!AK3,Normal!AK68,Normal!AK133)*255)</f>
        <v>76</v>
      </c>
      <c r="AL3" s="4">
        <f>INT(shadex('Shade - 1'!$D$9,'Shade - 1'!$E$9,'Shade - 1'!$F$9,'Shade - 1'!$D$7,Vertex!AL3,Vertex!AL68,Vertex!AL133,Normal!AL3,Normal!AL68,Normal!AL133)*255)</f>
        <v>86</v>
      </c>
      <c r="AM3" s="4">
        <f>INT(shadex('Shade - 1'!$D$9,'Shade - 1'!$E$9,'Shade - 1'!$F$9,'Shade - 1'!$D$7,Vertex!AM3,Vertex!AM68,Vertex!AM133,Normal!AM3,Normal!AM68,Normal!AM133)*255)</f>
        <v>99</v>
      </c>
      <c r="AN3" s="4">
        <f>INT(shadex('Shade - 1'!$D$9,'Shade - 1'!$E$9,'Shade - 1'!$F$9,'Shade - 1'!$D$7,Vertex!AN3,Vertex!AN68,Vertex!AN133,Normal!AN3,Normal!AN68,Normal!AN133)*255)</f>
        <v>99</v>
      </c>
      <c r="AO3" s="4">
        <f>INT(shadex('Shade - 1'!$D$9,'Shade - 1'!$E$9,'Shade - 1'!$F$9,'Shade - 1'!$D$7,Vertex!AO3,Vertex!AO68,Vertex!AO133,Normal!AO3,Normal!AO68,Normal!AO133)*255)</f>
        <v>88</v>
      </c>
      <c r="AP3" s="4">
        <f>INT(shadex('Shade - 1'!$D$9,'Shade - 1'!$E$9,'Shade - 1'!$F$9,'Shade - 1'!$D$7,Vertex!AP3,Vertex!AP68,Vertex!AP133,Normal!AP3,Normal!AP68,Normal!AP133)*255)</f>
        <v>82</v>
      </c>
      <c r="AQ3" s="4">
        <f>INT(shadex('Shade - 1'!$D$9,'Shade - 1'!$E$9,'Shade - 1'!$F$9,'Shade - 1'!$D$7,Vertex!AQ3,Vertex!AQ68,Vertex!AQ133,Normal!AQ3,Normal!AQ68,Normal!AQ133)*255)</f>
        <v>96</v>
      </c>
      <c r="AR3" s="4">
        <f>INT(shadex('Shade - 1'!$D$9,'Shade - 1'!$E$9,'Shade - 1'!$F$9,'Shade - 1'!$D$7,Vertex!AR3,Vertex!AR68,Vertex!AR133,Normal!AR3,Normal!AR68,Normal!AR133)*255)</f>
        <v>99</v>
      </c>
      <c r="AS3" s="4">
        <f>INT(shadex('Shade - 1'!$D$9,'Shade - 1'!$E$9,'Shade - 1'!$F$9,'Shade - 1'!$D$7,Vertex!AS3,Vertex!AS68,Vertex!AS133,Normal!AS3,Normal!AS68,Normal!AS133)*255)</f>
        <v>98</v>
      </c>
      <c r="AT3" s="4">
        <f>INT(shadex('Shade - 1'!$D$9,'Shade - 1'!$E$9,'Shade - 1'!$F$9,'Shade - 1'!$D$7,Vertex!AT3,Vertex!AT68,Vertex!AT133,Normal!AT3,Normal!AT68,Normal!AT133)*255)</f>
        <v>91</v>
      </c>
      <c r="AU3" s="4">
        <f>INT(shadex('Shade - 1'!$D$9,'Shade - 1'!$E$9,'Shade - 1'!$F$9,'Shade - 1'!$D$7,Vertex!AU3,Vertex!AU68,Vertex!AU133,Normal!AU3,Normal!AU68,Normal!AU133)*255)</f>
        <v>93</v>
      </c>
      <c r="AV3" s="4">
        <f>INT(shadex('Shade - 1'!$D$9,'Shade - 1'!$E$9,'Shade - 1'!$F$9,'Shade - 1'!$D$7,Vertex!AV3,Vertex!AV68,Vertex!AV133,Normal!AV3,Normal!AV68,Normal!AV133)*255)</f>
        <v>97</v>
      </c>
      <c r="AW3" s="4">
        <f>INT(shadex('Shade - 1'!$D$9,'Shade - 1'!$E$9,'Shade - 1'!$F$9,'Shade - 1'!$D$7,Vertex!AW3,Vertex!AW68,Vertex!AW133,Normal!AW3,Normal!AW68,Normal!AW133)*255)</f>
        <v>97</v>
      </c>
      <c r="AX3" s="4">
        <f>INT(shadex('Shade - 1'!$D$9,'Shade - 1'!$E$9,'Shade - 1'!$F$9,'Shade - 1'!$D$7,Vertex!AX3,Vertex!AX68,Vertex!AX133,Normal!AX3,Normal!AX68,Normal!AX133)*255)</f>
        <v>86</v>
      </c>
      <c r="AY3" s="4">
        <f>INT(shadex('Shade - 1'!$D$9,'Shade - 1'!$E$9,'Shade - 1'!$F$9,'Shade - 1'!$D$7,Vertex!AY3,Vertex!AY68,Vertex!AY133,Normal!AY3,Normal!AY68,Normal!AY133)*255)</f>
        <v>82</v>
      </c>
      <c r="AZ3" s="4">
        <f>INT(shadex('Shade - 1'!$D$9,'Shade - 1'!$E$9,'Shade - 1'!$F$9,'Shade - 1'!$D$7,Vertex!AZ3,Vertex!AZ68,Vertex!AZ133,Normal!AZ3,Normal!AZ68,Normal!AZ133)*255)</f>
        <v>86</v>
      </c>
      <c r="BA3" s="4">
        <f>INT(shadex('Shade - 1'!$D$9,'Shade - 1'!$E$9,'Shade - 1'!$F$9,'Shade - 1'!$D$7,Vertex!BA3,Vertex!BA68,Vertex!BA133,Normal!BA3,Normal!BA68,Normal!BA133)*255)</f>
        <v>72</v>
      </c>
      <c r="BB3" s="4">
        <f>INT(shadex('Shade - 1'!$D$9,'Shade - 1'!$E$9,'Shade - 1'!$F$9,'Shade - 1'!$D$7,Vertex!BB3,Vertex!BB68,Vertex!BB133,Normal!BB3,Normal!BB68,Normal!BB133)*255)</f>
        <v>52</v>
      </c>
      <c r="BC3" s="4">
        <f>INT(shadex('Shade - 1'!$D$9,'Shade - 1'!$E$9,'Shade - 1'!$F$9,'Shade - 1'!$D$7,Vertex!BC3,Vertex!BC68,Vertex!BC133,Normal!BC3,Normal!BC68,Normal!BC133)*255)</f>
        <v>78</v>
      </c>
      <c r="BD3" s="4">
        <f>INT(shadex('Shade - 1'!$D$9,'Shade - 1'!$E$9,'Shade - 1'!$F$9,'Shade - 1'!$D$7,Vertex!BD3,Vertex!BD68,Vertex!BD133,Normal!BD3,Normal!BD68,Normal!BD133)*255)</f>
        <v>83</v>
      </c>
      <c r="BE3" s="4">
        <f>INT(shadex('Shade - 1'!$D$9,'Shade - 1'!$E$9,'Shade - 1'!$F$9,'Shade - 1'!$D$7,Vertex!BE3,Vertex!BE68,Vertex!BE133,Normal!BE3,Normal!BE68,Normal!BE133)*255)</f>
        <v>85</v>
      </c>
      <c r="BF3" s="4">
        <f>INT(shadex('Shade - 1'!$D$9,'Shade - 1'!$E$9,'Shade - 1'!$F$9,'Shade - 1'!$D$7,Vertex!BF3,Vertex!BF68,Vertex!BF133,Normal!BF3,Normal!BF68,Normal!BF133)*255)</f>
        <v>81</v>
      </c>
      <c r="BG3" s="4">
        <f>INT(shadex('Shade - 1'!$D$9,'Shade - 1'!$E$9,'Shade - 1'!$F$9,'Shade - 1'!$D$7,Vertex!BG3,Vertex!BG68,Vertex!BG133,Normal!BG3,Normal!BG68,Normal!BG133)*255)</f>
        <v>64</v>
      </c>
      <c r="BH3" s="4">
        <f>INT(shadex('Shade - 1'!$D$9,'Shade - 1'!$E$9,'Shade - 1'!$F$9,'Shade - 1'!$D$7,Vertex!BH3,Vertex!BH68,Vertex!BH133,Normal!BH3,Normal!BH68,Normal!BH133)*255)</f>
        <v>68</v>
      </c>
      <c r="BI3" s="4">
        <f>INT(shadex('Shade - 1'!$D$9,'Shade - 1'!$E$9,'Shade - 1'!$F$9,'Shade - 1'!$D$7,Vertex!BI3,Vertex!BI68,Vertex!BI133,Normal!BI3,Normal!BI68,Normal!BI133)*255)</f>
        <v>71</v>
      </c>
      <c r="BJ3" s="4">
        <f>INT(shadex('Shade - 1'!$D$9,'Shade - 1'!$E$9,'Shade - 1'!$F$9,'Shade - 1'!$D$7,Vertex!BJ3,Vertex!BJ68,Vertex!BJ133,Normal!BJ3,Normal!BJ68,Normal!BJ133)*255)</f>
        <v>63</v>
      </c>
      <c r="BK3" s="4">
        <f>INT(shadex('Shade - 1'!$D$9,'Shade - 1'!$E$9,'Shade - 1'!$F$9,'Shade - 1'!$D$7,Vertex!BK3,Vertex!BK68,Vertex!BK133,Normal!BK3,Normal!BK68,Normal!BK133)*255)</f>
        <v>67</v>
      </c>
      <c r="BL3" s="4">
        <f>INT(shadex('Shade - 1'!$D$9,'Shade - 1'!$E$9,'Shade - 1'!$F$9,'Shade - 1'!$D$7,Vertex!BL3,Vertex!BL68,Vertex!BL133,Normal!BL3,Normal!BL68,Normal!BL133)*255)</f>
        <v>75</v>
      </c>
    </row>
    <row r="4" spans="1:64" x14ac:dyDescent="0.25">
      <c r="A4">
        <f>INT(shadex('Shade - 1'!$D$9,'Shade - 1'!$E$9,'Shade - 1'!$F$9,'Shade - 1'!$D$7,Vertex!A4,Vertex!A69,Vertex!A134,Normal!A4,Normal!A69,Normal!A134)*255)</f>
        <v>88</v>
      </c>
      <c r="B4">
        <f>INT(shadex('Shade - 1'!$D$9,'Shade - 1'!$E$9,'Shade - 1'!$F$9,'Shade - 1'!$D$7,Vertex!B4,Vertex!B69,Vertex!B134,Normal!B4,Normal!B69,Normal!B134)*255)</f>
        <v>92</v>
      </c>
      <c r="C4">
        <f>INT(shadex('Shade - 1'!$D$9,'Shade - 1'!$E$9,'Shade - 1'!$F$9,'Shade - 1'!$D$7,Vertex!C4,Vertex!C69,Vertex!C134,Normal!C4,Normal!C69,Normal!C134)*255)</f>
        <v>94</v>
      </c>
      <c r="D4">
        <f>INT(shadex('Shade - 1'!$D$9,'Shade - 1'!$E$9,'Shade - 1'!$F$9,'Shade - 1'!$D$7,Vertex!D4,Vertex!D69,Vertex!D134,Normal!D4,Normal!D69,Normal!D134)*255)</f>
        <v>93</v>
      </c>
      <c r="E4">
        <f>INT(shadex('Shade - 1'!$D$9,'Shade - 1'!$E$9,'Shade - 1'!$F$9,'Shade - 1'!$D$7,Vertex!E4,Vertex!E69,Vertex!E134,Normal!E4,Normal!E69,Normal!E134)*255)</f>
        <v>93</v>
      </c>
      <c r="F4">
        <f>INT(shadex('Shade - 1'!$D$9,'Shade - 1'!$E$9,'Shade - 1'!$F$9,'Shade - 1'!$D$7,Vertex!F4,Vertex!F69,Vertex!F134,Normal!F4,Normal!F69,Normal!F134)*255)</f>
        <v>91</v>
      </c>
      <c r="G4">
        <f>INT(shadex('Shade - 1'!$D$9,'Shade - 1'!$E$9,'Shade - 1'!$F$9,'Shade - 1'!$D$7,Vertex!G4,Vertex!G69,Vertex!G134,Normal!G4,Normal!G69,Normal!G134)*255)</f>
        <v>92</v>
      </c>
      <c r="H4">
        <f>INT(shadex('Shade - 1'!$D$9,'Shade - 1'!$E$9,'Shade - 1'!$F$9,'Shade - 1'!$D$7,Vertex!H4,Vertex!H69,Vertex!H134,Normal!H4,Normal!H69,Normal!H134)*255)</f>
        <v>91</v>
      </c>
      <c r="I4">
        <f>INT(shadex('Shade - 1'!$D$9,'Shade - 1'!$E$9,'Shade - 1'!$F$9,'Shade - 1'!$D$7,Vertex!I4,Vertex!I69,Vertex!I134,Normal!I4,Normal!I69,Normal!I134)*255)</f>
        <v>86</v>
      </c>
      <c r="J4">
        <f>INT(shadex('Shade - 1'!$D$9,'Shade - 1'!$E$9,'Shade - 1'!$F$9,'Shade - 1'!$D$7,Vertex!J4,Vertex!J69,Vertex!J134,Normal!J4,Normal!J69,Normal!J134)*255)</f>
        <v>85</v>
      </c>
      <c r="K4">
        <f>INT(shadex('Shade - 1'!$D$9,'Shade - 1'!$E$9,'Shade - 1'!$F$9,'Shade - 1'!$D$7,Vertex!K4,Vertex!K69,Vertex!K134,Normal!K4,Normal!K69,Normal!K134)*255)</f>
        <v>85</v>
      </c>
      <c r="L4">
        <f>INT(shadex('Shade - 1'!$D$9,'Shade - 1'!$E$9,'Shade - 1'!$F$9,'Shade - 1'!$D$7,Vertex!L4,Vertex!L69,Vertex!L134,Normal!L4,Normal!L69,Normal!L134)*255)</f>
        <v>86</v>
      </c>
      <c r="M4">
        <f>INT(shadex('Shade - 1'!$D$9,'Shade - 1'!$E$9,'Shade - 1'!$F$9,'Shade - 1'!$D$7,Vertex!M4,Vertex!M69,Vertex!M134,Normal!M4,Normal!M69,Normal!M134)*255)</f>
        <v>92</v>
      </c>
      <c r="N4">
        <f>INT(shadex('Shade - 1'!$D$9,'Shade - 1'!$E$9,'Shade - 1'!$F$9,'Shade - 1'!$D$7,Vertex!N4,Vertex!N69,Vertex!N134,Normal!N4,Normal!N69,Normal!N134)*255)</f>
        <v>97</v>
      </c>
      <c r="O4">
        <f>INT(shadex('Shade - 1'!$D$9,'Shade - 1'!$E$9,'Shade - 1'!$F$9,'Shade - 1'!$D$7,Vertex!O4,Vertex!O69,Vertex!O134,Normal!O4,Normal!O69,Normal!O134)*255)</f>
        <v>99</v>
      </c>
      <c r="P4">
        <f>INT(shadex('Shade - 1'!$D$9,'Shade - 1'!$E$9,'Shade - 1'!$F$9,'Shade - 1'!$D$7,Vertex!P4,Vertex!P69,Vertex!P134,Normal!P4,Normal!P69,Normal!P134)*255)</f>
        <v>98</v>
      </c>
      <c r="Q4">
        <f>INT(shadex('Shade - 1'!$D$9,'Shade - 1'!$E$9,'Shade - 1'!$F$9,'Shade - 1'!$D$7,Vertex!Q4,Vertex!Q69,Vertex!Q134,Normal!Q4,Normal!Q69,Normal!Q134)*255)</f>
        <v>97</v>
      </c>
      <c r="R4">
        <f>INT(shadex('Shade - 1'!$D$9,'Shade - 1'!$E$9,'Shade - 1'!$F$9,'Shade - 1'!$D$7,Vertex!R4,Vertex!R69,Vertex!R134,Normal!R4,Normal!R69,Normal!R134)*255)</f>
        <v>95</v>
      </c>
      <c r="S4">
        <f>INT(shadex('Shade - 1'!$D$9,'Shade - 1'!$E$9,'Shade - 1'!$F$9,'Shade - 1'!$D$7,Vertex!S4,Vertex!S69,Vertex!S134,Normal!S4,Normal!S69,Normal!S134)*255)</f>
        <v>95</v>
      </c>
      <c r="T4">
        <f>INT(shadex('Shade - 1'!$D$9,'Shade - 1'!$E$9,'Shade - 1'!$F$9,'Shade - 1'!$D$7,Vertex!T4,Vertex!T69,Vertex!T134,Normal!T4,Normal!T69,Normal!T134)*255)</f>
        <v>98</v>
      </c>
      <c r="U4">
        <f>INT(shadex('Shade - 1'!$D$9,'Shade - 1'!$E$9,'Shade - 1'!$F$9,'Shade - 1'!$D$7,Vertex!U4,Vertex!U69,Vertex!U134,Normal!U4,Normal!U69,Normal!U134)*255)</f>
        <v>100</v>
      </c>
      <c r="V4">
        <f>INT(shadex('Shade - 1'!$D$9,'Shade - 1'!$E$9,'Shade - 1'!$F$9,'Shade - 1'!$D$7,Vertex!V4,Vertex!V69,Vertex!V134,Normal!V4,Normal!V69,Normal!V134)*255)</f>
        <v>100</v>
      </c>
      <c r="W4">
        <f>INT(shadex('Shade - 1'!$D$9,'Shade - 1'!$E$9,'Shade - 1'!$F$9,'Shade - 1'!$D$7,Vertex!W4,Vertex!W69,Vertex!W134,Normal!W4,Normal!W69,Normal!W134)*255)</f>
        <v>98</v>
      </c>
      <c r="X4">
        <f>INT(shadex('Shade - 1'!$D$9,'Shade - 1'!$E$9,'Shade - 1'!$F$9,'Shade - 1'!$D$7,Vertex!X4,Vertex!X69,Vertex!X134,Normal!X4,Normal!X69,Normal!X134)*255)</f>
        <v>99</v>
      </c>
      <c r="Y4">
        <f>INT(shadex('Shade - 1'!$D$9,'Shade - 1'!$E$9,'Shade - 1'!$F$9,'Shade - 1'!$D$7,Vertex!Y4,Vertex!Y69,Vertex!Y134,Normal!Y4,Normal!Y69,Normal!Y134)*255)</f>
        <v>90</v>
      </c>
      <c r="Z4">
        <f>INT(shadex('Shade - 1'!$D$9,'Shade - 1'!$E$9,'Shade - 1'!$F$9,'Shade - 1'!$D$7,Vertex!Z4,Vertex!Z69,Vertex!Z134,Normal!Z4,Normal!Z69,Normal!Z134)*255)</f>
        <v>96</v>
      </c>
      <c r="AA4">
        <f>INT(shadex('Shade - 1'!$D$9,'Shade - 1'!$E$9,'Shade - 1'!$F$9,'Shade - 1'!$D$7,Vertex!AA4,Vertex!AA69,Vertex!AA134,Normal!AA4,Normal!AA69,Normal!AA134)*255)</f>
        <v>95</v>
      </c>
      <c r="AB4">
        <f>INT(shadex('Shade - 1'!$D$9,'Shade - 1'!$E$9,'Shade - 1'!$F$9,'Shade - 1'!$D$7,Vertex!AB4,Vertex!AB69,Vertex!AB134,Normal!AB4,Normal!AB69,Normal!AB134)*255)</f>
        <v>88</v>
      </c>
      <c r="AC4">
        <f>INT(shadex('Shade - 1'!$D$9,'Shade - 1'!$E$9,'Shade - 1'!$F$9,'Shade - 1'!$D$7,Vertex!AC4,Vertex!AC69,Vertex!AC134,Normal!AC4,Normal!AC69,Normal!AC134)*255)</f>
        <v>61</v>
      </c>
      <c r="AD4">
        <f>INT(shadex('Shade - 1'!$D$9,'Shade - 1'!$E$9,'Shade - 1'!$F$9,'Shade - 1'!$D$7,Vertex!AD4,Vertex!AD69,Vertex!AD134,Normal!AD4,Normal!AD69,Normal!AD134)*255)</f>
        <v>55</v>
      </c>
      <c r="AE4">
        <f>INT(shadex('Shade - 1'!$D$9,'Shade - 1'!$E$9,'Shade - 1'!$F$9,'Shade - 1'!$D$7,Vertex!AE4,Vertex!AE69,Vertex!AE134,Normal!AE4,Normal!AE69,Normal!AE134)*255)</f>
        <v>83</v>
      </c>
      <c r="AF4">
        <f>INT(shadex('Shade - 1'!$D$9,'Shade - 1'!$E$9,'Shade - 1'!$F$9,'Shade - 1'!$D$7,Vertex!AF4,Vertex!AF69,Vertex!AF134,Normal!AF4,Normal!AF69,Normal!AF134)*255)</f>
        <v>88</v>
      </c>
      <c r="AG4">
        <f>INT(shadex('Shade - 1'!$D$9,'Shade - 1'!$E$9,'Shade - 1'!$F$9,'Shade - 1'!$D$7,Vertex!AG4,Vertex!AG69,Vertex!AG134,Normal!AG4,Normal!AG69,Normal!AG134)*255)</f>
        <v>77</v>
      </c>
      <c r="AH4">
        <f>INT(shadex('Shade - 1'!$D$9,'Shade - 1'!$E$9,'Shade - 1'!$F$9,'Shade - 1'!$D$7,Vertex!AH4,Vertex!AH69,Vertex!AH134,Normal!AH4,Normal!AH69,Normal!AH134)*255)</f>
        <v>69</v>
      </c>
      <c r="AI4" s="4">
        <f>INT(shadex('Shade - 1'!$D$9,'Shade - 1'!$E$9,'Shade - 1'!$F$9,'Shade - 1'!$D$7,Vertex!AI4,Vertex!AI69,Vertex!AI134,Normal!AI4,Normal!AI69,Normal!AI134)*255)</f>
        <v>67</v>
      </c>
      <c r="AJ4" s="4">
        <f>INT(shadex('Shade - 1'!$D$9,'Shade - 1'!$E$9,'Shade - 1'!$F$9,'Shade - 1'!$D$7,Vertex!AJ4,Vertex!AJ69,Vertex!AJ134,Normal!AJ4,Normal!AJ69,Normal!AJ134)*255)</f>
        <v>71</v>
      </c>
      <c r="AK4" s="4">
        <f>INT(shadex('Shade - 1'!$D$9,'Shade - 1'!$E$9,'Shade - 1'!$F$9,'Shade - 1'!$D$7,Vertex!AK4,Vertex!AK69,Vertex!AK134,Normal!AK4,Normal!AK69,Normal!AK134)*255)</f>
        <v>84</v>
      </c>
      <c r="AL4" s="4">
        <f>INT(shadex('Shade - 1'!$D$9,'Shade - 1'!$E$9,'Shade - 1'!$F$9,'Shade - 1'!$D$7,Vertex!AL4,Vertex!AL69,Vertex!AL134,Normal!AL4,Normal!AL69,Normal!AL134)*255)</f>
        <v>98</v>
      </c>
      <c r="AM4" s="4">
        <f>INT(shadex('Shade - 1'!$D$9,'Shade - 1'!$E$9,'Shade - 1'!$F$9,'Shade - 1'!$D$7,Vertex!AM4,Vertex!AM69,Vertex!AM134,Normal!AM4,Normal!AM69,Normal!AM134)*255)</f>
        <v>98</v>
      </c>
      <c r="AN4" s="4">
        <f>INT(shadex('Shade - 1'!$D$9,'Shade - 1'!$E$9,'Shade - 1'!$F$9,'Shade - 1'!$D$7,Vertex!AN4,Vertex!AN69,Vertex!AN134,Normal!AN4,Normal!AN69,Normal!AN134)*255)</f>
        <v>98</v>
      </c>
      <c r="AO4" s="4">
        <f>INT(shadex('Shade - 1'!$D$9,'Shade - 1'!$E$9,'Shade - 1'!$F$9,'Shade - 1'!$D$7,Vertex!AO4,Vertex!AO69,Vertex!AO134,Normal!AO4,Normal!AO69,Normal!AO134)*255)</f>
        <v>89</v>
      </c>
      <c r="AP4" s="4">
        <f>INT(shadex('Shade - 1'!$D$9,'Shade - 1'!$E$9,'Shade - 1'!$F$9,'Shade - 1'!$D$7,Vertex!AP4,Vertex!AP69,Vertex!AP134,Normal!AP4,Normal!AP69,Normal!AP134)*255)</f>
        <v>86</v>
      </c>
      <c r="AQ4" s="4">
        <f>INT(shadex('Shade - 1'!$D$9,'Shade - 1'!$E$9,'Shade - 1'!$F$9,'Shade - 1'!$D$7,Vertex!AQ4,Vertex!AQ69,Vertex!AQ134,Normal!AQ4,Normal!AQ69,Normal!AQ134)*255)</f>
        <v>91</v>
      </c>
      <c r="AR4" s="4">
        <f>INT(shadex('Shade - 1'!$D$9,'Shade - 1'!$E$9,'Shade - 1'!$F$9,'Shade - 1'!$D$7,Vertex!AR4,Vertex!AR69,Vertex!AR134,Normal!AR4,Normal!AR69,Normal!AR134)*255)</f>
        <v>98</v>
      </c>
      <c r="AS4" s="4">
        <f>INT(shadex('Shade - 1'!$D$9,'Shade - 1'!$E$9,'Shade - 1'!$F$9,'Shade - 1'!$D$7,Vertex!AS4,Vertex!AS69,Vertex!AS134,Normal!AS4,Normal!AS69,Normal!AS134)*255)</f>
        <v>98</v>
      </c>
      <c r="AT4" s="4">
        <f>INT(shadex('Shade - 1'!$D$9,'Shade - 1'!$E$9,'Shade - 1'!$F$9,'Shade - 1'!$D$7,Vertex!AT4,Vertex!AT69,Vertex!AT134,Normal!AT4,Normal!AT69,Normal!AT134)*255)</f>
        <v>94</v>
      </c>
      <c r="AU4" s="4">
        <f>INT(shadex('Shade - 1'!$D$9,'Shade - 1'!$E$9,'Shade - 1'!$F$9,'Shade - 1'!$D$7,Vertex!AU4,Vertex!AU69,Vertex!AU134,Normal!AU4,Normal!AU69,Normal!AU134)*255)</f>
        <v>94</v>
      </c>
      <c r="AV4" s="4">
        <f>INT(shadex('Shade - 1'!$D$9,'Shade - 1'!$E$9,'Shade - 1'!$F$9,'Shade - 1'!$D$7,Vertex!AV4,Vertex!AV69,Vertex!AV134,Normal!AV4,Normal!AV69,Normal!AV134)*255)</f>
        <v>95</v>
      </c>
      <c r="AW4" s="4">
        <f>INT(shadex('Shade - 1'!$D$9,'Shade - 1'!$E$9,'Shade - 1'!$F$9,'Shade - 1'!$D$7,Vertex!AW4,Vertex!AW69,Vertex!AW134,Normal!AW4,Normal!AW69,Normal!AW134)*255)</f>
        <v>99</v>
      </c>
      <c r="AX4" s="4">
        <f>INT(shadex('Shade - 1'!$D$9,'Shade - 1'!$E$9,'Shade - 1'!$F$9,'Shade - 1'!$D$7,Vertex!AX4,Vertex!AX69,Vertex!AX134,Normal!AX4,Normal!AX69,Normal!AX134)*255)</f>
        <v>97</v>
      </c>
      <c r="AY4" s="4">
        <f>INT(shadex('Shade - 1'!$D$9,'Shade - 1'!$E$9,'Shade - 1'!$F$9,'Shade - 1'!$D$7,Vertex!AY4,Vertex!AY69,Vertex!AY134,Normal!AY4,Normal!AY69,Normal!AY134)*255)</f>
        <v>83</v>
      </c>
      <c r="AZ4" s="4">
        <f>INT(shadex('Shade - 1'!$D$9,'Shade - 1'!$E$9,'Shade - 1'!$F$9,'Shade - 1'!$D$7,Vertex!AZ4,Vertex!AZ69,Vertex!AZ134,Normal!AZ4,Normal!AZ69,Normal!AZ134)*255)</f>
        <v>73</v>
      </c>
      <c r="BA4" s="4">
        <f>INT(shadex('Shade - 1'!$D$9,'Shade - 1'!$E$9,'Shade - 1'!$F$9,'Shade - 1'!$D$7,Vertex!BA4,Vertex!BA69,Vertex!BA134,Normal!BA4,Normal!BA69,Normal!BA134)*255)</f>
        <v>57</v>
      </c>
      <c r="BB4" s="4">
        <f>INT(shadex('Shade - 1'!$D$9,'Shade - 1'!$E$9,'Shade - 1'!$F$9,'Shade - 1'!$D$7,Vertex!BB4,Vertex!BB69,Vertex!BB134,Normal!BB4,Normal!BB69,Normal!BB134)*255)</f>
        <v>31</v>
      </c>
      <c r="BC4" s="4">
        <f>INT(shadex('Shade - 1'!$D$9,'Shade - 1'!$E$9,'Shade - 1'!$F$9,'Shade - 1'!$D$7,Vertex!BC4,Vertex!BC69,Vertex!BC134,Normal!BC4,Normal!BC69,Normal!BC134)*255)</f>
        <v>55</v>
      </c>
      <c r="BD4" s="4">
        <f>INT(shadex('Shade - 1'!$D$9,'Shade - 1'!$E$9,'Shade - 1'!$F$9,'Shade - 1'!$D$7,Vertex!BD4,Vertex!BD69,Vertex!BD134,Normal!BD4,Normal!BD69,Normal!BD134)*255)</f>
        <v>79</v>
      </c>
      <c r="BE4" s="4">
        <f>INT(shadex('Shade - 1'!$D$9,'Shade - 1'!$E$9,'Shade - 1'!$F$9,'Shade - 1'!$D$7,Vertex!BE4,Vertex!BE69,Vertex!BE134,Normal!BE4,Normal!BE69,Normal!BE134)*255)</f>
        <v>97</v>
      </c>
      <c r="BF4" s="4">
        <f>INT(shadex('Shade - 1'!$D$9,'Shade - 1'!$E$9,'Shade - 1'!$F$9,'Shade - 1'!$D$7,Vertex!BF4,Vertex!BF69,Vertex!BF134,Normal!BF4,Normal!BF69,Normal!BF134)*255)</f>
        <v>88</v>
      </c>
      <c r="BG4" s="4">
        <f>INT(shadex('Shade - 1'!$D$9,'Shade - 1'!$E$9,'Shade - 1'!$F$9,'Shade - 1'!$D$7,Vertex!BG4,Vertex!BG69,Vertex!BG134,Normal!BG4,Normal!BG69,Normal!BG134)*255)</f>
        <v>58</v>
      </c>
      <c r="BH4" s="4">
        <f>INT(shadex('Shade - 1'!$D$9,'Shade - 1'!$E$9,'Shade - 1'!$F$9,'Shade - 1'!$D$7,Vertex!BH4,Vertex!BH69,Vertex!BH134,Normal!BH4,Normal!BH69,Normal!BH134)*255)</f>
        <v>67</v>
      </c>
      <c r="BI4" s="4">
        <f>INT(shadex('Shade - 1'!$D$9,'Shade - 1'!$E$9,'Shade - 1'!$F$9,'Shade - 1'!$D$7,Vertex!BI4,Vertex!BI69,Vertex!BI134,Normal!BI4,Normal!BI69,Normal!BI134)*255)</f>
        <v>79</v>
      </c>
      <c r="BJ4" s="4">
        <f>INT(shadex('Shade - 1'!$D$9,'Shade - 1'!$E$9,'Shade - 1'!$F$9,'Shade - 1'!$D$7,Vertex!BJ4,Vertex!BJ69,Vertex!BJ134,Normal!BJ4,Normal!BJ69,Normal!BJ134)*255)</f>
        <v>78</v>
      </c>
      <c r="BK4" s="4">
        <f>INT(shadex('Shade - 1'!$D$9,'Shade - 1'!$E$9,'Shade - 1'!$F$9,'Shade - 1'!$D$7,Vertex!BK4,Vertex!BK69,Vertex!BK134,Normal!BK4,Normal!BK69,Normal!BK134)*255)</f>
        <v>71</v>
      </c>
      <c r="BL4" s="4">
        <f>INT(shadex('Shade - 1'!$D$9,'Shade - 1'!$E$9,'Shade - 1'!$F$9,'Shade - 1'!$D$7,Vertex!BL4,Vertex!BL69,Vertex!BL134,Normal!BL4,Normal!BL69,Normal!BL134)*255)</f>
        <v>73</v>
      </c>
    </row>
    <row r="5" spans="1:64" x14ac:dyDescent="0.25">
      <c r="A5">
        <f>INT(shadex('Shade - 1'!$D$9,'Shade - 1'!$E$9,'Shade - 1'!$F$9,'Shade - 1'!$D$7,Vertex!A5,Vertex!A70,Vertex!A135,Normal!A5,Normal!A70,Normal!A135)*255)</f>
        <v>79</v>
      </c>
      <c r="B5">
        <f>INT(shadex('Shade - 1'!$D$9,'Shade - 1'!$E$9,'Shade - 1'!$F$9,'Shade - 1'!$D$7,Vertex!B5,Vertex!B70,Vertex!B135,Normal!B5,Normal!B70,Normal!B135)*255)</f>
        <v>78</v>
      </c>
      <c r="C5">
        <f>INT(shadex('Shade - 1'!$D$9,'Shade - 1'!$E$9,'Shade - 1'!$F$9,'Shade - 1'!$D$7,Vertex!C5,Vertex!C70,Vertex!C135,Normal!C5,Normal!C70,Normal!C135)*255)</f>
        <v>75</v>
      </c>
      <c r="D5">
        <f>INT(shadex('Shade - 1'!$D$9,'Shade - 1'!$E$9,'Shade - 1'!$F$9,'Shade - 1'!$D$7,Vertex!D5,Vertex!D70,Vertex!D135,Normal!D5,Normal!D70,Normal!D135)*255)</f>
        <v>78</v>
      </c>
      <c r="E5">
        <f>INT(shadex('Shade - 1'!$D$9,'Shade - 1'!$E$9,'Shade - 1'!$F$9,'Shade - 1'!$D$7,Vertex!E5,Vertex!E70,Vertex!E135,Normal!E5,Normal!E70,Normal!E135)*255)</f>
        <v>86</v>
      </c>
      <c r="F5">
        <f>INT(shadex('Shade - 1'!$D$9,'Shade - 1'!$E$9,'Shade - 1'!$F$9,'Shade - 1'!$D$7,Vertex!F5,Vertex!F70,Vertex!F135,Normal!F5,Normal!F70,Normal!F135)*255)</f>
        <v>88</v>
      </c>
      <c r="G5">
        <f>INT(shadex('Shade - 1'!$D$9,'Shade - 1'!$E$9,'Shade - 1'!$F$9,'Shade - 1'!$D$7,Vertex!G5,Vertex!G70,Vertex!G135,Normal!G5,Normal!G70,Normal!G135)*255)</f>
        <v>91</v>
      </c>
      <c r="H5">
        <f>INT(shadex('Shade - 1'!$D$9,'Shade - 1'!$E$9,'Shade - 1'!$F$9,'Shade - 1'!$D$7,Vertex!H5,Vertex!H70,Vertex!H135,Normal!H5,Normal!H70,Normal!H135)*255)</f>
        <v>93</v>
      </c>
      <c r="I5">
        <f>INT(shadex('Shade - 1'!$D$9,'Shade - 1'!$E$9,'Shade - 1'!$F$9,'Shade - 1'!$D$7,Vertex!I5,Vertex!I70,Vertex!I135,Normal!I5,Normal!I70,Normal!I135)*255)</f>
        <v>88</v>
      </c>
      <c r="J5">
        <f>INT(shadex('Shade - 1'!$D$9,'Shade - 1'!$E$9,'Shade - 1'!$F$9,'Shade - 1'!$D$7,Vertex!J5,Vertex!J70,Vertex!J135,Normal!J5,Normal!J70,Normal!J135)*255)</f>
        <v>88</v>
      </c>
      <c r="K5">
        <f>INT(shadex('Shade - 1'!$D$9,'Shade - 1'!$E$9,'Shade - 1'!$F$9,'Shade - 1'!$D$7,Vertex!K5,Vertex!K70,Vertex!K135,Normal!K5,Normal!K70,Normal!K135)*255)</f>
        <v>91</v>
      </c>
      <c r="L5">
        <f>INT(shadex('Shade - 1'!$D$9,'Shade - 1'!$E$9,'Shade - 1'!$F$9,'Shade - 1'!$D$7,Vertex!L5,Vertex!L70,Vertex!L135,Normal!L5,Normal!L70,Normal!L135)*255)</f>
        <v>91</v>
      </c>
      <c r="M5">
        <f>INT(shadex('Shade - 1'!$D$9,'Shade - 1'!$E$9,'Shade - 1'!$F$9,'Shade - 1'!$D$7,Vertex!M5,Vertex!M70,Vertex!M135,Normal!M5,Normal!M70,Normal!M135)*255)</f>
        <v>96</v>
      </c>
      <c r="N5">
        <f>INT(shadex('Shade - 1'!$D$9,'Shade - 1'!$E$9,'Shade - 1'!$F$9,'Shade - 1'!$D$7,Vertex!N5,Vertex!N70,Vertex!N135,Normal!N5,Normal!N70,Normal!N135)*255)</f>
        <v>98</v>
      </c>
      <c r="O5">
        <f>INT(shadex('Shade - 1'!$D$9,'Shade - 1'!$E$9,'Shade - 1'!$F$9,'Shade - 1'!$D$7,Vertex!O5,Vertex!O70,Vertex!O135,Normal!O5,Normal!O70,Normal!O135)*255)</f>
        <v>96</v>
      </c>
      <c r="P5">
        <f>INT(shadex('Shade - 1'!$D$9,'Shade - 1'!$E$9,'Shade - 1'!$F$9,'Shade - 1'!$D$7,Vertex!P5,Vertex!P70,Vertex!P135,Normal!P5,Normal!P70,Normal!P135)*255)</f>
        <v>96</v>
      </c>
      <c r="Q5">
        <f>INT(shadex('Shade - 1'!$D$9,'Shade - 1'!$E$9,'Shade - 1'!$F$9,'Shade - 1'!$D$7,Vertex!Q5,Vertex!Q70,Vertex!Q135,Normal!Q5,Normal!Q70,Normal!Q135)*255)</f>
        <v>97</v>
      </c>
      <c r="R5">
        <f>INT(shadex('Shade - 1'!$D$9,'Shade - 1'!$E$9,'Shade - 1'!$F$9,'Shade - 1'!$D$7,Vertex!R5,Vertex!R70,Vertex!R135,Normal!R5,Normal!R70,Normal!R135)*255)</f>
        <v>95</v>
      </c>
      <c r="S5">
        <f>INT(shadex('Shade - 1'!$D$9,'Shade - 1'!$E$9,'Shade - 1'!$F$9,'Shade - 1'!$D$7,Vertex!S5,Vertex!S70,Vertex!S135,Normal!S5,Normal!S70,Normal!S135)*255)</f>
        <v>94</v>
      </c>
      <c r="T5">
        <f>INT(shadex('Shade - 1'!$D$9,'Shade - 1'!$E$9,'Shade - 1'!$F$9,'Shade - 1'!$D$7,Vertex!T5,Vertex!T70,Vertex!T135,Normal!T5,Normal!T70,Normal!T135)*255)</f>
        <v>95</v>
      </c>
      <c r="U5">
        <f>INT(shadex('Shade - 1'!$D$9,'Shade - 1'!$E$9,'Shade - 1'!$F$9,'Shade - 1'!$D$7,Vertex!U5,Vertex!U70,Vertex!U135,Normal!U5,Normal!U70,Normal!U135)*255)</f>
        <v>98</v>
      </c>
      <c r="V5">
        <f>INT(shadex('Shade - 1'!$D$9,'Shade - 1'!$E$9,'Shade - 1'!$F$9,'Shade - 1'!$D$7,Vertex!V5,Vertex!V70,Vertex!V135,Normal!V5,Normal!V70,Normal!V135)*255)</f>
        <v>100</v>
      </c>
      <c r="W5">
        <f>INT(shadex('Shade - 1'!$D$9,'Shade - 1'!$E$9,'Shade - 1'!$F$9,'Shade - 1'!$D$7,Vertex!W5,Vertex!W70,Vertex!W135,Normal!W5,Normal!W70,Normal!W135)*255)</f>
        <v>99</v>
      </c>
      <c r="X5">
        <f>INT(shadex('Shade - 1'!$D$9,'Shade - 1'!$E$9,'Shade - 1'!$F$9,'Shade - 1'!$D$7,Vertex!X5,Vertex!X70,Vertex!X135,Normal!X5,Normal!X70,Normal!X135)*255)</f>
        <v>96</v>
      </c>
      <c r="Y5">
        <f>INT(shadex('Shade - 1'!$D$9,'Shade - 1'!$E$9,'Shade - 1'!$F$9,'Shade - 1'!$D$7,Vertex!Y5,Vertex!Y70,Vertex!Y135,Normal!Y5,Normal!Y70,Normal!Y135)*255)</f>
        <v>86</v>
      </c>
      <c r="Z5">
        <f>INT(shadex('Shade - 1'!$D$9,'Shade - 1'!$E$9,'Shade - 1'!$F$9,'Shade - 1'!$D$7,Vertex!Z5,Vertex!Z70,Vertex!Z135,Normal!Z5,Normal!Z70,Normal!Z135)*255)</f>
        <v>97</v>
      </c>
      <c r="AA5">
        <f>INT(shadex('Shade - 1'!$D$9,'Shade - 1'!$E$9,'Shade - 1'!$F$9,'Shade - 1'!$D$7,Vertex!AA5,Vertex!AA70,Vertex!AA135,Normal!AA5,Normal!AA70,Normal!AA135)*255)</f>
        <v>94</v>
      </c>
      <c r="AB5">
        <f>INT(shadex('Shade - 1'!$D$9,'Shade - 1'!$E$9,'Shade - 1'!$F$9,'Shade - 1'!$D$7,Vertex!AB5,Vertex!AB70,Vertex!AB135,Normal!AB5,Normal!AB70,Normal!AB135)*255)</f>
        <v>78</v>
      </c>
      <c r="AC5">
        <f>INT(shadex('Shade - 1'!$D$9,'Shade - 1'!$E$9,'Shade - 1'!$F$9,'Shade - 1'!$D$7,Vertex!AC5,Vertex!AC70,Vertex!AC135,Normal!AC5,Normal!AC70,Normal!AC135)*255)</f>
        <v>63</v>
      </c>
      <c r="AD5">
        <f>INT(shadex('Shade - 1'!$D$9,'Shade - 1'!$E$9,'Shade - 1'!$F$9,'Shade - 1'!$D$7,Vertex!AD5,Vertex!AD70,Vertex!AD135,Normal!AD5,Normal!AD70,Normal!AD135)*255)</f>
        <v>48</v>
      </c>
      <c r="AE5">
        <f>INT(shadex('Shade - 1'!$D$9,'Shade - 1'!$E$9,'Shade - 1'!$F$9,'Shade - 1'!$D$7,Vertex!AE5,Vertex!AE70,Vertex!AE135,Normal!AE5,Normal!AE70,Normal!AE135)*255)</f>
        <v>80</v>
      </c>
      <c r="AF5">
        <f>INT(shadex('Shade - 1'!$D$9,'Shade - 1'!$E$9,'Shade - 1'!$F$9,'Shade - 1'!$D$7,Vertex!AF5,Vertex!AF70,Vertex!AF135,Normal!AF5,Normal!AF70,Normal!AF135)*255)</f>
        <v>91</v>
      </c>
      <c r="AG5">
        <f>INT(shadex('Shade - 1'!$D$9,'Shade - 1'!$E$9,'Shade - 1'!$F$9,'Shade - 1'!$D$7,Vertex!AG5,Vertex!AG70,Vertex!AG135,Normal!AG5,Normal!AG70,Normal!AG135)*255)</f>
        <v>75</v>
      </c>
      <c r="AH5">
        <f>INT(shadex('Shade - 1'!$D$9,'Shade - 1'!$E$9,'Shade - 1'!$F$9,'Shade - 1'!$D$7,Vertex!AH5,Vertex!AH70,Vertex!AH135,Normal!AH5,Normal!AH70,Normal!AH135)*255)</f>
        <v>68</v>
      </c>
      <c r="AI5" s="4">
        <f>INT(shadex('Shade - 1'!$D$9,'Shade - 1'!$E$9,'Shade - 1'!$F$9,'Shade - 1'!$D$7,Vertex!AI5,Vertex!AI70,Vertex!AI135,Normal!AI5,Normal!AI70,Normal!AI135)*255)</f>
        <v>66</v>
      </c>
      <c r="AJ5" s="4">
        <f>INT(shadex('Shade - 1'!$D$9,'Shade - 1'!$E$9,'Shade - 1'!$F$9,'Shade - 1'!$D$7,Vertex!AJ5,Vertex!AJ70,Vertex!AJ135,Normal!AJ5,Normal!AJ70,Normal!AJ135)*255)</f>
        <v>70</v>
      </c>
      <c r="AK5" s="4">
        <f>INT(shadex('Shade - 1'!$D$9,'Shade - 1'!$E$9,'Shade - 1'!$F$9,'Shade - 1'!$D$7,Vertex!AK5,Vertex!AK70,Vertex!AK135,Normal!AK5,Normal!AK70,Normal!AK135)*255)</f>
        <v>96</v>
      </c>
      <c r="AL5" s="4">
        <f>INT(shadex('Shade - 1'!$D$9,'Shade - 1'!$E$9,'Shade - 1'!$F$9,'Shade - 1'!$D$7,Vertex!AL5,Vertex!AL70,Vertex!AL135,Normal!AL5,Normal!AL70,Normal!AL135)*255)</f>
        <v>99</v>
      </c>
      <c r="AM5" s="4">
        <f>INT(shadex('Shade - 1'!$D$9,'Shade - 1'!$E$9,'Shade - 1'!$F$9,'Shade - 1'!$D$7,Vertex!AM5,Vertex!AM70,Vertex!AM135,Normal!AM5,Normal!AM70,Normal!AM135)*255)</f>
        <v>99</v>
      </c>
      <c r="AN5" s="4">
        <f>INT(shadex('Shade - 1'!$D$9,'Shade - 1'!$E$9,'Shade - 1'!$F$9,'Shade - 1'!$D$7,Vertex!AN5,Vertex!AN70,Vertex!AN135,Normal!AN5,Normal!AN70,Normal!AN135)*255)</f>
        <v>96</v>
      </c>
      <c r="AO5" s="4">
        <f>INT(shadex('Shade - 1'!$D$9,'Shade - 1'!$E$9,'Shade - 1'!$F$9,'Shade - 1'!$D$7,Vertex!AO5,Vertex!AO70,Vertex!AO135,Normal!AO5,Normal!AO70,Normal!AO135)*255)</f>
        <v>91</v>
      </c>
      <c r="AP5" s="4">
        <f>INT(shadex('Shade - 1'!$D$9,'Shade - 1'!$E$9,'Shade - 1'!$F$9,'Shade - 1'!$D$7,Vertex!AP5,Vertex!AP70,Vertex!AP135,Normal!AP5,Normal!AP70,Normal!AP135)*255)</f>
        <v>89</v>
      </c>
      <c r="AQ5" s="4">
        <f>INT(shadex('Shade - 1'!$D$9,'Shade - 1'!$E$9,'Shade - 1'!$F$9,'Shade - 1'!$D$7,Vertex!AQ5,Vertex!AQ70,Vertex!AQ135,Normal!AQ5,Normal!AQ70,Normal!AQ135)*255)</f>
        <v>86</v>
      </c>
      <c r="AR5" s="4">
        <f>INT(shadex('Shade - 1'!$D$9,'Shade - 1'!$E$9,'Shade - 1'!$F$9,'Shade - 1'!$D$7,Vertex!AR5,Vertex!AR70,Vertex!AR135,Normal!AR5,Normal!AR70,Normal!AR135)*255)</f>
        <v>96</v>
      </c>
      <c r="AS5" s="4">
        <f>INT(shadex('Shade - 1'!$D$9,'Shade - 1'!$E$9,'Shade - 1'!$F$9,'Shade - 1'!$D$7,Vertex!AS5,Vertex!AS70,Vertex!AS135,Normal!AS5,Normal!AS70,Normal!AS135)*255)</f>
        <v>96</v>
      </c>
      <c r="AT5" s="4">
        <f>INT(shadex('Shade - 1'!$D$9,'Shade - 1'!$E$9,'Shade - 1'!$F$9,'Shade - 1'!$D$7,Vertex!AT5,Vertex!AT70,Vertex!AT135,Normal!AT5,Normal!AT70,Normal!AT135)*255)</f>
        <v>89</v>
      </c>
      <c r="AU5" s="4">
        <f>INT(shadex('Shade - 1'!$D$9,'Shade - 1'!$E$9,'Shade - 1'!$F$9,'Shade - 1'!$D$7,Vertex!AU5,Vertex!AU70,Vertex!AU135,Normal!AU5,Normal!AU70,Normal!AU135)*255)</f>
        <v>93</v>
      </c>
      <c r="AV5" s="4">
        <f>INT(shadex('Shade - 1'!$D$9,'Shade - 1'!$E$9,'Shade - 1'!$F$9,'Shade - 1'!$D$7,Vertex!AV5,Vertex!AV70,Vertex!AV135,Normal!AV5,Normal!AV70,Normal!AV135)*255)</f>
        <v>86</v>
      </c>
      <c r="AW5" s="4">
        <f>INT(shadex('Shade - 1'!$D$9,'Shade - 1'!$E$9,'Shade - 1'!$F$9,'Shade - 1'!$D$7,Vertex!AW5,Vertex!AW70,Vertex!AW135,Normal!AW5,Normal!AW70,Normal!AW135)*255)</f>
        <v>83</v>
      </c>
      <c r="AX5" s="4">
        <f>INT(shadex('Shade - 1'!$D$9,'Shade - 1'!$E$9,'Shade - 1'!$F$9,'Shade - 1'!$D$7,Vertex!AX5,Vertex!AX70,Vertex!AX135,Normal!AX5,Normal!AX70,Normal!AX135)*255)</f>
        <v>83</v>
      </c>
      <c r="AY5" s="4">
        <f>INT(shadex('Shade - 1'!$D$9,'Shade - 1'!$E$9,'Shade - 1'!$F$9,'Shade - 1'!$D$7,Vertex!AY5,Vertex!AY70,Vertex!AY135,Normal!AY5,Normal!AY70,Normal!AY135)*255)</f>
        <v>83</v>
      </c>
      <c r="AZ5" s="4">
        <f>INT(shadex('Shade - 1'!$D$9,'Shade - 1'!$E$9,'Shade - 1'!$F$9,'Shade - 1'!$D$7,Vertex!AZ5,Vertex!AZ70,Vertex!AZ135,Normal!AZ5,Normal!AZ70,Normal!AZ135)*255)</f>
        <v>87</v>
      </c>
      <c r="BA5" s="4">
        <f>INT(shadex('Shade - 1'!$D$9,'Shade - 1'!$E$9,'Shade - 1'!$F$9,'Shade - 1'!$D$7,Vertex!BA5,Vertex!BA70,Vertex!BA135,Normal!BA5,Normal!BA70,Normal!BA135)*255)</f>
        <v>70</v>
      </c>
      <c r="BB5" s="4">
        <f>INT(shadex('Shade - 1'!$D$9,'Shade - 1'!$E$9,'Shade - 1'!$F$9,'Shade - 1'!$D$7,Vertex!BB5,Vertex!BB70,Vertex!BB135,Normal!BB5,Normal!BB70,Normal!BB135)*255)</f>
        <v>0</v>
      </c>
      <c r="BC5" s="4">
        <f>INT(shadex('Shade - 1'!$D$9,'Shade - 1'!$E$9,'Shade - 1'!$F$9,'Shade - 1'!$D$7,Vertex!BC5,Vertex!BC70,Vertex!BC135,Normal!BC5,Normal!BC70,Normal!BC135)*255)</f>
        <v>36</v>
      </c>
      <c r="BD5" s="4">
        <f>INT(shadex('Shade - 1'!$D$9,'Shade - 1'!$E$9,'Shade - 1'!$F$9,'Shade - 1'!$D$7,Vertex!BD5,Vertex!BD70,Vertex!BD135,Normal!BD5,Normal!BD70,Normal!BD135)*255)</f>
        <v>82</v>
      </c>
      <c r="BE5" s="4">
        <f>INT(shadex('Shade - 1'!$D$9,'Shade - 1'!$E$9,'Shade - 1'!$F$9,'Shade - 1'!$D$7,Vertex!BE5,Vertex!BE70,Vertex!BE135,Normal!BE5,Normal!BE70,Normal!BE135)*255)</f>
        <v>93</v>
      </c>
      <c r="BF5" s="4">
        <f>INT(shadex('Shade - 1'!$D$9,'Shade - 1'!$E$9,'Shade - 1'!$F$9,'Shade - 1'!$D$7,Vertex!BF5,Vertex!BF70,Vertex!BF135,Normal!BF5,Normal!BF70,Normal!BF135)*255)</f>
        <v>91</v>
      </c>
      <c r="BG5" s="4">
        <f>INT(shadex('Shade - 1'!$D$9,'Shade - 1'!$E$9,'Shade - 1'!$F$9,'Shade - 1'!$D$7,Vertex!BG5,Vertex!BG70,Vertex!BG135,Normal!BG5,Normal!BG70,Normal!BG135)*255)</f>
        <v>70</v>
      </c>
      <c r="BH5" s="4">
        <f>INT(shadex('Shade - 1'!$D$9,'Shade - 1'!$E$9,'Shade - 1'!$F$9,'Shade - 1'!$D$7,Vertex!BH5,Vertex!BH70,Vertex!BH135,Normal!BH5,Normal!BH70,Normal!BH135)*255)</f>
        <v>61</v>
      </c>
      <c r="BI5" s="4">
        <f>INT(shadex('Shade - 1'!$D$9,'Shade - 1'!$E$9,'Shade - 1'!$F$9,'Shade - 1'!$D$7,Vertex!BI5,Vertex!BI70,Vertex!BI135,Normal!BI5,Normal!BI70,Normal!BI135)*255)</f>
        <v>73</v>
      </c>
      <c r="BJ5" s="4">
        <f>INT(shadex('Shade - 1'!$D$9,'Shade - 1'!$E$9,'Shade - 1'!$F$9,'Shade - 1'!$D$7,Vertex!BJ5,Vertex!BJ70,Vertex!BJ135,Normal!BJ5,Normal!BJ70,Normal!BJ135)*255)</f>
        <v>79</v>
      </c>
      <c r="BK5" s="4">
        <f>INT(shadex('Shade - 1'!$D$9,'Shade - 1'!$E$9,'Shade - 1'!$F$9,'Shade - 1'!$D$7,Vertex!BK5,Vertex!BK70,Vertex!BK135,Normal!BK5,Normal!BK70,Normal!BK135)*255)</f>
        <v>75</v>
      </c>
      <c r="BL5" s="4">
        <f>INT(shadex('Shade - 1'!$D$9,'Shade - 1'!$E$9,'Shade - 1'!$F$9,'Shade - 1'!$D$7,Vertex!BL5,Vertex!BL70,Vertex!BL135,Normal!BL5,Normal!BL70,Normal!BL135)*255)</f>
        <v>69</v>
      </c>
    </row>
    <row r="6" spans="1:64" x14ac:dyDescent="0.25">
      <c r="A6">
        <f>INT(shadex('Shade - 1'!$D$9,'Shade - 1'!$E$9,'Shade - 1'!$F$9,'Shade - 1'!$D$7,Vertex!A6,Vertex!A71,Vertex!A136,Normal!A6,Normal!A71,Normal!A136)*255)</f>
        <v>56</v>
      </c>
      <c r="B6">
        <f>INT(shadex('Shade - 1'!$D$9,'Shade - 1'!$E$9,'Shade - 1'!$F$9,'Shade - 1'!$D$7,Vertex!B6,Vertex!B71,Vertex!B136,Normal!B6,Normal!B71,Normal!B136)*255)</f>
        <v>61</v>
      </c>
      <c r="C6">
        <f>INT(shadex('Shade - 1'!$D$9,'Shade - 1'!$E$9,'Shade - 1'!$F$9,'Shade - 1'!$D$7,Vertex!C6,Vertex!C71,Vertex!C136,Normal!C6,Normal!C71,Normal!C136)*255)</f>
        <v>62</v>
      </c>
      <c r="D6">
        <f>INT(shadex('Shade - 1'!$D$9,'Shade - 1'!$E$9,'Shade - 1'!$F$9,'Shade - 1'!$D$7,Vertex!D6,Vertex!D71,Vertex!D136,Normal!D6,Normal!D71,Normal!D136)*255)</f>
        <v>66</v>
      </c>
      <c r="E6">
        <f>INT(shadex('Shade - 1'!$D$9,'Shade - 1'!$E$9,'Shade - 1'!$F$9,'Shade - 1'!$D$7,Vertex!E6,Vertex!E71,Vertex!E136,Normal!E6,Normal!E71,Normal!E136)*255)</f>
        <v>79</v>
      </c>
      <c r="F6">
        <f>INT(shadex('Shade - 1'!$D$9,'Shade - 1'!$E$9,'Shade - 1'!$F$9,'Shade - 1'!$D$7,Vertex!F6,Vertex!F71,Vertex!F136,Normal!F6,Normal!F71,Normal!F136)*255)</f>
        <v>85</v>
      </c>
      <c r="G6">
        <f>INT(shadex('Shade - 1'!$D$9,'Shade - 1'!$E$9,'Shade - 1'!$F$9,'Shade - 1'!$D$7,Vertex!G6,Vertex!G71,Vertex!G136,Normal!G6,Normal!G71,Normal!G136)*255)</f>
        <v>88</v>
      </c>
      <c r="H6">
        <f>INT(shadex('Shade - 1'!$D$9,'Shade - 1'!$E$9,'Shade - 1'!$F$9,'Shade - 1'!$D$7,Vertex!H6,Vertex!H71,Vertex!H136,Normal!H6,Normal!H71,Normal!H136)*255)</f>
        <v>91</v>
      </c>
      <c r="I6">
        <f>INT(shadex('Shade - 1'!$D$9,'Shade - 1'!$E$9,'Shade - 1'!$F$9,'Shade - 1'!$D$7,Vertex!I6,Vertex!I71,Vertex!I136,Normal!I6,Normal!I71,Normal!I136)*255)</f>
        <v>93</v>
      </c>
      <c r="J6">
        <f>INT(shadex('Shade - 1'!$D$9,'Shade - 1'!$E$9,'Shade - 1'!$F$9,'Shade - 1'!$D$7,Vertex!J6,Vertex!J71,Vertex!J136,Normal!J6,Normal!J71,Normal!J136)*255)</f>
        <v>90</v>
      </c>
      <c r="K6">
        <f>INT(shadex('Shade - 1'!$D$9,'Shade - 1'!$E$9,'Shade - 1'!$F$9,'Shade - 1'!$D$7,Vertex!K6,Vertex!K71,Vertex!K136,Normal!K6,Normal!K71,Normal!K136)*255)</f>
        <v>79</v>
      </c>
      <c r="L6">
        <f>INT(shadex('Shade - 1'!$D$9,'Shade - 1'!$E$9,'Shade - 1'!$F$9,'Shade - 1'!$D$7,Vertex!L6,Vertex!L71,Vertex!L136,Normal!L6,Normal!L71,Normal!L136)*255)</f>
        <v>88</v>
      </c>
      <c r="M6">
        <f>INT(shadex('Shade - 1'!$D$9,'Shade - 1'!$E$9,'Shade - 1'!$F$9,'Shade - 1'!$D$7,Vertex!M6,Vertex!M71,Vertex!M136,Normal!M6,Normal!M71,Normal!M136)*255)</f>
        <v>97</v>
      </c>
      <c r="N6">
        <f>INT(shadex('Shade - 1'!$D$9,'Shade - 1'!$E$9,'Shade - 1'!$F$9,'Shade - 1'!$D$7,Vertex!N6,Vertex!N71,Vertex!N136,Normal!N6,Normal!N71,Normal!N136)*255)</f>
        <v>98</v>
      </c>
      <c r="O6">
        <f>INT(shadex('Shade - 1'!$D$9,'Shade - 1'!$E$9,'Shade - 1'!$F$9,'Shade - 1'!$D$7,Vertex!O6,Vertex!O71,Vertex!O136,Normal!O6,Normal!O71,Normal!O136)*255)</f>
        <v>96</v>
      </c>
      <c r="P6">
        <f>INT(shadex('Shade - 1'!$D$9,'Shade - 1'!$E$9,'Shade - 1'!$F$9,'Shade - 1'!$D$7,Vertex!P6,Vertex!P71,Vertex!P136,Normal!P6,Normal!P71,Normal!P136)*255)</f>
        <v>90</v>
      </c>
      <c r="Q6">
        <f>INT(shadex('Shade - 1'!$D$9,'Shade - 1'!$E$9,'Shade - 1'!$F$9,'Shade - 1'!$D$7,Vertex!Q6,Vertex!Q71,Vertex!Q136,Normal!Q6,Normal!Q71,Normal!Q136)*255)</f>
        <v>96</v>
      </c>
      <c r="R6">
        <f>INT(shadex('Shade - 1'!$D$9,'Shade - 1'!$E$9,'Shade - 1'!$F$9,'Shade - 1'!$D$7,Vertex!R6,Vertex!R71,Vertex!R136,Normal!R6,Normal!R71,Normal!R136)*255)</f>
        <v>95</v>
      </c>
      <c r="S6">
        <f>INT(shadex('Shade - 1'!$D$9,'Shade - 1'!$E$9,'Shade - 1'!$F$9,'Shade - 1'!$D$7,Vertex!S6,Vertex!S71,Vertex!S136,Normal!S6,Normal!S71,Normal!S136)*255)</f>
        <v>96</v>
      </c>
      <c r="T6">
        <f>INT(shadex('Shade - 1'!$D$9,'Shade - 1'!$E$9,'Shade - 1'!$F$9,'Shade - 1'!$D$7,Vertex!T6,Vertex!T71,Vertex!T136,Normal!T6,Normal!T71,Normal!T136)*255)</f>
        <v>97</v>
      </c>
      <c r="U6">
        <f>INT(shadex('Shade - 1'!$D$9,'Shade - 1'!$E$9,'Shade - 1'!$F$9,'Shade - 1'!$D$7,Vertex!U6,Vertex!U71,Vertex!U136,Normal!U6,Normal!U71,Normal!U136)*255)</f>
        <v>97</v>
      </c>
      <c r="V6">
        <f>INT(shadex('Shade - 1'!$D$9,'Shade - 1'!$E$9,'Shade - 1'!$F$9,'Shade - 1'!$D$7,Vertex!V6,Vertex!V71,Vertex!V136,Normal!V6,Normal!V71,Normal!V136)*255)</f>
        <v>99</v>
      </c>
      <c r="W6">
        <f>INT(shadex('Shade - 1'!$D$9,'Shade - 1'!$E$9,'Shade - 1'!$F$9,'Shade - 1'!$D$7,Vertex!W6,Vertex!W71,Vertex!W136,Normal!W6,Normal!W71,Normal!W136)*255)</f>
        <v>92</v>
      </c>
      <c r="X6">
        <f>INT(shadex('Shade - 1'!$D$9,'Shade - 1'!$E$9,'Shade - 1'!$F$9,'Shade - 1'!$D$7,Vertex!X6,Vertex!X71,Vertex!X136,Normal!X6,Normal!X71,Normal!X136)*255)</f>
        <v>86</v>
      </c>
      <c r="Y6">
        <f>INT(shadex('Shade - 1'!$D$9,'Shade - 1'!$E$9,'Shade - 1'!$F$9,'Shade - 1'!$D$7,Vertex!Y6,Vertex!Y71,Vertex!Y136,Normal!Y6,Normal!Y71,Normal!Y136)*255)</f>
        <v>81</v>
      </c>
      <c r="Z6">
        <f>INT(shadex('Shade - 1'!$D$9,'Shade - 1'!$E$9,'Shade - 1'!$F$9,'Shade - 1'!$D$7,Vertex!Z6,Vertex!Z71,Vertex!Z136,Normal!Z6,Normal!Z71,Normal!Z136)*255)</f>
        <v>92</v>
      </c>
      <c r="AA6">
        <f>INT(shadex('Shade - 1'!$D$9,'Shade - 1'!$E$9,'Shade - 1'!$F$9,'Shade - 1'!$D$7,Vertex!AA6,Vertex!AA71,Vertex!AA136,Normal!AA6,Normal!AA71,Normal!AA136)*255)</f>
        <v>90</v>
      </c>
      <c r="AB6">
        <f>INT(shadex('Shade - 1'!$D$9,'Shade - 1'!$E$9,'Shade - 1'!$F$9,'Shade - 1'!$D$7,Vertex!AB6,Vertex!AB71,Vertex!AB136,Normal!AB6,Normal!AB71,Normal!AB136)*255)</f>
        <v>66</v>
      </c>
      <c r="AC6">
        <f>INT(shadex('Shade - 1'!$D$9,'Shade - 1'!$E$9,'Shade - 1'!$F$9,'Shade - 1'!$D$7,Vertex!AC6,Vertex!AC71,Vertex!AC136,Normal!AC6,Normal!AC71,Normal!AC136)*255)</f>
        <v>56</v>
      </c>
      <c r="AD6">
        <f>INT(shadex('Shade - 1'!$D$9,'Shade - 1'!$E$9,'Shade - 1'!$F$9,'Shade - 1'!$D$7,Vertex!AD6,Vertex!AD71,Vertex!AD136,Normal!AD6,Normal!AD71,Normal!AD136)*255)</f>
        <v>48</v>
      </c>
      <c r="AE6">
        <f>INT(shadex('Shade - 1'!$D$9,'Shade - 1'!$E$9,'Shade - 1'!$F$9,'Shade - 1'!$D$7,Vertex!AE6,Vertex!AE71,Vertex!AE136,Normal!AE6,Normal!AE71,Normal!AE136)*255)</f>
        <v>75</v>
      </c>
      <c r="AF6">
        <f>INT(shadex('Shade - 1'!$D$9,'Shade - 1'!$E$9,'Shade - 1'!$F$9,'Shade - 1'!$D$7,Vertex!AF6,Vertex!AF71,Vertex!AF136,Normal!AF6,Normal!AF71,Normal!AF136)*255)</f>
        <v>85</v>
      </c>
      <c r="AG6">
        <f>INT(shadex('Shade - 1'!$D$9,'Shade - 1'!$E$9,'Shade - 1'!$F$9,'Shade - 1'!$D$7,Vertex!AG6,Vertex!AG71,Vertex!AG136,Normal!AG6,Normal!AG71,Normal!AG136)*255)</f>
        <v>68</v>
      </c>
      <c r="AH6">
        <f>INT(shadex('Shade - 1'!$D$9,'Shade - 1'!$E$9,'Shade - 1'!$F$9,'Shade - 1'!$D$7,Vertex!AH6,Vertex!AH71,Vertex!AH136,Normal!AH6,Normal!AH71,Normal!AH136)*255)</f>
        <v>69</v>
      </c>
      <c r="AI6" s="4">
        <f>INT(shadex('Shade - 1'!$D$9,'Shade - 1'!$E$9,'Shade - 1'!$F$9,'Shade - 1'!$D$7,Vertex!AI6,Vertex!AI71,Vertex!AI136,Normal!AI6,Normal!AI71,Normal!AI136)*255)</f>
        <v>80</v>
      </c>
      <c r="AJ6" s="4">
        <f>INT(shadex('Shade - 1'!$D$9,'Shade - 1'!$E$9,'Shade - 1'!$F$9,'Shade - 1'!$D$7,Vertex!AJ6,Vertex!AJ71,Vertex!AJ136,Normal!AJ6,Normal!AJ71,Normal!AJ136)*255)</f>
        <v>80</v>
      </c>
      <c r="AK6" s="4">
        <f>INT(shadex('Shade - 1'!$D$9,'Shade - 1'!$E$9,'Shade - 1'!$F$9,'Shade - 1'!$D$7,Vertex!AK6,Vertex!AK71,Vertex!AK136,Normal!AK6,Normal!AK71,Normal!AK136)*255)</f>
        <v>97</v>
      </c>
      <c r="AL6" s="4">
        <f>INT(shadex('Shade - 1'!$D$9,'Shade - 1'!$E$9,'Shade - 1'!$F$9,'Shade - 1'!$D$7,Vertex!AL6,Vertex!AL71,Vertex!AL136,Normal!AL6,Normal!AL71,Normal!AL136)*255)</f>
        <v>99</v>
      </c>
      <c r="AM6" s="4">
        <f>INT(shadex('Shade - 1'!$D$9,'Shade - 1'!$E$9,'Shade - 1'!$F$9,'Shade - 1'!$D$7,Vertex!AM6,Vertex!AM71,Vertex!AM136,Normal!AM6,Normal!AM71,Normal!AM136)*255)</f>
        <v>99</v>
      </c>
      <c r="AN6" s="4">
        <f>INT(shadex('Shade - 1'!$D$9,'Shade - 1'!$E$9,'Shade - 1'!$F$9,'Shade - 1'!$D$7,Vertex!AN6,Vertex!AN71,Vertex!AN136,Normal!AN6,Normal!AN71,Normal!AN136)*255)</f>
        <v>98</v>
      </c>
      <c r="AO6" s="4">
        <f>INT(shadex('Shade - 1'!$D$9,'Shade - 1'!$E$9,'Shade - 1'!$F$9,'Shade - 1'!$D$7,Vertex!AO6,Vertex!AO71,Vertex!AO136,Normal!AO6,Normal!AO71,Normal!AO136)*255)</f>
        <v>98</v>
      </c>
      <c r="AP6" s="4">
        <f>INT(shadex('Shade - 1'!$D$9,'Shade - 1'!$E$9,'Shade - 1'!$F$9,'Shade - 1'!$D$7,Vertex!AP6,Vertex!AP71,Vertex!AP136,Normal!AP6,Normal!AP71,Normal!AP136)*255)</f>
        <v>92</v>
      </c>
      <c r="AQ6" s="4">
        <f>INT(shadex('Shade - 1'!$D$9,'Shade - 1'!$E$9,'Shade - 1'!$F$9,'Shade - 1'!$D$7,Vertex!AQ6,Vertex!AQ71,Vertex!AQ136,Normal!AQ6,Normal!AQ71,Normal!AQ136)*255)</f>
        <v>83</v>
      </c>
      <c r="AR6" s="4">
        <f>INT(shadex('Shade - 1'!$D$9,'Shade - 1'!$E$9,'Shade - 1'!$F$9,'Shade - 1'!$D$7,Vertex!AR6,Vertex!AR71,Vertex!AR136,Normal!AR6,Normal!AR71,Normal!AR136)*255)</f>
        <v>91</v>
      </c>
      <c r="AS6" s="4">
        <f>INT(shadex('Shade - 1'!$D$9,'Shade - 1'!$E$9,'Shade - 1'!$F$9,'Shade - 1'!$D$7,Vertex!AS6,Vertex!AS71,Vertex!AS136,Normal!AS6,Normal!AS71,Normal!AS136)*255)</f>
        <v>96</v>
      </c>
      <c r="AT6" s="4">
        <f>INT(shadex('Shade - 1'!$D$9,'Shade - 1'!$E$9,'Shade - 1'!$F$9,'Shade - 1'!$D$7,Vertex!AT6,Vertex!AT71,Vertex!AT136,Normal!AT6,Normal!AT71,Normal!AT136)*255)</f>
        <v>89</v>
      </c>
      <c r="AU6" s="4">
        <f>INT(shadex('Shade - 1'!$D$9,'Shade - 1'!$E$9,'Shade - 1'!$F$9,'Shade - 1'!$D$7,Vertex!AU6,Vertex!AU71,Vertex!AU136,Normal!AU6,Normal!AU71,Normal!AU136)*255)</f>
        <v>82</v>
      </c>
      <c r="AV6" s="4">
        <f>INT(shadex('Shade - 1'!$D$9,'Shade - 1'!$E$9,'Shade - 1'!$F$9,'Shade - 1'!$D$7,Vertex!AV6,Vertex!AV71,Vertex!AV136,Normal!AV6,Normal!AV71,Normal!AV136)*255)</f>
        <v>70</v>
      </c>
      <c r="AW6" s="4">
        <f>INT(shadex('Shade - 1'!$D$9,'Shade - 1'!$E$9,'Shade - 1'!$F$9,'Shade - 1'!$D$7,Vertex!AW6,Vertex!AW71,Vertex!AW136,Normal!AW6,Normal!AW71,Normal!AW136)*255)</f>
        <v>67</v>
      </c>
      <c r="AX6" s="4">
        <f>INT(shadex('Shade - 1'!$D$9,'Shade - 1'!$E$9,'Shade - 1'!$F$9,'Shade - 1'!$D$7,Vertex!AX6,Vertex!AX71,Vertex!AX136,Normal!AX6,Normal!AX71,Normal!AX136)*255)</f>
        <v>76</v>
      </c>
      <c r="AY6" s="4">
        <f>INT(shadex('Shade - 1'!$D$9,'Shade - 1'!$E$9,'Shade - 1'!$F$9,'Shade - 1'!$D$7,Vertex!AY6,Vertex!AY71,Vertex!AY136,Normal!AY6,Normal!AY71,Normal!AY136)*255)</f>
        <v>82</v>
      </c>
      <c r="AZ6" s="4">
        <f>INT(shadex('Shade - 1'!$D$9,'Shade - 1'!$E$9,'Shade - 1'!$F$9,'Shade - 1'!$D$7,Vertex!AZ6,Vertex!AZ71,Vertex!AZ136,Normal!AZ6,Normal!AZ71,Normal!AZ136)*255)</f>
        <v>94</v>
      </c>
      <c r="BA6" s="4">
        <f>INT(shadex('Shade - 1'!$D$9,'Shade - 1'!$E$9,'Shade - 1'!$F$9,'Shade - 1'!$D$7,Vertex!BA6,Vertex!BA71,Vertex!BA136,Normal!BA6,Normal!BA71,Normal!BA136)*255)</f>
        <v>74</v>
      </c>
      <c r="BB6" s="4">
        <f>INT(shadex('Shade - 1'!$D$9,'Shade - 1'!$E$9,'Shade - 1'!$F$9,'Shade - 1'!$D$7,Vertex!BB6,Vertex!BB71,Vertex!BB136,Normal!BB6,Normal!BB71,Normal!BB136)*255)</f>
        <v>29</v>
      </c>
      <c r="BC6" s="4">
        <f>INT(shadex('Shade - 1'!$D$9,'Shade - 1'!$E$9,'Shade - 1'!$F$9,'Shade - 1'!$D$7,Vertex!BC6,Vertex!BC71,Vertex!BC136,Normal!BC6,Normal!BC71,Normal!BC136)*255)</f>
        <v>46</v>
      </c>
      <c r="BD6" s="4">
        <f>INT(shadex('Shade - 1'!$D$9,'Shade - 1'!$E$9,'Shade - 1'!$F$9,'Shade - 1'!$D$7,Vertex!BD6,Vertex!BD71,Vertex!BD136,Normal!BD6,Normal!BD71,Normal!BD136)*255)</f>
        <v>77</v>
      </c>
      <c r="BE6" s="4">
        <f>INT(shadex('Shade - 1'!$D$9,'Shade - 1'!$E$9,'Shade - 1'!$F$9,'Shade - 1'!$D$7,Vertex!BE6,Vertex!BE71,Vertex!BE136,Normal!BE6,Normal!BE71,Normal!BE136)*255)</f>
        <v>91</v>
      </c>
      <c r="BF6" s="4">
        <f>INT(shadex('Shade - 1'!$D$9,'Shade - 1'!$E$9,'Shade - 1'!$F$9,'Shade - 1'!$D$7,Vertex!BF6,Vertex!BF71,Vertex!BF136,Normal!BF6,Normal!BF71,Normal!BF136)*255)</f>
        <v>90</v>
      </c>
      <c r="BG6" s="4">
        <f>INT(shadex('Shade - 1'!$D$9,'Shade - 1'!$E$9,'Shade - 1'!$F$9,'Shade - 1'!$D$7,Vertex!BG6,Vertex!BG71,Vertex!BG136,Normal!BG6,Normal!BG71,Normal!BG136)*255)</f>
        <v>77</v>
      </c>
      <c r="BH6" s="4">
        <f>INT(shadex('Shade - 1'!$D$9,'Shade - 1'!$E$9,'Shade - 1'!$F$9,'Shade - 1'!$D$7,Vertex!BH6,Vertex!BH71,Vertex!BH136,Normal!BH6,Normal!BH71,Normal!BH136)*255)</f>
        <v>57</v>
      </c>
      <c r="BI6" s="4">
        <f>INT(shadex('Shade - 1'!$D$9,'Shade - 1'!$E$9,'Shade - 1'!$F$9,'Shade - 1'!$D$7,Vertex!BI6,Vertex!BI71,Vertex!BI136,Normal!BI6,Normal!BI71,Normal!BI136)*255)</f>
        <v>56</v>
      </c>
      <c r="BJ6" s="4">
        <f>INT(shadex('Shade - 1'!$D$9,'Shade - 1'!$E$9,'Shade - 1'!$F$9,'Shade - 1'!$D$7,Vertex!BJ6,Vertex!BJ71,Vertex!BJ136,Normal!BJ6,Normal!BJ71,Normal!BJ136)*255)</f>
        <v>64</v>
      </c>
      <c r="BK6" s="4">
        <f>INT(shadex('Shade - 1'!$D$9,'Shade - 1'!$E$9,'Shade - 1'!$F$9,'Shade - 1'!$D$7,Vertex!BK6,Vertex!BK71,Vertex!BK136,Normal!BK6,Normal!BK71,Normal!BK136)*255)</f>
        <v>73</v>
      </c>
      <c r="BL6" s="4">
        <f>INT(shadex('Shade - 1'!$D$9,'Shade - 1'!$E$9,'Shade - 1'!$F$9,'Shade - 1'!$D$7,Vertex!BL6,Vertex!BL71,Vertex!BL136,Normal!BL6,Normal!BL71,Normal!BL136)*255)</f>
        <v>75</v>
      </c>
    </row>
    <row r="7" spans="1:64" x14ac:dyDescent="0.25">
      <c r="A7">
        <f>INT(shadex('Shade - 1'!$D$9,'Shade - 1'!$E$9,'Shade - 1'!$F$9,'Shade - 1'!$D$7,Vertex!A7,Vertex!A72,Vertex!A137,Normal!A7,Normal!A72,Normal!A137)*255)</f>
        <v>45</v>
      </c>
      <c r="B7">
        <f>INT(shadex('Shade - 1'!$D$9,'Shade - 1'!$E$9,'Shade - 1'!$F$9,'Shade - 1'!$D$7,Vertex!B7,Vertex!B72,Vertex!B137,Normal!B7,Normal!B72,Normal!B137)*255)</f>
        <v>55</v>
      </c>
      <c r="C7">
        <f>INT(shadex('Shade - 1'!$D$9,'Shade - 1'!$E$9,'Shade - 1'!$F$9,'Shade - 1'!$D$7,Vertex!C7,Vertex!C72,Vertex!C137,Normal!C7,Normal!C72,Normal!C137)*255)</f>
        <v>67</v>
      </c>
      <c r="D7">
        <f>INT(shadex('Shade - 1'!$D$9,'Shade - 1'!$E$9,'Shade - 1'!$F$9,'Shade - 1'!$D$7,Vertex!D7,Vertex!D72,Vertex!D137,Normal!D7,Normal!D72,Normal!D137)*255)</f>
        <v>77</v>
      </c>
      <c r="E7">
        <f>INT(shadex('Shade - 1'!$D$9,'Shade - 1'!$E$9,'Shade - 1'!$F$9,'Shade - 1'!$D$7,Vertex!E7,Vertex!E72,Vertex!E137,Normal!E7,Normal!E72,Normal!E137)*255)</f>
        <v>83</v>
      </c>
      <c r="F7">
        <f>INT(shadex('Shade - 1'!$D$9,'Shade - 1'!$E$9,'Shade - 1'!$F$9,'Shade - 1'!$D$7,Vertex!F7,Vertex!F72,Vertex!F137,Normal!F7,Normal!F72,Normal!F137)*255)</f>
        <v>80</v>
      </c>
      <c r="G7">
        <f>INT(shadex('Shade - 1'!$D$9,'Shade - 1'!$E$9,'Shade - 1'!$F$9,'Shade - 1'!$D$7,Vertex!G7,Vertex!G72,Vertex!G137,Normal!G7,Normal!G72,Normal!G137)*255)</f>
        <v>81</v>
      </c>
      <c r="H7">
        <f>INT(shadex('Shade - 1'!$D$9,'Shade - 1'!$E$9,'Shade - 1'!$F$9,'Shade - 1'!$D$7,Vertex!H7,Vertex!H72,Vertex!H137,Normal!H7,Normal!H72,Normal!H137)*255)</f>
        <v>87</v>
      </c>
      <c r="I7">
        <f>INT(shadex('Shade - 1'!$D$9,'Shade - 1'!$E$9,'Shade - 1'!$F$9,'Shade - 1'!$D$7,Vertex!I7,Vertex!I72,Vertex!I137,Normal!I7,Normal!I72,Normal!I137)*255)</f>
        <v>95</v>
      </c>
      <c r="J7">
        <f>INT(shadex('Shade - 1'!$D$9,'Shade - 1'!$E$9,'Shade - 1'!$F$9,'Shade - 1'!$D$7,Vertex!J7,Vertex!J72,Vertex!J137,Normal!J7,Normal!J72,Normal!J137)*255)</f>
        <v>68</v>
      </c>
      <c r="K7">
        <f>INT(shadex('Shade - 1'!$D$9,'Shade - 1'!$E$9,'Shade - 1'!$F$9,'Shade - 1'!$D$7,Vertex!K7,Vertex!K72,Vertex!K137,Normal!K7,Normal!K72,Normal!K137)*255)</f>
        <v>74</v>
      </c>
      <c r="L7">
        <f>INT(shadex('Shade - 1'!$D$9,'Shade - 1'!$E$9,'Shade - 1'!$F$9,'Shade - 1'!$D$7,Vertex!L7,Vertex!L72,Vertex!L137,Normal!L7,Normal!L72,Normal!L137)*255)</f>
        <v>93</v>
      </c>
      <c r="M7">
        <f>INT(shadex('Shade - 1'!$D$9,'Shade - 1'!$E$9,'Shade - 1'!$F$9,'Shade - 1'!$D$7,Vertex!M7,Vertex!M72,Vertex!M137,Normal!M7,Normal!M72,Normal!M137)*255)</f>
        <v>97</v>
      </c>
      <c r="N7">
        <f>INT(shadex('Shade - 1'!$D$9,'Shade - 1'!$E$9,'Shade - 1'!$F$9,'Shade - 1'!$D$7,Vertex!N7,Vertex!N72,Vertex!N137,Normal!N7,Normal!N72,Normal!N137)*255)</f>
        <v>98</v>
      </c>
      <c r="O7">
        <f>INT(shadex('Shade - 1'!$D$9,'Shade - 1'!$E$9,'Shade - 1'!$F$9,'Shade - 1'!$D$7,Vertex!O7,Vertex!O72,Vertex!O137,Normal!O7,Normal!O72,Normal!O137)*255)</f>
        <v>90</v>
      </c>
      <c r="P7">
        <f>INT(shadex('Shade - 1'!$D$9,'Shade - 1'!$E$9,'Shade - 1'!$F$9,'Shade - 1'!$D$7,Vertex!P7,Vertex!P72,Vertex!P137,Normal!P7,Normal!P72,Normal!P137)*255)</f>
        <v>81</v>
      </c>
      <c r="Q7">
        <f>INT(shadex('Shade - 1'!$D$9,'Shade - 1'!$E$9,'Shade - 1'!$F$9,'Shade - 1'!$D$7,Vertex!Q7,Vertex!Q72,Vertex!Q137,Normal!Q7,Normal!Q72,Normal!Q137)*255)</f>
        <v>93</v>
      </c>
      <c r="R7">
        <f>INT(shadex('Shade - 1'!$D$9,'Shade - 1'!$E$9,'Shade - 1'!$F$9,'Shade - 1'!$D$7,Vertex!R7,Vertex!R72,Vertex!R137,Normal!R7,Normal!R72,Normal!R137)*255)</f>
        <v>95</v>
      </c>
      <c r="S7">
        <f>INT(shadex('Shade - 1'!$D$9,'Shade - 1'!$E$9,'Shade - 1'!$F$9,'Shade - 1'!$D$7,Vertex!S7,Vertex!S72,Vertex!S137,Normal!S7,Normal!S72,Normal!S137)*255)</f>
        <v>95</v>
      </c>
      <c r="T7">
        <f>INT(shadex('Shade - 1'!$D$9,'Shade - 1'!$E$9,'Shade - 1'!$F$9,'Shade - 1'!$D$7,Vertex!T7,Vertex!T72,Vertex!T137,Normal!T7,Normal!T72,Normal!T137)*255)</f>
        <v>96</v>
      </c>
      <c r="U7">
        <f>INT(shadex('Shade - 1'!$D$9,'Shade - 1'!$E$9,'Shade - 1'!$F$9,'Shade - 1'!$D$7,Vertex!U7,Vertex!U72,Vertex!U137,Normal!U7,Normal!U72,Normal!U137)*255)</f>
        <v>97</v>
      </c>
      <c r="V7">
        <f>INT(shadex('Shade - 1'!$D$9,'Shade - 1'!$E$9,'Shade - 1'!$F$9,'Shade - 1'!$D$7,Vertex!V7,Vertex!V72,Vertex!V137,Normal!V7,Normal!V72,Normal!V137)*255)</f>
        <v>100</v>
      </c>
      <c r="W7">
        <f>INT(shadex('Shade - 1'!$D$9,'Shade - 1'!$E$9,'Shade - 1'!$F$9,'Shade - 1'!$D$7,Vertex!W7,Vertex!W72,Vertex!W137,Normal!W7,Normal!W72,Normal!W137)*255)</f>
        <v>91</v>
      </c>
      <c r="X7">
        <f>INT(shadex('Shade - 1'!$D$9,'Shade - 1'!$E$9,'Shade - 1'!$F$9,'Shade - 1'!$D$7,Vertex!X7,Vertex!X72,Vertex!X137,Normal!X7,Normal!X72,Normal!X137)*255)</f>
        <v>86</v>
      </c>
      <c r="Y7">
        <f>INT(shadex('Shade - 1'!$D$9,'Shade - 1'!$E$9,'Shade - 1'!$F$9,'Shade - 1'!$D$7,Vertex!Y7,Vertex!Y72,Vertex!Y137,Normal!Y7,Normal!Y72,Normal!Y137)*255)</f>
        <v>85</v>
      </c>
      <c r="Z7">
        <f>INT(shadex('Shade - 1'!$D$9,'Shade - 1'!$E$9,'Shade - 1'!$F$9,'Shade - 1'!$D$7,Vertex!Z7,Vertex!Z72,Vertex!Z137,Normal!Z7,Normal!Z72,Normal!Z137)*255)</f>
        <v>87</v>
      </c>
      <c r="AA7">
        <f>INT(shadex('Shade - 1'!$D$9,'Shade - 1'!$E$9,'Shade - 1'!$F$9,'Shade - 1'!$D$7,Vertex!AA7,Vertex!AA72,Vertex!AA137,Normal!AA7,Normal!AA72,Normal!AA137)*255)</f>
        <v>72</v>
      </c>
      <c r="AB7">
        <f>INT(shadex('Shade - 1'!$D$9,'Shade - 1'!$E$9,'Shade - 1'!$F$9,'Shade - 1'!$D$7,Vertex!AB7,Vertex!AB72,Vertex!AB137,Normal!AB7,Normal!AB72,Normal!AB137)*255)</f>
        <v>49</v>
      </c>
      <c r="AC7">
        <f>INT(shadex('Shade - 1'!$D$9,'Shade - 1'!$E$9,'Shade - 1'!$F$9,'Shade - 1'!$D$7,Vertex!AC7,Vertex!AC72,Vertex!AC137,Normal!AC7,Normal!AC72,Normal!AC137)*255)</f>
        <v>50</v>
      </c>
      <c r="AD7">
        <f>INT(shadex('Shade - 1'!$D$9,'Shade - 1'!$E$9,'Shade - 1'!$F$9,'Shade - 1'!$D$7,Vertex!AD7,Vertex!AD72,Vertex!AD137,Normal!AD7,Normal!AD72,Normal!AD137)*255)</f>
        <v>54</v>
      </c>
      <c r="AE7">
        <f>INT(shadex('Shade - 1'!$D$9,'Shade - 1'!$E$9,'Shade - 1'!$F$9,'Shade - 1'!$D$7,Vertex!AE7,Vertex!AE72,Vertex!AE137,Normal!AE7,Normal!AE72,Normal!AE137)*255)</f>
        <v>69</v>
      </c>
      <c r="AF7">
        <f>INT(shadex('Shade - 1'!$D$9,'Shade - 1'!$E$9,'Shade - 1'!$F$9,'Shade - 1'!$D$7,Vertex!AF7,Vertex!AF72,Vertex!AF137,Normal!AF7,Normal!AF72,Normal!AF137)*255)</f>
        <v>77</v>
      </c>
      <c r="AG7">
        <f>INT(shadex('Shade - 1'!$D$9,'Shade - 1'!$E$9,'Shade - 1'!$F$9,'Shade - 1'!$D$7,Vertex!AG7,Vertex!AG72,Vertex!AG137,Normal!AG7,Normal!AG72,Normal!AG137)*255)</f>
        <v>75</v>
      </c>
      <c r="AH7">
        <f>INT(shadex('Shade - 1'!$D$9,'Shade - 1'!$E$9,'Shade - 1'!$F$9,'Shade - 1'!$D$7,Vertex!AH7,Vertex!AH72,Vertex!AH137,Normal!AH7,Normal!AH72,Normal!AH137)*255)</f>
        <v>82</v>
      </c>
      <c r="AI7" s="4">
        <f>INT(shadex('Shade - 1'!$D$9,'Shade - 1'!$E$9,'Shade - 1'!$F$9,'Shade - 1'!$D$7,Vertex!AI7,Vertex!AI72,Vertex!AI137,Normal!AI7,Normal!AI72,Normal!AI137)*255)</f>
        <v>89</v>
      </c>
      <c r="AJ7" s="4">
        <f>INT(shadex('Shade - 1'!$D$9,'Shade - 1'!$E$9,'Shade - 1'!$F$9,'Shade - 1'!$D$7,Vertex!AJ7,Vertex!AJ72,Vertex!AJ137,Normal!AJ7,Normal!AJ72,Normal!AJ137)*255)</f>
        <v>88</v>
      </c>
      <c r="AK7" s="4">
        <f>INT(shadex('Shade - 1'!$D$9,'Shade - 1'!$E$9,'Shade - 1'!$F$9,'Shade - 1'!$D$7,Vertex!AK7,Vertex!AK72,Vertex!AK137,Normal!AK7,Normal!AK72,Normal!AK137)*255)</f>
        <v>96</v>
      </c>
      <c r="AL7" s="4">
        <f>INT(shadex('Shade - 1'!$D$9,'Shade - 1'!$E$9,'Shade - 1'!$F$9,'Shade - 1'!$D$7,Vertex!AL7,Vertex!AL72,Vertex!AL137,Normal!AL7,Normal!AL72,Normal!AL137)*255)</f>
        <v>99</v>
      </c>
      <c r="AM7" s="4">
        <f>INT(shadex('Shade - 1'!$D$9,'Shade - 1'!$E$9,'Shade - 1'!$F$9,'Shade - 1'!$D$7,Vertex!AM7,Vertex!AM72,Vertex!AM137,Normal!AM7,Normal!AM72,Normal!AM137)*255)</f>
        <v>98</v>
      </c>
      <c r="AN7" s="4">
        <f>INT(shadex('Shade - 1'!$D$9,'Shade - 1'!$E$9,'Shade - 1'!$F$9,'Shade - 1'!$D$7,Vertex!AN7,Vertex!AN72,Vertex!AN137,Normal!AN7,Normal!AN72,Normal!AN137)*255)</f>
        <v>98</v>
      </c>
      <c r="AO7" s="4">
        <f>INT(shadex('Shade - 1'!$D$9,'Shade - 1'!$E$9,'Shade - 1'!$F$9,'Shade - 1'!$D$7,Vertex!AO7,Vertex!AO72,Vertex!AO137,Normal!AO7,Normal!AO72,Normal!AO137)*255)</f>
        <v>99</v>
      </c>
      <c r="AP7" s="4">
        <f>INT(shadex('Shade - 1'!$D$9,'Shade - 1'!$E$9,'Shade - 1'!$F$9,'Shade - 1'!$D$7,Vertex!AP7,Vertex!AP72,Vertex!AP137,Normal!AP7,Normal!AP72,Normal!AP137)*255)</f>
        <v>97</v>
      </c>
      <c r="AQ7" s="4">
        <f>INT(shadex('Shade - 1'!$D$9,'Shade - 1'!$E$9,'Shade - 1'!$F$9,'Shade - 1'!$D$7,Vertex!AQ7,Vertex!AQ72,Vertex!AQ137,Normal!AQ7,Normal!AQ72,Normal!AQ137)*255)</f>
        <v>88</v>
      </c>
      <c r="AR7" s="4">
        <f>INT(shadex('Shade - 1'!$D$9,'Shade - 1'!$E$9,'Shade - 1'!$F$9,'Shade - 1'!$D$7,Vertex!AR7,Vertex!AR72,Vertex!AR137,Normal!AR7,Normal!AR72,Normal!AR137)*255)</f>
        <v>89</v>
      </c>
      <c r="AS7" s="4">
        <f>INT(shadex('Shade - 1'!$D$9,'Shade - 1'!$E$9,'Shade - 1'!$F$9,'Shade - 1'!$D$7,Vertex!AS7,Vertex!AS72,Vertex!AS137,Normal!AS7,Normal!AS72,Normal!AS137)*255)</f>
        <v>94</v>
      </c>
      <c r="AT7" s="4">
        <f>INT(shadex('Shade - 1'!$D$9,'Shade - 1'!$E$9,'Shade - 1'!$F$9,'Shade - 1'!$D$7,Vertex!AT7,Vertex!AT72,Vertex!AT137,Normal!AT7,Normal!AT72,Normal!AT137)*255)</f>
        <v>90</v>
      </c>
      <c r="AU7" s="4">
        <f>INT(shadex('Shade - 1'!$D$9,'Shade - 1'!$E$9,'Shade - 1'!$F$9,'Shade - 1'!$D$7,Vertex!AU7,Vertex!AU72,Vertex!AU137,Normal!AU7,Normal!AU72,Normal!AU137)*255)</f>
        <v>82</v>
      </c>
      <c r="AV7" s="4">
        <f>INT(shadex('Shade - 1'!$D$9,'Shade - 1'!$E$9,'Shade - 1'!$F$9,'Shade - 1'!$D$7,Vertex!AV7,Vertex!AV72,Vertex!AV137,Normal!AV7,Normal!AV72,Normal!AV137)*255)</f>
        <v>71</v>
      </c>
      <c r="AW7" s="4">
        <f>INT(shadex('Shade - 1'!$D$9,'Shade - 1'!$E$9,'Shade - 1'!$F$9,'Shade - 1'!$D$7,Vertex!AW7,Vertex!AW72,Vertex!AW137,Normal!AW7,Normal!AW72,Normal!AW137)*255)</f>
        <v>60</v>
      </c>
      <c r="AX7" s="4">
        <f>INT(shadex('Shade - 1'!$D$9,'Shade - 1'!$E$9,'Shade - 1'!$F$9,'Shade - 1'!$D$7,Vertex!AX7,Vertex!AX72,Vertex!AX137,Normal!AX7,Normal!AX72,Normal!AX137)*255)</f>
        <v>64</v>
      </c>
      <c r="AY7" s="4">
        <f>INT(shadex('Shade - 1'!$D$9,'Shade - 1'!$E$9,'Shade - 1'!$F$9,'Shade - 1'!$D$7,Vertex!AY7,Vertex!AY72,Vertex!AY137,Normal!AY7,Normal!AY72,Normal!AY137)*255)</f>
        <v>58</v>
      </c>
      <c r="AZ7" s="4">
        <f>INT(shadex('Shade - 1'!$D$9,'Shade - 1'!$E$9,'Shade - 1'!$F$9,'Shade - 1'!$D$7,Vertex!AZ7,Vertex!AZ72,Vertex!AZ137,Normal!AZ7,Normal!AZ72,Normal!AZ137)*255)</f>
        <v>74</v>
      </c>
      <c r="BA7" s="4">
        <f>INT(shadex('Shade - 1'!$D$9,'Shade - 1'!$E$9,'Shade - 1'!$F$9,'Shade - 1'!$D$7,Vertex!BA7,Vertex!BA72,Vertex!BA137,Normal!BA7,Normal!BA72,Normal!BA137)*255)</f>
        <v>69</v>
      </c>
      <c r="BB7" s="4">
        <f>INT(shadex('Shade - 1'!$D$9,'Shade - 1'!$E$9,'Shade - 1'!$F$9,'Shade - 1'!$D$7,Vertex!BB7,Vertex!BB72,Vertex!BB137,Normal!BB7,Normal!BB72,Normal!BB137)*255)</f>
        <v>53</v>
      </c>
      <c r="BC7" s="4">
        <f>INT(shadex('Shade - 1'!$D$9,'Shade - 1'!$E$9,'Shade - 1'!$F$9,'Shade - 1'!$D$7,Vertex!BC7,Vertex!BC72,Vertex!BC137,Normal!BC7,Normal!BC72,Normal!BC137)*255)</f>
        <v>69</v>
      </c>
      <c r="BD7" s="4">
        <f>INT(shadex('Shade - 1'!$D$9,'Shade - 1'!$E$9,'Shade - 1'!$F$9,'Shade - 1'!$D$7,Vertex!BD7,Vertex!BD72,Vertex!BD137,Normal!BD7,Normal!BD72,Normal!BD137)*255)</f>
        <v>70</v>
      </c>
      <c r="BE7" s="4">
        <f>INT(shadex('Shade - 1'!$D$9,'Shade - 1'!$E$9,'Shade - 1'!$F$9,'Shade - 1'!$D$7,Vertex!BE7,Vertex!BE72,Vertex!BE137,Normal!BE7,Normal!BE72,Normal!BE137)*255)</f>
        <v>92</v>
      </c>
      <c r="BF7" s="4">
        <f>INT(shadex('Shade - 1'!$D$9,'Shade - 1'!$E$9,'Shade - 1'!$F$9,'Shade - 1'!$D$7,Vertex!BF7,Vertex!BF72,Vertex!BF137,Normal!BF7,Normal!BF72,Normal!BF137)*255)</f>
        <v>90</v>
      </c>
      <c r="BG7" s="4">
        <f>INT(shadex('Shade - 1'!$D$9,'Shade - 1'!$E$9,'Shade - 1'!$F$9,'Shade - 1'!$D$7,Vertex!BG7,Vertex!BG72,Vertex!BG137,Normal!BG7,Normal!BG72,Normal!BG137)*255)</f>
        <v>79</v>
      </c>
      <c r="BH7" s="4">
        <f>INT(shadex('Shade - 1'!$D$9,'Shade - 1'!$E$9,'Shade - 1'!$F$9,'Shade - 1'!$D$7,Vertex!BH7,Vertex!BH72,Vertex!BH137,Normal!BH7,Normal!BH72,Normal!BH137)*255)</f>
        <v>63</v>
      </c>
      <c r="BI7" s="4">
        <f>INT(shadex('Shade - 1'!$D$9,'Shade - 1'!$E$9,'Shade - 1'!$F$9,'Shade - 1'!$D$7,Vertex!BI7,Vertex!BI72,Vertex!BI137,Normal!BI7,Normal!BI72,Normal!BI137)*255)</f>
        <v>57</v>
      </c>
      <c r="BJ7" s="4">
        <f>INT(shadex('Shade - 1'!$D$9,'Shade - 1'!$E$9,'Shade - 1'!$F$9,'Shade - 1'!$D$7,Vertex!BJ7,Vertex!BJ72,Vertex!BJ137,Normal!BJ7,Normal!BJ72,Normal!BJ137)*255)</f>
        <v>61</v>
      </c>
      <c r="BK7" s="4">
        <f>INT(shadex('Shade - 1'!$D$9,'Shade - 1'!$E$9,'Shade - 1'!$F$9,'Shade - 1'!$D$7,Vertex!BK7,Vertex!BK72,Vertex!BK137,Normal!BK7,Normal!BK72,Normal!BK137)*255)</f>
        <v>72</v>
      </c>
      <c r="BL7" s="4">
        <f>INT(shadex('Shade - 1'!$D$9,'Shade - 1'!$E$9,'Shade - 1'!$F$9,'Shade - 1'!$D$7,Vertex!BL7,Vertex!BL72,Vertex!BL137,Normal!BL7,Normal!BL72,Normal!BL137)*255)</f>
        <v>80</v>
      </c>
    </row>
    <row r="8" spans="1:64" x14ac:dyDescent="0.25">
      <c r="A8">
        <f>INT(shadex('Shade - 1'!$D$9,'Shade - 1'!$E$9,'Shade - 1'!$F$9,'Shade - 1'!$D$7,Vertex!A8,Vertex!A73,Vertex!A138,Normal!A8,Normal!A73,Normal!A138)*255)</f>
        <v>52</v>
      </c>
      <c r="B8">
        <f>INT(shadex('Shade - 1'!$D$9,'Shade - 1'!$E$9,'Shade - 1'!$F$9,'Shade - 1'!$D$7,Vertex!B8,Vertex!B73,Vertex!B138,Normal!B8,Normal!B73,Normal!B138)*255)</f>
        <v>58</v>
      </c>
      <c r="C8">
        <f>INT(shadex('Shade - 1'!$D$9,'Shade - 1'!$E$9,'Shade - 1'!$F$9,'Shade - 1'!$D$7,Vertex!C8,Vertex!C73,Vertex!C138,Normal!C8,Normal!C73,Normal!C138)*255)</f>
        <v>63</v>
      </c>
      <c r="D8">
        <f>INT(shadex('Shade - 1'!$D$9,'Shade - 1'!$E$9,'Shade - 1'!$F$9,'Shade - 1'!$D$7,Vertex!D8,Vertex!D73,Vertex!D138,Normal!D8,Normal!D73,Normal!D138)*255)</f>
        <v>74</v>
      </c>
      <c r="E8">
        <f>INT(shadex('Shade - 1'!$D$9,'Shade - 1'!$E$9,'Shade - 1'!$F$9,'Shade - 1'!$D$7,Vertex!E8,Vertex!E73,Vertex!E138,Normal!E8,Normal!E73,Normal!E138)*255)</f>
        <v>86</v>
      </c>
      <c r="F8">
        <f>INT(shadex('Shade - 1'!$D$9,'Shade - 1'!$E$9,'Shade - 1'!$F$9,'Shade - 1'!$D$7,Vertex!F8,Vertex!F73,Vertex!F138,Normal!F8,Normal!F73,Normal!F138)*255)</f>
        <v>80</v>
      </c>
      <c r="G8">
        <f>INT(shadex('Shade - 1'!$D$9,'Shade - 1'!$E$9,'Shade - 1'!$F$9,'Shade - 1'!$D$7,Vertex!G8,Vertex!G73,Vertex!G138,Normal!G8,Normal!G73,Normal!G138)*255)</f>
        <v>79</v>
      </c>
      <c r="H8">
        <f>INT(shadex('Shade - 1'!$D$9,'Shade - 1'!$E$9,'Shade - 1'!$F$9,'Shade - 1'!$D$7,Vertex!H8,Vertex!H73,Vertex!H138,Normal!H8,Normal!H73,Normal!H138)*255)</f>
        <v>83</v>
      </c>
      <c r="I8">
        <f>INT(shadex('Shade - 1'!$D$9,'Shade - 1'!$E$9,'Shade - 1'!$F$9,'Shade - 1'!$D$7,Vertex!I8,Vertex!I73,Vertex!I138,Normal!I8,Normal!I73,Normal!I138)*255)</f>
        <v>90</v>
      </c>
      <c r="J8">
        <f>INT(shadex('Shade - 1'!$D$9,'Shade - 1'!$E$9,'Shade - 1'!$F$9,'Shade - 1'!$D$7,Vertex!J8,Vertex!J73,Vertex!J138,Normal!J8,Normal!J73,Normal!J138)*255)</f>
        <v>60</v>
      </c>
      <c r="K8">
        <f>INT(shadex('Shade - 1'!$D$9,'Shade - 1'!$E$9,'Shade - 1'!$F$9,'Shade - 1'!$D$7,Vertex!K8,Vertex!K73,Vertex!K138,Normal!K8,Normal!K73,Normal!K138)*255)</f>
        <v>64</v>
      </c>
      <c r="L8">
        <f>INT(shadex('Shade - 1'!$D$9,'Shade - 1'!$E$9,'Shade - 1'!$F$9,'Shade - 1'!$D$7,Vertex!L8,Vertex!L73,Vertex!L138,Normal!L8,Normal!L73,Normal!L138)*255)</f>
        <v>82</v>
      </c>
      <c r="M8">
        <f>INT(shadex('Shade - 1'!$D$9,'Shade - 1'!$E$9,'Shade - 1'!$F$9,'Shade - 1'!$D$7,Vertex!M8,Vertex!M73,Vertex!M138,Normal!M8,Normal!M73,Normal!M138)*255)</f>
        <v>86</v>
      </c>
      <c r="N8">
        <f>INT(shadex('Shade - 1'!$D$9,'Shade - 1'!$E$9,'Shade - 1'!$F$9,'Shade - 1'!$D$7,Vertex!N8,Vertex!N73,Vertex!N138,Normal!N8,Normal!N73,Normal!N138)*255)</f>
        <v>83</v>
      </c>
      <c r="O8">
        <f>INT(shadex('Shade - 1'!$D$9,'Shade - 1'!$E$9,'Shade - 1'!$F$9,'Shade - 1'!$D$7,Vertex!O8,Vertex!O73,Vertex!O138,Normal!O8,Normal!O73,Normal!O138)*255)</f>
        <v>80</v>
      </c>
      <c r="P8">
        <f>INT(shadex('Shade - 1'!$D$9,'Shade - 1'!$E$9,'Shade - 1'!$F$9,'Shade - 1'!$D$7,Vertex!P8,Vertex!P73,Vertex!P138,Normal!P8,Normal!P73,Normal!P138)*255)</f>
        <v>80</v>
      </c>
      <c r="Q8">
        <f>INT(shadex('Shade - 1'!$D$9,'Shade - 1'!$E$9,'Shade - 1'!$F$9,'Shade - 1'!$D$7,Vertex!Q8,Vertex!Q73,Vertex!Q138,Normal!Q8,Normal!Q73,Normal!Q138)*255)</f>
        <v>94</v>
      </c>
      <c r="R8">
        <f>INT(shadex('Shade - 1'!$D$9,'Shade - 1'!$E$9,'Shade - 1'!$F$9,'Shade - 1'!$D$7,Vertex!R8,Vertex!R73,Vertex!R138,Normal!R8,Normal!R73,Normal!R138)*255)</f>
        <v>95</v>
      </c>
      <c r="S8">
        <f>INT(shadex('Shade - 1'!$D$9,'Shade - 1'!$E$9,'Shade - 1'!$F$9,'Shade - 1'!$D$7,Vertex!S8,Vertex!S73,Vertex!S138,Normal!S8,Normal!S73,Normal!S138)*255)</f>
        <v>93</v>
      </c>
      <c r="T8">
        <f>INT(shadex('Shade - 1'!$D$9,'Shade - 1'!$E$9,'Shade - 1'!$F$9,'Shade - 1'!$D$7,Vertex!T8,Vertex!T73,Vertex!T138,Normal!T8,Normal!T73,Normal!T138)*255)</f>
        <v>94</v>
      </c>
      <c r="U8">
        <f>INT(shadex('Shade - 1'!$D$9,'Shade - 1'!$E$9,'Shade - 1'!$F$9,'Shade - 1'!$D$7,Vertex!U8,Vertex!U73,Vertex!U138,Normal!U8,Normal!U73,Normal!U138)*255)</f>
        <v>98</v>
      </c>
      <c r="V8">
        <f>INT(shadex('Shade - 1'!$D$9,'Shade - 1'!$E$9,'Shade - 1'!$F$9,'Shade - 1'!$D$7,Vertex!V8,Vertex!V73,Vertex!V138,Normal!V8,Normal!V73,Normal!V138)*255)</f>
        <v>93</v>
      </c>
      <c r="W8">
        <f>INT(shadex('Shade - 1'!$D$9,'Shade - 1'!$E$9,'Shade - 1'!$F$9,'Shade - 1'!$D$7,Vertex!W8,Vertex!W73,Vertex!W138,Normal!W8,Normal!W73,Normal!W138)*255)</f>
        <v>83</v>
      </c>
      <c r="X8">
        <f>INT(shadex('Shade - 1'!$D$9,'Shade - 1'!$E$9,'Shade - 1'!$F$9,'Shade - 1'!$D$7,Vertex!X8,Vertex!X73,Vertex!X138,Normal!X8,Normal!X73,Normal!X138)*255)</f>
        <v>90</v>
      </c>
      <c r="Y8">
        <f>INT(shadex('Shade - 1'!$D$9,'Shade - 1'!$E$9,'Shade - 1'!$F$9,'Shade - 1'!$D$7,Vertex!Y8,Vertex!Y73,Vertex!Y138,Normal!Y8,Normal!Y73,Normal!Y138)*255)</f>
        <v>90</v>
      </c>
      <c r="Z8">
        <f>INT(shadex('Shade - 1'!$D$9,'Shade - 1'!$E$9,'Shade - 1'!$F$9,'Shade - 1'!$D$7,Vertex!Z8,Vertex!Z73,Vertex!Z138,Normal!Z8,Normal!Z73,Normal!Z138)*255)</f>
        <v>79</v>
      </c>
      <c r="AA8">
        <f>INT(shadex('Shade - 1'!$D$9,'Shade - 1'!$E$9,'Shade - 1'!$F$9,'Shade - 1'!$D$7,Vertex!AA8,Vertex!AA73,Vertex!AA138,Normal!AA8,Normal!AA73,Normal!AA138)*255)</f>
        <v>60</v>
      </c>
      <c r="AB8">
        <f>INT(shadex('Shade - 1'!$D$9,'Shade - 1'!$E$9,'Shade - 1'!$F$9,'Shade - 1'!$D$7,Vertex!AB8,Vertex!AB73,Vertex!AB138,Normal!AB8,Normal!AB73,Normal!AB138)*255)</f>
        <v>49</v>
      </c>
      <c r="AC8">
        <f>INT(shadex('Shade - 1'!$D$9,'Shade - 1'!$E$9,'Shade - 1'!$F$9,'Shade - 1'!$D$7,Vertex!AC8,Vertex!AC73,Vertex!AC138,Normal!AC8,Normal!AC73,Normal!AC138)*255)</f>
        <v>62</v>
      </c>
      <c r="AD8">
        <f>INT(shadex('Shade - 1'!$D$9,'Shade - 1'!$E$9,'Shade - 1'!$F$9,'Shade - 1'!$D$7,Vertex!AD8,Vertex!AD73,Vertex!AD138,Normal!AD8,Normal!AD73,Normal!AD138)*255)</f>
        <v>64</v>
      </c>
      <c r="AE8">
        <f>INT(shadex('Shade - 1'!$D$9,'Shade - 1'!$E$9,'Shade - 1'!$F$9,'Shade - 1'!$D$7,Vertex!AE8,Vertex!AE73,Vertex!AE138,Normal!AE8,Normal!AE73,Normal!AE138)*255)</f>
        <v>70</v>
      </c>
      <c r="AF8">
        <f>INT(shadex('Shade - 1'!$D$9,'Shade - 1'!$E$9,'Shade - 1'!$F$9,'Shade - 1'!$D$7,Vertex!AF8,Vertex!AF73,Vertex!AF138,Normal!AF8,Normal!AF73,Normal!AF138)*255)</f>
        <v>78</v>
      </c>
      <c r="AG8">
        <f>INT(shadex('Shade - 1'!$D$9,'Shade - 1'!$E$9,'Shade - 1'!$F$9,'Shade - 1'!$D$7,Vertex!AG8,Vertex!AG73,Vertex!AG138,Normal!AG8,Normal!AG73,Normal!AG138)*255)</f>
        <v>82</v>
      </c>
      <c r="AH8">
        <f>INT(shadex('Shade - 1'!$D$9,'Shade - 1'!$E$9,'Shade - 1'!$F$9,'Shade - 1'!$D$7,Vertex!AH8,Vertex!AH73,Vertex!AH138,Normal!AH8,Normal!AH73,Normal!AH138)*255)</f>
        <v>84</v>
      </c>
      <c r="AI8" s="4">
        <f>INT(shadex('Shade - 1'!$D$9,'Shade - 1'!$E$9,'Shade - 1'!$F$9,'Shade - 1'!$D$7,Vertex!AI8,Vertex!AI73,Vertex!AI138,Normal!AI8,Normal!AI73,Normal!AI138)*255)</f>
        <v>88</v>
      </c>
      <c r="AJ8" s="4">
        <f>INT(shadex('Shade - 1'!$D$9,'Shade - 1'!$E$9,'Shade - 1'!$F$9,'Shade - 1'!$D$7,Vertex!AJ8,Vertex!AJ73,Vertex!AJ138,Normal!AJ8,Normal!AJ73,Normal!AJ138)*255)</f>
        <v>89</v>
      </c>
      <c r="AK8" s="4">
        <f>INT(shadex('Shade - 1'!$D$9,'Shade - 1'!$E$9,'Shade - 1'!$F$9,'Shade - 1'!$D$7,Vertex!AK8,Vertex!AK73,Vertex!AK138,Normal!AK8,Normal!AK73,Normal!AK138)*255)</f>
        <v>92</v>
      </c>
      <c r="AL8" s="4">
        <f>INT(shadex('Shade - 1'!$D$9,'Shade - 1'!$E$9,'Shade - 1'!$F$9,'Shade - 1'!$D$7,Vertex!AL8,Vertex!AL73,Vertex!AL138,Normal!AL8,Normal!AL73,Normal!AL138)*255)</f>
        <v>98</v>
      </c>
      <c r="AM8" s="4">
        <f>INT(shadex('Shade - 1'!$D$9,'Shade - 1'!$E$9,'Shade - 1'!$F$9,'Shade - 1'!$D$7,Vertex!AM8,Vertex!AM73,Vertex!AM138,Normal!AM8,Normal!AM73,Normal!AM138)*255)</f>
        <v>98</v>
      </c>
      <c r="AN8" s="4">
        <f>INT(shadex('Shade - 1'!$D$9,'Shade - 1'!$E$9,'Shade - 1'!$F$9,'Shade - 1'!$D$7,Vertex!AN8,Vertex!AN73,Vertex!AN138,Normal!AN8,Normal!AN73,Normal!AN138)*255)</f>
        <v>98</v>
      </c>
      <c r="AO8" s="4">
        <f>INT(shadex('Shade - 1'!$D$9,'Shade - 1'!$E$9,'Shade - 1'!$F$9,'Shade - 1'!$D$7,Vertex!AO8,Vertex!AO73,Vertex!AO138,Normal!AO8,Normal!AO73,Normal!AO138)*255)</f>
        <v>98</v>
      </c>
      <c r="AP8" s="4">
        <f>INT(shadex('Shade - 1'!$D$9,'Shade - 1'!$E$9,'Shade - 1'!$F$9,'Shade - 1'!$D$7,Vertex!AP8,Vertex!AP73,Vertex!AP138,Normal!AP8,Normal!AP73,Normal!AP138)*255)</f>
        <v>98</v>
      </c>
      <c r="AQ8" s="4">
        <f>INT(shadex('Shade - 1'!$D$9,'Shade - 1'!$E$9,'Shade - 1'!$F$9,'Shade - 1'!$D$7,Vertex!AQ8,Vertex!AQ73,Vertex!AQ138,Normal!AQ8,Normal!AQ73,Normal!AQ138)*255)</f>
        <v>91</v>
      </c>
      <c r="AR8" s="4">
        <f>INT(shadex('Shade - 1'!$D$9,'Shade - 1'!$E$9,'Shade - 1'!$F$9,'Shade - 1'!$D$7,Vertex!AR8,Vertex!AR73,Vertex!AR138,Normal!AR8,Normal!AR73,Normal!AR138)*255)</f>
        <v>83</v>
      </c>
      <c r="AS8" s="4">
        <f>INT(shadex('Shade - 1'!$D$9,'Shade - 1'!$E$9,'Shade - 1'!$F$9,'Shade - 1'!$D$7,Vertex!AS8,Vertex!AS73,Vertex!AS138,Normal!AS8,Normal!AS73,Normal!AS138)*255)</f>
        <v>96</v>
      </c>
      <c r="AT8" s="4">
        <f>INT(shadex('Shade - 1'!$D$9,'Shade - 1'!$E$9,'Shade - 1'!$F$9,'Shade - 1'!$D$7,Vertex!AT8,Vertex!AT73,Vertex!AT138,Normal!AT8,Normal!AT73,Normal!AT138)*255)</f>
        <v>94</v>
      </c>
      <c r="AU8" s="4">
        <f>INT(shadex('Shade - 1'!$D$9,'Shade - 1'!$E$9,'Shade - 1'!$F$9,'Shade - 1'!$D$7,Vertex!AU8,Vertex!AU73,Vertex!AU138,Normal!AU8,Normal!AU73,Normal!AU138)*255)</f>
        <v>88</v>
      </c>
      <c r="AV8" s="4">
        <f>INT(shadex('Shade - 1'!$D$9,'Shade - 1'!$E$9,'Shade - 1'!$F$9,'Shade - 1'!$D$7,Vertex!AV8,Vertex!AV73,Vertex!AV138,Normal!AV8,Normal!AV73,Normal!AV138)*255)</f>
        <v>79</v>
      </c>
      <c r="AW8" s="4">
        <f>INT(shadex('Shade - 1'!$D$9,'Shade - 1'!$E$9,'Shade - 1'!$F$9,'Shade - 1'!$D$7,Vertex!AW8,Vertex!AW73,Vertex!AW138,Normal!AW8,Normal!AW73,Normal!AW138)*255)</f>
        <v>60</v>
      </c>
      <c r="AX8" s="4">
        <f>INT(shadex('Shade - 1'!$D$9,'Shade - 1'!$E$9,'Shade - 1'!$F$9,'Shade - 1'!$D$7,Vertex!AX8,Vertex!AX73,Vertex!AX138,Normal!AX8,Normal!AX73,Normal!AX138)*255)</f>
        <v>36</v>
      </c>
      <c r="AY8" s="4">
        <f>INT(shadex('Shade - 1'!$D$9,'Shade - 1'!$E$9,'Shade - 1'!$F$9,'Shade - 1'!$D$7,Vertex!AY8,Vertex!AY73,Vertex!AY138,Normal!AY8,Normal!AY73,Normal!AY138)*255)</f>
        <v>30</v>
      </c>
      <c r="AZ8" s="4">
        <f>INT(shadex('Shade - 1'!$D$9,'Shade - 1'!$E$9,'Shade - 1'!$F$9,'Shade - 1'!$D$7,Vertex!AZ8,Vertex!AZ73,Vertex!AZ138,Normal!AZ8,Normal!AZ73,Normal!AZ138)*255)</f>
        <v>44</v>
      </c>
      <c r="BA8" s="4">
        <f>INT(shadex('Shade - 1'!$D$9,'Shade - 1'!$E$9,'Shade - 1'!$F$9,'Shade - 1'!$D$7,Vertex!BA8,Vertex!BA73,Vertex!BA138,Normal!BA8,Normal!BA73,Normal!BA138)*255)</f>
        <v>63</v>
      </c>
      <c r="BB8" s="4">
        <f>INT(shadex('Shade - 1'!$D$9,'Shade - 1'!$E$9,'Shade - 1'!$F$9,'Shade - 1'!$D$7,Vertex!BB8,Vertex!BB73,Vertex!BB138,Normal!BB8,Normal!BB73,Normal!BB138)*255)</f>
        <v>65</v>
      </c>
      <c r="BC8" s="4">
        <f>INT(shadex('Shade - 1'!$D$9,'Shade - 1'!$E$9,'Shade - 1'!$F$9,'Shade - 1'!$D$7,Vertex!BC8,Vertex!BC73,Vertex!BC138,Normal!BC8,Normal!BC73,Normal!BC138)*255)</f>
        <v>65</v>
      </c>
      <c r="BD8" s="4">
        <f>INT(shadex('Shade - 1'!$D$9,'Shade - 1'!$E$9,'Shade - 1'!$F$9,'Shade - 1'!$D$7,Vertex!BD8,Vertex!BD73,Vertex!BD138,Normal!BD8,Normal!BD73,Normal!BD138)*255)</f>
        <v>54</v>
      </c>
      <c r="BE8" s="4">
        <f>INT(shadex('Shade - 1'!$D$9,'Shade - 1'!$E$9,'Shade - 1'!$F$9,'Shade - 1'!$D$7,Vertex!BE8,Vertex!BE73,Vertex!BE138,Normal!BE8,Normal!BE73,Normal!BE138)*255)</f>
        <v>81</v>
      </c>
      <c r="BF8" s="4">
        <f>INT(shadex('Shade - 1'!$D$9,'Shade - 1'!$E$9,'Shade - 1'!$F$9,'Shade - 1'!$D$7,Vertex!BF8,Vertex!BF73,Vertex!BF138,Normal!BF8,Normal!BF73,Normal!BF138)*255)</f>
        <v>88</v>
      </c>
      <c r="BG8" s="4">
        <f>INT(shadex('Shade - 1'!$D$9,'Shade - 1'!$E$9,'Shade - 1'!$F$9,'Shade - 1'!$D$7,Vertex!BG8,Vertex!BG73,Vertex!BG138,Normal!BG8,Normal!BG73,Normal!BG138)*255)</f>
        <v>83</v>
      </c>
      <c r="BH8" s="4">
        <f>INT(shadex('Shade - 1'!$D$9,'Shade - 1'!$E$9,'Shade - 1'!$F$9,'Shade - 1'!$D$7,Vertex!BH8,Vertex!BH73,Vertex!BH138,Normal!BH8,Normal!BH73,Normal!BH138)*255)</f>
        <v>69</v>
      </c>
      <c r="BI8" s="4">
        <f>INT(shadex('Shade - 1'!$D$9,'Shade - 1'!$E$9,'Shade - 1'!$F$9,'Shade - 1'!$D$7,Vertex!BI8,Vertex!BI73,Vertex!BI138,Normal!BI8,Normal!BI73,Normal!BI138)*255)</f>
        <v>57</v>
      </c>
      <c r="BJ8" s="4">
        <f>INT(shadex('Shade - 1'!$D$9,'Shade - 1'!$E$9,'Shade - 1'!$F$9,'Shade - 1'!$D$7,Vertex!BJ8,Vertex!BJ73,Vertex!BJ138,Normal!BJ8,Normal!BJ73,Normal!BJ138)*255)</f>
        <v>61</v>
      </c>
      <c r="BK8" s="4">
        <f>INT(shadex('Shade - 1'!$D$9,'Shade - 1'!$E$9,'Shade - 1'!$F$9,'Shade - 1'!$D$7,Vertex!BK8,Vertex!BK73,Vertex!BK138,Normal!BK8,Normal!BK73,Normal!BK138)*255)</f>
        <v>75</v>
      </c>
      <c r="BL8" s="4">
        <f>INT(shadex('Shade - 1'!$D$9,'Shade - 1'!$E$9,'Shade - 1'!$F$9,'Shade - 1'!$D$7,Vertex!BL8,Vertex!BL73,Vertex!BL138,Normal!BL8,Normal!BL73,Normal!BL138)*255)</f>
        <v>82</v>
      </c>
    </row>
    <row r="9" spans="1:64" x14ac:dyDescent="0.25">
      <c r="A9">
        <f>INT(shadex('Shade - 1'!$D$9,'Shade - 1'!$E$9,'Shade - 1'!$F$9,'Shade - 1'!$D$7,Vertex!A9,Vertex!A74,Vertex!A139,Normal!A9,Normal!A74,Normal!A139)*255)</f>
        <v>65</v>
      </c>
      <c r="B9">
        <f>INT(shadex('Shade - 1'!$D$9,'Shade - 1'!$E$9,'Shade - 1'!$F$9,'Shade - 1'!$D$7,Vertex!B9,Vertex!B74,Vertex!B139,Normal!B9,Normal!B74,Normal!B139)*255)</f>
        <v>65</v>
      </c>
      <c r="C9">
        <f>INT(shadex('Shade - 1'!$D$9,'Shade - 1'!$E$9,'Shade - 1'!$F$9,'Shade - 1'!$D$7,Vertex!C9,Vertex!C74,Vertex!C139,Normal!C9,Normal!C74,Normal!C139)*255)</f>
        <v>63</v>
      </c>
      <c r="D9">
        <f>INT(shadex('Shade - 1'!$D$9,'Shade - 1'!$E$9,'Shade - 1'!$F$9,'Shade - 1'!$D$7,Vertex!D9,Vertex!D74,Vertex!D139,Normal!D9,Normal!D74,Normal!D139)*255)</f>
        <v>62</v>
      </c>
      <c r="E9">
        <f>INT(shadex('Shade - 1'!$D$9,'Shade - 1'!$E$9,'Shade - 1'!$F$9,'Shade - 1'!$D$7,Vertex!E9,Vertex!E74,Vertex!E139,Normal!E9,Normal!E74,Normal!E139)*255)</f>
        <v>79</v>
      </c>
      <c r="F9">
        <f>INT(shadex('Shade - 1'!$D$9,'Shade - 1'!$E$9,'Shade - 1'!$F$9,'Shade - 1'!$D$7,Vertex!F9,Vertex!F74,Vertex!F139,Normal!F9,Normal!F74,Normal!F139)*255)</f>
        <v>82</v>
      </c>
      <c r="G9">
        <f>INT(shadex('Shade - 1'!$D$9,'Shade - 1'!$E$9,'Shade - 1'!$F$9,'Shade - 1'!$D$7,Vertex!G9,Vertex!G74,Vertex!G139,Normal!G9,Normal!G74,Normal!G139)*255)</f>
        <v>90</v>
      </c>
      <c r="H9">
        <f>INT(shadex('Shade - 1'!$D$9,'Shade - 1'!$E$9,'Shade - 1'!$F$9,'Shade - 1'!$D$7,Vertex!H9,Vertex!H74,Vertex!H139,Normal!H9,Normal!H74,Normal!H139)*255)</f>
        <v>96</v>
      </c>
      <c r="I9">
        <f>INT(shadex('Shade - 1'!$D$9,'Shade - 1'!$E$9,'Shade - 1'!$F$9,'Shade - 1'!$D$7,Vertex!I9,Vertex!I74,Vertex!I139,Normal!I9,Normal!I74,Normal!I139)*255)</f>
        <v>96</v>
      </c>
      <c r="J9">
        <f>INT(shadex('Shade - 1'!$D$9,'Shade - 1'!$E$9,'Shade - 1'!$F$9,'Shade - 1'!$D$7,Vertex!J9,Vertex!J74,Vertex!J139,Normal!J9,Normal!J74,Normal!J139)*255)</f>
        <v>82</v>
      </c>
      <c r="K9">
        <f>INT(shadex('Shade - 1'!$D$9,'Shade - 1'!$E$9,'Shade - 1'!$F$9,'Shade - 1'!$D$7,Vertex!K9,Vertex!K74,Vertex!K139,Normal!K9,Normal!K74,Normal!K139)*255)</f>
        <v>69</v>
      </c>
      <c r="L9">
        <f>INT(shadex('Shade - 1'!$D$9,'Shade - 1'!$E$9,'Shade - 1'!$F$9,'Shade - 1'!$D$7,Vertex!L9,Vertex!L74,Vertex!L139,Normal!L9,Normal!L74,Normal!L139)*255)</f>
        <v>66</v>
      </c>
      <c r="M9">
        <f>INT(shadex('Shade - 1'!$D$9,'Shade - 1'!$E$9,'Shade - 1'!$F$9,'Shade - 1'!$D$7,Vertex!M9,Vertex!M74,Vertex!M139,Normal!M9,Normal!M74,Normal!M139)*255)</f>
        <v>70</v>
      </c>
      <c r="N9">
        <f>INT(shadex('Shade - 1'!$D$9,'Shade - 1'!$E$9,'Shade - 1'!$F$9,'Shade - 1'!$D$7,Vertex!N9,Vertex!N74,Vertex!N139,Normal!N9,Normal!N74,Normal!N139)*255)</f>
        <v>78</v>
      </c>
      <c r="O9">
        <f>INT(shadex('Shade - 1'!$D$9,'Shade - 1'!$E$9,'Shade - 1'!$F$9,'Shade - 1'!$D$7,Vertex!O9,Vertex!O74,Vertex!O139,Normal!O9,Normal!O74,Normal!O139)*255)</f>
        <v>93</v>
      </c>
      <c r="P9">
        <f>INT(shadex('Shade - 1'!$D$9,'Shade - 1'!$E$9,'Shade - 1'!$F$9,'Shade - 1'!$D$7,Vertex!P9,Vertex!P74,Vertex!P139,Normal!P9,Normal!P74,Normal!P139)*255)</f>
        <v>93</v>
      </c>
      <c r="Q9">
        <f>INT(shadex('Shade - 1'!$D$9,'Shade - 1'!$E$9,'Shade - 1'!$F$9,'Shade - 1'!$D$7,Vertex!Q9,Vertex!Q74,Vertex!Q139,Normal!Q9,Normal!Q74,Normal!Q139)*255)</f>
        <v>99</v>
      </c>
      <c r="R9">
        <f>INT(shadex('Shade - 1'!$D$9,'Shade - 1'!$E$9,'Shade - 1'!$F$9,'Shade - 1'!$D$7,Vertex!R9,Vertex!R74,Vertex!R139,Normal!R9,Normal!R74,Normal!R139)*255)</f>
        <v>95</v>
      </c>
      <c r="S9">
        <f>INT(shadex('Shade - 1'!$D$9,'Shade - 1'!$E$9,'Shade - 1'!$F$9,'Shade - 1'!$D$7,Vertex!S9,Vertex!S74,Vertex!S139,Normal!S9,Normal!S74,Normal!S139)*255)</f>
        <v>96</v>
      </c>
      <c r="T9">
        <f>INT(shadex('Shade - 1'!$D$9,'Shade - 1'!$E$9,'Shade - 1'!$F$9,'Shade - 1'!$D$7,Vertex!T9,Vertex!T74,Vertex!T139,Normal!T9,Normal!T74,Normal!T139)*255)</f>
        <v>93</v>
      </c>
      <c r="U9">
        <f>INT(shadex('Shade - 1'!$D$9,'Shade - 1'!$E$9,'Shade - 1'!$F$9,'Shade - 1'!$D$7,Vertex!U9,Vertex!U74,Vertex!U139,Normal!U9,Normal!U74,Normal!U139)*255)</f>
        <v>96</v>
      </c>
      <c r="V9">
        <f>INT(shadex('Shade - 1'!$D$9,'Shade - 1'!$E$9,'Shade - 1'!$F$9,'Shade - 1'!$D$7,Vertex!V9,Vertex!V74,Vertex!V139,Normal!V9,Normal!V74,Normal!V139)*255)</f>
        <v>82</v>
      </c>
      <c r="W9">
        <f>INT(shadex('Shade - 1'!$D$9,'Shade - 1'!$E$9,'Shade - 1'!$F$9,'Shade - 1'!$D$7,Vertex!W9,Vertex!W74,Vertex!W139,Normal!W9,Normal!W74,Normal!W139)*255)</f>
        <v>84</v>
      </c>
      <c r="X9">
        <f>INT(shadex('Shade - 1'!$D$9,'Shade - 1'!$E$9,'Shade - 1'!$F$9,'Shade - 1'!$D$7,Vertex!X9,Vertex!X74,Vertex!X139,Normal!X9,Normal!X74,Normal!X139)*255)</f>
        <v>91</v>
      </c>
      <c r="Y9">
        <f>INT(shadex('Shade - 1'!$D$9,'Shade - 1'!$E$9,'Shade - 1'!$F$9,'Shade - 1'!$D$7,Vertex!Y9,Vertex!Y74,Vertex!Y139,Normal!Y9,Normal!Y74,Normal!Y139)*255)</f>
        <v>82</v>
      </c>
      <c r="Z9">
        <f>INT(shadex('Shade - 1'!$D$9,'Shade - 1'!$E$9,'Shade - 1'!$F$9,'Shade - 1'!$D$7,Vertex!Z9,Vertex!Z74,Vertex!Z139,Normal!Z9,Normal!Z74,Normal!Z139)*255)</f>
        <v>49</v>
      </c>
      <c r="AA9">
        <f>INT(shadex('Shade - 1'!$D$9,'Shade - 1'!$E$9,'Shade - 1'!$F$9,'Shade - 1'!$D$7,Vertex!AA9,Vertex!AA74,Vertex!AA139,Normal!AA9,Normal!AA74,Normal!AA139)*255)</f>
        <v>52</v>
      </c>
      <c r="AB9">
        <f>INT(shadex('Shade - 1'!$D$9,'Shade - 1'!$E$9,'Shade - 1'!$F$9,'Shade - 1'!$D$7,Vertex!AB9,Vertex!AB74,Vertex!AB139,Normal!AB9,Normal!AB74,Normal!AB139)*255)</f>
        <v>62</v>
      </c>
      <c r="AC9">
        <f>INT(shadex('Shade - 1'!$D$9,'Shade - 1'!$E$9,'Shade - 1'!$F$9,'Shade - 1'!$D$7,Vertex!AC9,Vertex!AC74,Vertex!AC139,Normal!AC9,Normal!AC74,Normal!AC139)*255)</f>
        <v>79</v>
      </c>
      <c r="AD9">
        <f>INT(shadex('Shade - 1'!$D$9,'Shade - 1'!$E$9,'Shade - 1'!$F$9,'Shade - 1'!$D$7,Vertex!AD9,Vertex!AD74,Vertex!AD139,Normal!AD9,Normal!AD74,Normal!AD139)*255)</f>
        <v>79</v>
      </c>
      <c r="AE9">
        <f>INT(shadex('Shade - 1'!$D$9,'Shade - 1'!$E$9,'Shade - 1'!$F$9,'Shade - 1'!$D$7,Vertex!AE9,Vertex!AE74,Vertex!AE139,Normal!AE9,Normal!AE74,Normal!AE139)*255)</f>
        <v>79</v>
      </c>
      <c r="AF9">
        <f>INT(shadex('Shade - 1'!$D$9,'Shade - 1'!$E$9,'Shade - 1'!$F$9,'Shade - 1'!$D$7,Vertex!AF9,Vertex!AF74,Vertex!AF139,Normal!AF9,Normal!AF74,Normal!AF139)*255)</f>
        <v>91</v>
      </c>
      <c r="AG9">
        <f>INT(shadex('Shade - 1'!$D$9,'Shade - 1'!$E$9,'Shade - 1'!$F$9,'Shade - 1'!$D$7,Vertex!AG9,Vertex!AG74,Vertex!AG139,Normal!AG9,Normal!AG74,Normal!AG139)*255)</f>
        <v>95</v>
      </c>
      <c r="AH9">
        <f>INT(shadex('Shade - 1'!$D$9,'Shade - 1'!$E$9,'Shade - 1'!$F$9,'Shade - 1'!$D$7,Vertex!AH9,Vertex!AH74,Vertex!AH139,Normal!AH9,Normal!AH74,Normal!AH139)*255)</f>
        <v>94</v>
      </c>
      <c r="AI9" s="4">
        <f>INT(shadex('Shade - 1'!$D$9,'Shade - 1'!$E$9,'Shade - 1'!$F$9,'Shade - 1'!$D$7,Vertex!AI9,Vertex!AI74,Vertex!AI139,Normal!AI9,Normal!AI74,Normal!AI139)*255)</f>
        <v>94</v>
      </c>
      <c r="AJ9" s="4">
        <f>INT(shadex('Shade - 1'!$D$9,'Shade - 1'!$E$9,'Shade - 1'!$F$9,'Shade - 1'!$D$7,Vertex!AJ9,Vertex!AJ74,Vertex!AJ139,Normal!AJ9,Normal!AJ74,Normal!AJ139)*255)</f>
        <v>90</v>
      </c>
      <c r="AK9" s="4">
        <f>INT(shadex('Shade - 1'!$D$9,'Shade - 1'!$E$9,'Shade - 1'!$F$9,'Shade - 1'!$D$7,Vertex!AK9,Vertex!AK74,Vertex!AK139,Normal!AK9,Normal!AK74,Normal!AK139)*255)</f>
        <v>92</v>
      </c>
      <c r="AL9" s="4">
        <f>INT(shadex('Shade - 1'!$D$9,'Shade - 1'!$E$9,'Shade - 1'!$F$9,'Shade - 1'!$D$7,Vertex!AL9,Vertex!AL74,Vertex!AL139,Normal!AL9,Normal!AL74,Normal!AL139)*255)</f>
        <v>98</v>
      </c>
      <c r="AM9" s="4">
        <f>INT(shadex('Shade - 1'!$D$9,'Shade - 1'!$E$9,'Shade - 1'!$F$9,'Shade - 1'!$D$7,Vertex!AM9,Vertex!AM74,Vertex!AM139,Normal!AM9,Normal!AM74,Normal!AM139)*255)</f>
        <v>99</v>
      </c>
      <c r="AN9" s="4">
        <f>INT(shadex('Shade - 1'!$D$9,'Shade - 1'!$E$9,'Shade - 1'!$F$9,'Shade - 1'!$D$7,Vertex!AN9,Vertex!AN74,Vertex!AN139,Normal!AN9,Normal!AN74,Normal!AN139)*255)</f>
        <v>99</v>
      </c>
      <c r="AO9" s="4">
        <f>INT(shadex('Shade - 1'!$D$9,'Shade - 1'!$E$9,'Shade - 1'!$F$9,'Shade - 1'!$D$7,Vertex!AO9,Vertex!AO74,Vertex!AO139,Normal!AO9,Normal!AO74,Normal!AO139)*255)</f>
        <v>96</v>
      </c>
      <c r="AP9" s="4">
        <f>INT(shadex('Shade - 1'!$D$9,'Shade - 1'!$E$9,'Shade - 1'!$F$9,'Shade - 1'!$D$7,Vertex!AP9,Vertex!AP74,Vertex!AP139,Normal!AP9,Normal!AP74,Normal!AP139)*255)</f>
        <v>97</v>
      </c>
      <c r="AQ9" s="4">
        <f>INT(shadex('Shade - 1'!$D$9,'Shade - 1'!$E$9,'Shade - 1'!$F$9,'Shade - 1'!$D$7,Vertex!AQ9,Vertex!AQ74,Vertex!AQ139,Normal!AQ9,Normal!AQ74,Normal!AQ139)*255)</f>
        <v>96</v>
      </c>
      <c r="AR9" s="4">
        <f>INT(shadex('Shade - 1'!$D$9,'Shade - 1'!$E$9,'Shade - 1'!$F$9,'Shade - 1'!$D$7,Vertex!AR9,Vertex!AR74,Vertex!AR139,Normal!AR9,Normal!AR74,Normal!AR139)*255)</f>
        <v>74</v>
      </c>
      <c r="AS9" s="4">
        <f>INT(shadex('Shade - 1'!$D$9,'Shade - 1'!$E$9,'Shade - 1'!$F$9,'Shade - 1'!$D$7,Vertex!AS9,Vertex!AS74,Vertex!AS139,Normal!AS9,Normal!AS74,Normal!AS139)*255)</f>
        <v>88</v>
      </c>
      <c r="AT9" s="4">
        <f>INT(shadex('Shade - 1'!$D$9,'Shade - 1'!$E$9,'Shade - 1'!$F$9,'Shade - 1'!$D$7,Vertex!AT9,Vertex!AT74,Vertex!AT139,Normal!AT9,Normal!AT74,Normal!AT139)*255)</f>
        <v>88</v>
      </c>
      <c r="AU9" s="4">
        <f>INT(shadex('Shade - 1'!$D$9,'Shade - 1'!$E$9,'Shade - 1'!$F$9,'Shade - 1'!$D$7,Vertex!AU9,Vertex!AU74,Vertex!AU139,Normal!AU9,Normal!AU74,Normal!AU139)*255)</f>
        <v>88</v>
      </c>
      <c r="AV9" s="4">
        <f>INT(shadex('Shade - 1'!$D$9,'Shade - 1'!$E$9,'Shade - 1'!$F$9,'Shade - 1'!$D$7,Vertex!AV9,Vertex!AV74,Vertex!AV139,Normal!AV9,Normal!AV74,Normal!AV139)*255)</f>
        <v>87</v>
      </c>
      <c r="AW9" s="4">
        <f>INT(shadex('Shade - 1'!$D$9,'Shade - 1'!$E$9,'Shade - 1'!$F$9,'Shade - 1'!$D$7,Vertex!AW9,Vertex!AW74,Vertex!AW139,Normal!AW9,Normal!AW74,Normal!AW139)*255)</f>
        <v>88</v>
      </c>
      <c r="AX9" s="4">
        <f>INT(shadex('Shade - 1'!$D$9,'Shade - 1'!$E$9,'Shade - 1'!$F$9,'Shade - 1'!$D$7,Vertex!AX9,Vertex!AX74,Vertex!AX139,Normal!AX9,Normal!AX74,Normal!AX139)*255)</f>
        <v>40</v>
      </c>
      <c r="AY9" s="4">
        <f>INT(shadex('Shade - 1'!$D$9,'Shade - 1'!$E$9,'Shade - 1'!$F$9,'Shade - 1'!$D$7,Vertex!AY9,Vertex!AY74,Vertex!AY139,Normal!AY9,Normal!AY74,Normal!AY139)*255)</f>
        <v>29</v>
      </c>
      <c r="AZ9" s="4">
        <f>INT(shadex('Shade - 1'!$D$9,'Shade - 1'!$E$9,'Shade - 1'!$F$9,'Shade - 1'!$D$7,Vertex!AZ9,Vertex!AZ74,Vertex!AZ139,Normal!AZ9,Normal!AZ74,Normal!AZ139)*255)</f>
        <v>28</v>
      </c>
      <c r="BA9" s="4">
        <f>INT(shadex('Shade - 1'!$D$9,'Shade - 1'!$E$9,'Shade - 1'!$F$9,'Shade - 1'!$D$7,Vertex!BA9,Vertex!BA74,Vertex!BA139,Normal!BA9,Normal!BA74,Normal!BA139)*255)</f>
        <v>59</v>
      </c>
      <c r="BB9" s="4">
        <f>INT(shadex('Shade - 1'!$D$9,'Shade - 1'!$E$9,'Shade - 1'!$F$9,'Shade - 1'!$D$7,Vertex!BB9,Vertex!BB74,Vertex!BB139,Normal!BB9,Normal!BB74,Normal!BB139)*255)</f>
        <v>67</v>
      </c>
      <c r="BC9" s="4">
        <f>INT(shadex('Shade - 1'!$D$9,'Shade - 1'!$E$9,'Shade - 1'!$F$9,'Shade - 1'!$D$7,Vertex!BC9,Vertex!BC74,Vertex!BC139,Normal!BC9,Normal!BC74,Normal!BC139)*255)</f>
        <v>59</v>
      </c>
      <c r="BD9" s="4">
        <f>INT(shadex('Shade - 1'!$D$9,'Shade - 1'!$E$9,'Shade - 1'!$F$9,'Shade - 1'!$D$7,Vertex!BD9,Vertex!BD74,Vertex!BD139,Normal!BD9,Normal!BD74,Normal!BD139)*255)</f>
        <v>50</v>
      </c>
      <c r="BE9" s="4">
        <f>INT(shadex('Shade - 1'!$D$9,'Shade - 1'!$E$9,'Shade - 1'!$F$9,'Shade - 1'!$D$7,Vertex!BE9,Vertex!BE74,Vertex!BE139,Normal!BE9,Normal!BE74,Normal!BE139)*255)</f>
        <v>57</v>
      </c>
      <c r="BF9" s="4">
        <f>INT(shadex('Shade - 1'!$D$9,'Shade - 1'!$E$9,'Shade - 1'!$F$9,'Shade - 1'!$D$7,Vertex!BF9,Vertex!BF74,Vertex!BF139,Normal!BF9,Normal!BF74,Normal!BF139)*255)</f>
        <v>70</v>
      </c>
      <c r="BG9" s="4">
        <f>INT(shadex('Shade - 1'!$D$9,'Shade - 1'!$E$9,'Shade - 1'!$F$9,'Shade - 1'!$D$7,Vertex!BG9,Vertex!BG74,Vertex!BG139,Normal!BG9,Normal!BG74,Normal!BG139)*255)</f>
        <v>74</v>
      </c>
      <c r="BH9" s="4">
        <f>INT(shadex('Shade - 1'!$D$9,'Shade - 1'!$E$9,'Shade - 1'!$F$9,'Shade - 1'!$D$7,Vertex!BH9,Vertex!BH74,Vertex!BH139,Normal!BH9,Normal!BH74,Normal!BH139)*255)</f>
        <v>71</v>
      </c>
      <c r="BI9" s="4">
        <f>INT(shadex('Shade - 1'!$D$9,'Shade - 1'!$E$9,'Shade - 1'!$F$9,'Shade - 1'!$D$7,Vertex!BI9,Vertex!BI74,Vertex!BI139,Normal!BI9,Normal!BI74,Normal!BI139)*255)</f>
        <v>59</v>
      </c>
      <c r="BJ9" s="4">
        <f>INT(shadex('Shade - 1'!$D$9,'Shade - 1'!$E$9,'Shade - 1'!$F$9,'Shade - 1'!$D$7,Vertex!BJ9,Vertex!BJ74,Vertex!BJ139,Normal!BJ9,Normal!BJ74,Normal!BJ139)*255)</f>
        <v>60</v>
      </c>
      <c r="BK9" s="4">
        <f>INT(shadex('Shade - 1'!$D$9,'Shade - 1'!$E$9,'Shade - 1'!$F$9,'Shade - 1'!$D$7,Vertex!BK9,Vertex!BK74,Vertex!BK139,Normal!BK9,Normal!BK74,Normal!BK139)*255)</f>
        <v>76</v>
      </c>
      <c r="BL9" s="4">
        <f>INT(shadex('Shade - 1'!$D$9,'Shade - 1'!$E$9,'Shade - 1'!$F$9,'Shade - 1'!$D$7,Vertex!BL9,Vertex!BL74,Vertex!BL139,Normal!BL9,Normal!BL74,Normal!BL139)*255)</f>
        <v>87</v>
      </c>
    </row>
    <row r="10" spans="1:64" x14ac:dyDescent="0.25">
      <c r="A10">
        <f>INT(shadex('Shade - 1'!$D$9,'Shade - 1'!$E$9,'Shade - 1'!$F$9,'Shade - 1'!$D$7,Vertex!A10,Vertex!A75,Vertex!A140,Normal!A10,Normal!A75,Normal!A140)*255)</f>
        <v>72</v>
      </c>
      <c r="B10">
        <f>INT(shadex('Shade - 1'!$D$9,'Shade - 1'!$E$9,'Shade - 1'!$F$9,'Shade - 1'!$D$7,Vertex!B10,Vertex!B75,Vertex!B140,Normal!B10,Normal!B75,Normal!B140)*255)</f>
        <v>69</v>
      </c>
      <c r="C10">
        <f>INT(shadex('Shade - 1'!$D$9,'Shade - 1'!$E$9,'Shade - 1'!$F$9,'Shade - 1'!$D$7,Vertex!C10,Vertex!C75,Vertex!C140,Normal!C10,Normal!C75,Normal!C140)*255)</f>
        <v>64</v>
      </c>
      <c r="D10">
        <f>INT(shadex('Shade - 1'!$D$9,'Shade - 1'!$E$9,'Shade - 1'!$F$9,'Shade - 1'!$D$7,Vertex!D10,Vertex!D75,Vertex!D140,Normal!D10,Normal!D75,Normal!D140)*255)</f>
        <v>67</v>
      </c>
      <c r="E10">
        <f>INT(shadex('Shade - 1'!$D$9,'Shade - 1'!$E$9,'Shade - 1'!$F$9,'Shade - 1'!$D$7,Vertex!E10,Vertex!E75,Vertex!E140,Normal!E10,Normal!E75,Normal!E140)*255)</f>
        <v>80</v>
      </c>
      <c r="F10">
        <f>INT(shadex('Shade - 1'!$D$9,'Shade - 1'!$E$9,'Shade - 1'!$F$9,'Shade - 1'!$D$7,Vertex!F10,Vertex!F75,Vertex!F140,Normal!F10,Normal!F75,Normal!F140)*255)</f>
        <v>88</v>
      </c>
      <c r="G10">
        <f>INT(shadex('Shade - 1'!$D$9,'Shade - 1'!$E$9,'Shade - 1'!$F$9,'Shade - 1'!$D$7,Vertex!G10,Vertex!G75,Vertex!G140,Normal!G10,Normal!G75,Normal!G140)*255)</f>
        <v>96</v>
      </c>
      <c r="H10">
        <f>INT(shadex('Shade - 1'!$D$9,'Shade - 1'!$E$9,'Shade - 1'!$F$9,'Shade - 1'!$D$7,Vertex!H10,Vertex!H75,Vertex!H140,Normal!H10,Normal!H75,Normal!H140)*255)</f>
        <v>98</v>
      </c>
      <c r="I10">
        <f>INT(shadex('Shade - 1'!$D$9,'Shade - 1'!$E$9,'Shade - 1'!$F$9,'Shade - 1'!$D$7,Vertex!I10,Vertex!I75,Vertex!I140,Normal!I10,Normal!I75,Normal!I140)*255)</f>
        <v>91</v>
      </c>
      <c r="J10">
        <f>INT(shadex('Shade - 1'!$D$9,'Shade - 1'!$E$9,'Shade - 1'!$F$9,'Shade - 1'!$D$7,Vertex!J10,Vertex!J75,Vertex!J140,Normal!J10,Normal!J75,Normal!J140)*255)</f>
        <v>87</v>
      </c>
      <c r="K10">
        <f>INT(shadex('Shade - 1'!$D$9,'Shade - 1'!$E$9,'Shade - 1'!$F$9,'Shade - 1'!$D$7,Vertex!K10,Vertex!K75,Vertex!K140,Normal!K10,Normal!K75,Normal!K140)*255)</f>
        <v>72</v>
      </c>
      <c r="L10">
        <f>INT(shadex('Shade - 1'!$D$9,'Shade - 1'!$E$9,'Shade - 1'!$F$9,'Shade - 1'!$D$7,Vertex!L10,Vertex!L75,Vertex!L140,Normal!L10,Normal!L75,Normal!L140)*255)</f>
        <v>72</v>
      </c>
      <c r="M10">
        <f>INT(shadex('Shade - 1'!$D$9,'Shade - 1'!$E$9,'Shade - 1'!$F$9,'Shade - 1'!$D$7,Vertex!M10,Vertex!M75,Vertex!M140,Normal!M10,Normal!M75,Normal!M140)*255)</f>
        <v>66</v>
      </c>
      <c r="N10">
        <f>INT(shadex('Shade - 1'!$D$9,'Shade - 1'!$E$9,'Shade - 1'!$F$9,'Shade - 1'!$D$7,Vertex!N10,Vertex!N75,Vertex!N140,Normal!N10,Normal!N75,Normal!N140)*255)</f>
        <v>66</v>
      </c>
      <c r="O10">
        <f>INT(shadex('Shade - 1'!$D$9,'Shade - 1'!$E$9,'Shade - 1'!$F$9,'Shade - 1'!$D$7,Vertex!O10,Vertex!O75,Vertex!O140,Normal!O10,Normal!O75,Normal!O140)*255)</f>
        <v>82</v>
      </c>
      <c r="P10">
        <f>INT(shadex('Shade - 1'!$D$9,'Shade - 1'!$E$9,'Shade - 1'!$F$9,'Shade - 1'!$D$7,Vertex!P10,Vertex!P75,Vertex!P140,Normal!P10,Normal!P75,Normal!P140)*255)</f>
        <v>87</v>
      </c>
      <c r="Q10">
        <f>INT(shadex('Shade - 1'!$D$9,'Shade - 1'!$E$9,'Shade - 1'!$F$9,'Shade - 1'!$D$7,Vertex!Q10,Vertex!Q75,Vertex!Q140,Normal!Q10,Normal!Q75,Normal!Q140)*255)</f>
        <v>91</v>
      </c>
      <c r="R10">
        <f>INT(shadex('Shade - 1'!$D$9,'Shade - 1'!$E$9,'Shade - 1'!$F$9,'Shade - 1'!$D$7,Vertex!R10,Vertex!R75,Vertex!R140,Normal!R10,Normal!R75,Normal!R140)*255)</f>
        <v>92</v>
      </c>
      <c r="S10">
        <f>INT(shadex('Shade - 1'!$D$9,'Shade - 1'!$E$9,'Shade - 1'!$F$9,'Shade - 1'!$D$7,Vertex!S10,Vertex!S75,Vertex!S140,Normal!S10,Normal!S75,Normal!S140)*255)</f>
        <v>96</v>
      </c>
      <c r="T10">
        <f>INT(shadex('Shade - 1'!$D$9,'Shade - 1'!$E$9,'Shade - 1'!$F$9,'Shade - 1'!$D$7,Vertex!T10,Vertex!T75,Vertex!T140,Normal!T10,Normal!T75,Normal!T140)*255)</f>
        <v>97</v>
      </c>
      <c r="U10">
        <f>INT(shadex('Shade - 1'!$D$9,'Shade - 1'!$E$9,'Shade - 1'!$F$9,'Shade - 1'!$D$7,Vertex!U10,Vertex!U75,Vertex!U140,Normal!U10,Normal!U75,Normal!U140)*255)</f>
        <v>94</v>
      </c>
      <c r="V10">
        <f>INT(shadex('Shade - 1'!$D$9,'Shade - 1'!$E$9,'Shade - 1'!$F$9,'Shade - 1'!$D$7,Vertex!V10,Vertex!V75,Vertex!V140,Normal!V10,Normal!V75,Normal!V140)*255)</f>
        <v>90</v>
      </c>
      <c r="W10">
        <f>INT(shadex('Shade - 1'!$D$9,'Shade - 1'!$E$9,'Shade - 1'!$F$9,'Shade - 1'!$D$7,Vertex!W10,Vertex!W75,Vertex!W140,Normal!W10,Normal!W75,Normal!W140)*255)</f>
        <v>87</v>
      </c>
      <c r="X10">
        <f>INT(shadex('Shade - 1'!$D$9,'Shade - 1'!$E$9,'Shade - 1'!$F$9,'Shade - 1'!$D$7,Vertex!X10,Vertex!X75,Vertex!X140,Normal!X10,Normal!X75,Normal!X140)*255)</f>
        <v>81</v>
      </c>
      <c r="Y10">
        <f>INT(shadex('Shade - 1'!$D$9,'Shade - 1'!$E$9,'Shade - 1'!$F$9,'Shade - 1'!$D$7,Vertex!Y10,Vertex!Y75,Vertex!Y140,Normal!Y10,Normal!Y75,Normal!Y140)*255)</f>
        <v>68</v>
      </c>
      <c r="Z10">
        <f>INT(shadex('Shade - 1'!$D$9,'Shade - 1'!$E$9,'Shade - 1'!$F$9,'Shade - 1'!$D$7,Vertex!Z10,Vertex!Z75,Vertex!Z140,Normal!Z10,Normal!Z75,Normal!Z140)*255)</f>
        <v>49</v>
      </c>
      <c r="AA10">
        <f>INT(shadex('Shade - 1'!$D$9,'Shade - 1'!$E$9,'Shade - 1'!$F$9,'Shade - 1'!$D$7,Vertex!AA10,Vertex!AA75,Vertex!AA140,Normal!AA10,Normal!AA75,Normal!AA140)*255)</f>
        <v>53</v>
      </c>
      <c r="AB10">
        <f>INT(shadex('Shade - 1'!$D$9,'Shade - 1'!$E$9,'Shade - 1'!$F$9,'Shade - 1'!$D$7,Vertex!AB10,Vertex!AB75,Vertex!AB140,Normal!AB10,Normal!AB75,Normal!AB140)*255)</f>
        <v>78</v>
      </c>
      <c r="AC10">
        <f>INT(shadex('Shade - 1'!$D$9,'Shade - 1'!$E$9,'Shade - 1'!$F$9,'Shade - 1'!$D$7,Vertex!AC10,Vertex!AC75,Vertex!AC140,Normal!AC10,Normal!AC75,Normal!AC140)*255)</f>
        <v>91</v>
      </c>
      <c r="AD10">
        <f>INT(shadex('Shade - 1'!$D$9,'Shade - 1'!$E$9,'Shade - 1'!$F$9,'Shade - 1'!$D$7,Vertex!AD10,Vertex!AD75,Vertex!AD140,Normal!AD10,Normal!AD75,Normal!AD140)*255)</f>
        <v>91</v>
      </c>
      <c r="AE10">
        <f>INT(shadex('Shade - 1'!$D$9,'Shade - 1'!$E$9,'Shade - 1'!$F$9,'Shade - 1'!$D$7,Vertex!AE10,Vertex!AE75,Vertex!AE140,Normal!AE10,Normal!AE75,Normal!AE140)*255)</f>
        <v>87</v>
      </c>
      <c r="AF10">
        <f>INT(shadex('Shade - 1'!$D$9,'Shade - 1'!$E$9,'Shade - 1'!$F$9,'Shade - 1'!$D$7,Vertex!AF10,Vertex!AF75,Vertex!AF140,Normal!AF10,Normal!AF75,Normal!AF140)*255)</f>
        <v>94</v>
      </c>
      <c r="AG10">
        <f>INT(shadex('Shade - 1'!$D$9,'Shade - 1'!$E$9,'Shade - 1'!$F$9,'Shade - 1'!$D$7,Vertex!AG10,Vertex!AG75,Vertex!AG140,Normal!AG10,Normal!AG75,Normal!AG140)*255)</f>
        <v>97</v>
      </c>
      <c r="AH10">
        <f>INT(shadex('Shade - 1'!$D$9,'Shade - 1'!$E$9,'Shade - 1'!$F$9,'Shade - 1'!$D$7,Vertex!AH10,Vertex!AH75,Vertex!AH140,Normal!AH10,Normal!AH75,Normal!AH140)*255)</f>
        <v>91</v>
      </c>
      <c r="AI10" s="4">
        <f>INT(shadex('Shade - 1'!$D$9,'Shade - 1'!$E$9,'Shade - 1'!$F$9,'Shade - 1'!$D$7,Vertex!AI10,Vertex!AI75,Vertex!AI140,Normal!AI10,Normal!AI75,Normal!AI140)*255)</f>
        <v>87</v>
      </c>
      <c r="AJ10" s="4">
        <f>INT(shadex('Shade - 1'!$D$9,'Shade - 1'!$E$9,'Shade - 1'!$F$9,'Shade - 1'!$D$7,Vertex!AJ10,Vertex!AJ75,Vertex!AJ140,Normal!AJ10,Normal!AJ75,Normal!AJ140)*255)</f>
        <v>86</v>
      </c>
      <c r="AK10" s="4">
        <f>INT(shadex('Shade - 1'!$D$9,'Shade - 1'!$E$9,'Shade - 1'!$F$9,'Shade - 1'!$D$7,Vertex!AK10,Vertex!AK75,Vertex!AK140,Normal!AK10,Normal!AK75,Normal!AK140)*255)</f>
        <v>98</v>
      </c>
      <c r="AL10" s="4">
        <f>INT(shadex('Shade - 1'!$D$9,'Shade - 1'!$E$9,'Shade - 1'!$F$9,'Shade - 1'!$D$7,Vertex!AL10,Vertex!AL75,Vertex!AL140,Normal!AL10,Normal!AL75,Normal!AL140)*255)</f>
        <v>98</v>
      </c>
      <c r="AM10" s="4">
        <f>INT(shadex('Shade - 1'!$D$9,'Shade - 1'!$E$9,'Shade - 1'!$F$9,'Shade - 1'!$D$7,Vertex!AM10,Vertex!AM75,Vertex!AM140,Normal!AM10,Normal!AM75,Normal!AM140)*255)</f>
        <v>99</v>
      </c>
      <c r="AN10" s="4">
        <f>INT(shadex('Shade - 1'!$D$9,'Shade - 1'!$E$9,'Shade - 1'!$F$9,'Shade - 1'!$D$7,Vertex!AN10,Vertex!AN75,Vertex!AN140,Normal!AN10,Normal!AN75,Normal!AN140)*255)</f>
        <v>95</v>
      </c>
      <c r="AO10" s="4">
        <f>INT(shadex('Shade - 1'!$D$9,'Shade - 1'!$E$9,'Shade - 1'!$F$9,'Shade - 1'!$D$7,Vertex!AO10,Vertex!AO75,Vertex!AO140,Normal!AO10,Normal!AO75,Normal!AO140)*255)</f>
        <v>93</v>
      </c>
      <c r="AP10" s="4">
        <f>INT(shadex('Shade - 1'!$D$9,'Shade - 1'!$E$9,'Shade - 1'!$F$9,'Shade - 1'!$D$7,Vertex!AP10,Vertex!AP75,Vertex!AP140,Normal!AP10,Normal!AP75,Normal!AP140)*255)</f>
        <v>95</v>
      </c>
      <c r="AQ10" s="4">
        <f>INT(shadex('Shade - 1'!$D$9,'Shade - 1'!$E$9,'Shade - 1'!$F$9,'Shade - 1'!$D$7,Vertex!AQ10,Vertex!AQ75,Vertex!AQ140,Normal!AQ10,Normal!AQ75,Normal!AQ140)*255)</f>
        <v>95</v>
      </c>
      <c r="AR10" s="4">
        <f>INT(shadex('Shade - 1'!$D$9,'Shade - 1'!$E$9,'Shade - 1'!$F$9,'Shade - 1'!$D$7,Vertex!AR10,Vertex!AR75,Vertex!AR140,Normal!AR10,Normal!AR75,Normal!AR140)*255)</f>
        <v>79</v>
      </c>
      <c r="AS10" s="4">
        <f>INT(shadex('Shade - 1'!$D$9,'Shade - 1'!$E$9,'Shade - 1'!$F$9,'Shade - 1'!$D$7,Vertex!AS10,Vertex!AS75,Vertex!AS140,Normal!AS10,Normal!AS75,Normal!AS140)*255)</f>
        <v>72</v>
      </c>
      <c r="AT10" s="4">
        <f>INT(shadex('Shade - 1'!$D$9,'Shade - 1'!$E$9,'Shade - 1'!$F$9,'Shade - 1'!$D$7,Vertex!AT10,Vertex!AT75,Vertex!AT140,Normal!AT10,Normal!AT75,Normal!AT140)*255)</f>
        <v>82</v>
      </c>
      <c r="AU10" s="4">
        <f>INT(shadex('Shade - 1'!$D$9,'Shade - 1'!$E$9,'Shade - 1'!$F$9,'Shade - 1'!$D$7,Vertex!AU10,Vertex!AU75,Vertex!AU140,Normal!AU10,Normal!AU75,Normal!AU140)*255)</f>
        <v>90</v>
      </c>
      <c r="AV10" s="4">
        <f>INT(shadex('Shade - 1'!$D$9,'Shade - 1'!$E$9,'Shade - 1'!$F$9,'Shade - 1'!$D$7,Vertex!AV10,Vertex!AV75,Vertex!AV140,Normal!AV10,Normal!AV75,Normal!AV140)*255)</f>
        <v>92</v>
      </c>
      <c r="AW10" s="4">
        <f>INT(shadex('Shade - 1'!$D$9,'Shade - 1'!$E$9,'Shade - 1'!$F$9,'Shade - 1'!$D$7,Vertex!AW10,Vertex!AW75,Vertex!AW140,Normal!AW10,Normal!AW75,Normal!AW140)*255)</f>
        <v>100</v>
      </c>
      <c r="AX10" s="4">
        <f>INT(shadex('Shade - 1'!$D$9,'Shade - 1'!$E$9,'Shade - 1'!$F$9,'Shade - 1'!$D$7,Vertex!AX10,Vertex!AX75,Vertex!AX140,Normal!AX10,Normal!AX75,Normal!AX140)*255)</f>
        <v>60</v>
      </c>
      <c r="AY10" s="4">
        <f>INT(shadex('Shade - 1'!$D$9,'Shade - 1'!$E$9,'Shade - 1'!$F$9,'Shade - 1'!$D$7,Vertex!AY10,Vertex!AY75,Vertex!AY140,Normal!AY10,Normal!AY75,Normal!AY140)*255)</f>
        <v>50</v>
      </c>
      <c r="AZ10" s="4">
        <f>INT(shadex('Shade - 1'!$D$9,'Shade - 1'!$E$9,'Shade - 1'!$F$9,'Shade - 1'!$D$7,Vertex!AZ10,Vertex!AZ75,Vertex!AZ140,Normal!AZ10,Normal!AZ75,Normal!AZ140)*255)</f>
        <v>43</v>
      </c>
      <c r="BA10" s="4">
        <f>INT(shadex('Shade - 1'!$D$9,'Shade - 1'!$E$9,'Shade - 1'!$F$9,'Shade - 1'!$D$7,Vertex!BA10,Vertex!BA75,Vertex!BA140,Normal!BA10,Normal!BA75,Normal!BA140)*255)</f>
        <v>58</v>
      </c>
      <c r="BB10" s="4">
        <f>INT(shadex('Shade - 1'!$D$9,'Shade - 1'!$E$9,'Shade - 1'!$F$9,'Shade - 1'!$D$7,Vertex!BB10,Vertex!BB75,Vertex!BB140,Normal!BB10,Normal!BB75,Normal!BB140)*255)</f>
        <v>64</v>
      </c>
      <c r="BC10" s="4">
        <f>INT(shadex('Shade - 1'!$D$9,'Shade - 1'!$E$9,'Shade - 1'!$F$9,'Shade - 1'!$D$7,Vertex!BC10,Vertex!BC75,Vertex!BC140,Normal!BC10,Normal!BC75,Normal!BC140)*255)</f>
        <v>63</v>
      </c>
      <c r="BD10" s="4">
        <f>INT(shadex('Shade - 1'!$D$9,'Shade - 1'!$E$9,'Shade - 1'!$F$9,'Shade - 1'!$D$7,Vertex!BD10,Vertex!BD75,Vertex!BD140,Normal!BD10,Normal!BD75,Normal!BD140)*255)</f>
        <v>61</v>
      </c>
      <c r="BE10" s="4">
        <f>INT(shadex('Shade - 1'!$D$9,'Shade - 1'!$E$9,'Shade - 1'!$F$9,'Shade - 1'!$D$7,Vertex!BE10,Vertex!BE75,Vertex!BE140,Normal!BE10,Normal!BE75,Normal!BE140)*255)</f>
        <v>52</v>
      </c>
      <c r="BF10" s="4">
        <f>INT(shadex('Shade - 1'!$D$9,'Shade - 1'!$E$9,'Shade - 1'!$F$9,'Shade - 1'!$D$7,Vertex!BF10,Vertex!BF75,Vertex!BF140,Normal!BF10,Normal!BF75,Normal!BF140)*255)</f>
        <v>58</v>
      </c>
      <c r="BG10" s="4">
        <f>INT(shadex('Shade - 1'!$D$9,'Shade - 1'!$E$9,'Shade - 1'!$F$9,'Shade - 1'!$D$7,Vertex!BG10,Vertex!BG75,Vertex!BG140,Normal!BG10,Normal!BG75,Normal!BG140)*255)</f>
        <v>68</v>
      </c>
      <c r="BH10" s="4">
        <f>INT(shadex('Shade - 1'!$D$9,'Shade - 1'!$E$9,'Shade - 1'!$F$9,'Shade - 1'!$D$7,Vertex!BH10,Vertex!BH75,Vertex!BH140,Normal!BH10,Normal!BH75,Normal!BH140)*255)</f>
        <v>79</v>
      </c>
      <c r="BI10" s="4">
        <f>INT(shadex('Shade - 1'!$D$9,'Shade - 1'!$E$9,'Shade - 1'!$F$9,'Shade - 1'!$D$7,Vertex!BI10,Vertex!BI75,Vertex!BI140,Normal!BI10,Normal!BI75,Normal!BI140)*255)</f>
        <v>75</v>
      </c>
      <c r="BJ10" s="4">
        <f>INT(shadex('Shade - 1'!$D$9,'Shade - 1'!$E$9,'Shade - 1'!$F$9,'Shade - 1'!$D$7,Vertex!BJ10,Vertex!BJ75,Vertex!BJ140,Normal!BJ10,Normal!BJ75,Normal!BJ140)*255)</f>
        <v>70</v>
      </c>
      <c r="BK10" s="4">
        <f>INT(shadex('Shade - 1'!$D$9,'Shade - 1'!$E$9,'Shade - 1'!$F$9,'Shade - 1'!$D$7,Vertex!BK10,Vertex!BK75,Vertex!BK140,Normal!BK10,Normal!BK75,Normal!BK140)*255)</f>
        <v>79</v>
      </c>
      <c r="BL10" s="4">
        <f>INT(shadex('Shade - 1'!$D$9,'Shade - 1'!$E$9,'Shade - 1'!$F$9,'Shade - 1'!$D$7,Vertex!BL10,Vertex!BL75,Vertex!BL140,Normal!BL10,Normal!BL75,Normal!BL140)*255)</f>
        <v>89</v>
      </c>
    </row>
    <row r="11" spans="1:64" s="1" customFormat="1" x14ac:dyDescent="0.25">
      <c r="A11">
        <f>INT(shadex('Shade - 1'!$D$9,'Shade - 1'!$E$9,'Shade - 1'!$F$9,'Shade - 1'!$D$7,Vertex!A11,Vertex!A76,Vertex!A141,Normal!A11,Normal!A76,Normal!A141)*255)</f>
        <v>91</v>
      </c>
      <c r="B11">
        <f>INT(shadex('Shade - 1'!$D$9,'Shade - 1'!$E$9,'Shade - 1'!$F$9,'Shade - 1'!$D$7,Vertex!B11,Vertex!B76,Vertex!B141,Normal!B11,Normal!B76,Normal!B141)*255)</f>
        <v>88</v>
      </c>
      <c r="C11">
        <f>INT(shadex('Shade - 1'!$D$9,'Shade - 1'!$E$9,'Shade - 1'!$F$9,'Shade - 1'!$D$7,Vertex!C11,Vertex!C76,Vertex!C141,Normal!C11,Normal!C76,Normal!C141)*255)</f>
        <v>75</v>
      </c>
      <c r="D11">
        <f>INT(shadex('Shade - 1'!$D$9,'Shade - 1'!$E$9,'Shade - 1'!$F$9,'Shade - 1'!$D$7,Vertex!D11,Vertex!D76,Vertex!D141,Normal!D11,Normal!D76,Normal!D141)*255)</f>
        <v>70</v>
      </c>
      <c r="E11">
        <f>INT(shadex('Shade - 1'!$D$9,'Shade - 1'!$E$9,'Shade - 1'!$F$9,'Shade - 1'!$D$7,Vertex!E11,Vertex!E76,Vertex!E141,Normal!E11,Normal!E76,Normal!E141)*255)</f>
        <v>81</v>
      </c>
      <c r="F11">
        <f>INT(shadex('Shade - 1'!$D$9,'Shade - 1'!$E$9,'Shade - 1'!$F$9,'Shade - 1'!$D$7,Vertex!F11,Vertex!F76,Vertex!F141,Normal!F11,Normal!F76,Normal!F141)*255)</f>
        <v>93</v>
      </c>
      <c r="G11">
        <f>INT(shadex('Shade - 1'!$D$9,'Shade - 1'!$E$9,'Shade - 1'!$F$9,'Shade - 1'!$D$7,Vertex!G11,Vertex!G76,Vertex!G141,Normal!G11,Normal!G76,Normal!G141)*255)</f>
        <v>100</v>
      </c>
      <c r="H11">
        <f>INT(shadex('Shade - 1'!$D$9,'Shade - 1'!$E$9,'Shade - 1'!$F$9,'Shade - 1'!$D$7,Vertex!H11,Vertex!H76,Vertex!H141,Normal!H11,Normal!H76,Normal!H141)*255)</f>
        <v>92</v>
      </c>
      <c r="I11">
        <f>INT(shadex('Shade - 1'!$D$9,'Shade - 1'!$E$9,'Shade - 1'!$F$9,'Shade - 1'!$D$7,Vertex!I11,Vertex!I76,Vertex!I141,Normal!I11,Normal!I76,Normal!I141)*255)</f>
        <v>89</v>
      </c>
      <c r="J11">
        <f>INT(shadex('Shade - 1'!$D$9,'Shade - 1'!$E$9,'Shade - 1'!$F$9,'Shade - 1'!$D$7,Vertex!J11,Vertex!J76,Vertex!J141,Normal!J11,Normal!J76,Normal!J141)*255)</f>
        <v>89</v>
      </c>
      <c r="K11">
        <f>INT(shadex('Shade - 1'!$D$9,'Shade - 1'!$E$9,'Shade - 1'!$F$9,'Shade - 1'!$D$7,Vertex!K11,Vertex!K76,Vertex!K141,Normal!K11,Normal!K76,Normal!K141)*255)</f>
        <v>85</v>
      </c>
      <c r="L11">
        <f>INT(shadex('Shade - 1'!$D$9,'Shade - 1'!$E$9,'Shade - 1'!$F$9,'Shade - 1'!$D$7,Vertex!L11,Vertex!L76,Vertex!L141,Normal!L11,Normal!L76,Normal!L141)*255)</f>
        <v>90</v>
      </c>
      <c r="M11">
        <f>INT(shadex('Shade - 1'!$D$9,'Shade - 1'!$E$9,'Shade - 1'!$F$9,'Shade - 1'!$D$7,Vertex!M11,Vertex!M76,Vertex!M141,Normal!M11,Normal!M76,Normal!M141)*255)</f>
        <v>84</v>
      </c>
      <c r="N11">
        <f>INT(shadex('Shade - 1'!$D$9,'Shade - 1'!$E$9,'Shade - 1'!$F$9,'Shade - 1'!$D$7,Vertex!N11,Vertex!N76,Vertex!N141,Normal!N11,Normal!N76,Normal!N141)*255)</f>
        <v>80</v>
      </c>
      <c r="O11">
        <f>INT(shadex('Shade - 1'!$D$9,'Shade - 1'!$E$9,'Shade - 1'!$F$9,'Shade - 1'!$D$7,Vertex!O11,Vertex!O76,Vertex!O141,Normal!O11,Normal!O76,Normal!O141)*255)</f>
        <v>78</v>
      </c>
      <c r="P11">
        <f>INT(shadex('Shade - 1'!$D$9,'Shade - 1'!$E$9,'Shade - 1'!$F$9,'Shade - 1'!$D$7,Vertex!P11,Vertex!P76,Vertex!P141,Normal!P11,Normal!P76,Normal!P141)*255)</f>
        <v>84</v>
      </c>
      <c r="Q11">
        <f>INT(shadex('Shade - 1'!$D$9,'Shade - 1'!$E$9,'Shade - 1'!$F$9,'Shade - 1'!$D$7,Vertex!Q11,Vertex!Q76,Vertex!Q141,Normal!Q11,Normal!Q76,Normal!Q141)*255)</f>
        <v>95</v>
      </c>
      <c r="R11">
        <f>INT(shadex('Shade - 1'!$D$9,'Shade - 1'!$E$9,'Shade - 1'!$F$9,'Shade - 1'!$D$7,Vertex!R11,Vertex!R76,Vertex!R141,Normal!R11,Normal!R76,Normal!R141)*255)</f>
        <v>96</v>
      </c>
      <c r="S11">
        <f>INT(shadex('Shade - 1'!$D$9,'Shade - 1'!$E$9,'Shade - 1'!$F$9,'Shade - 1'!$D$7,Vertex!S11,Vertex!S76,Vertex!S141,Normal!S11,Normal!S76,Normal!S141)*255)</f>
        <v>97</v>
      </c>
      <c r="T11">
        <f>INT(shadex('Shade - 1'!$D$9,'Shade - 1'!$E$9,'Shade - 1'!$F$9,'Shade - 1'!$D$7,Vertex!T11,Vertex!T76,Vertex!T141,Normal!T11,Normal!T76,Normal!T141)*255)</f>
        <v>100</v>
      </c>
      <c r="U11">
        <f>INT(shadex('Shade - 1'!$D$9,'Shade - 1'!$E$9,'Shade - 1'!$F$9,'Shade - 1'!$D$7,Vertex!U11,Vertex!U76,Vertex!U141,Normal!U11,Normal!U76,Normal!U141)*255)</f>
        <v>99</v>
      </c>
      <c r="V11">
        <f>INT(shadex('Shade - 1'!$D$9,'Shade - 1'!$E$9,'Shade - 1'!$F$9,'Shade - 1'!$D$7,Vertex!V11,Vertex!V76,Vertex!V141,Normal!V11,Normal!V76,Normal!V141)*255)</f>
        <v>98</v>
      </c>
      <c r="W11">
        <f>INT(shadex('Shade - 1'!$D$9,'Shade - 1'!$E$9,'Shade - 1'!$F$9,'Shade - 1'!$D$7,Vertex!W11,Vertex!W76,Vertex!W141,Normal!W11,Normal!W76,Normal!W141)*255)</f>
        <v>85</v>
      </c>
      <c r="X11">
        <f>INT(shadex('Shade - 1'!$D$9,'Shade - 1'!$E$9,'Shade - 1'!$F$9,'Shade - 1'!$D$7,Vertex!X11,Vertex!X76,Vertex!X141,Normal!X11,Normal!X76,Normal!X141)*255)</f>
        <v>68</v>
      </c>
      <c r="Y11">
        <f>INT(shadex('Shade - 1'!$D$9,'Shade - 1'!$E$9,'Shade - 1'!$F$9,'Shade - 1'!$D$7,Vertex!Y11,Vertex!Y76,Vertex!Y141,Normal!Y11,Normal!Y76,Normal!Y141)*255)</f>
        <v>80</v>
      </c>
      <c r="Z11">
        <f>INT(shadex('Shade - 1'!$D$9,'Shade - 1'!$E$9,'Shade - 1'!$F$9,'Shade - 1'!$D$7,Vertex!Z11,Vertex!Z76,Vertex!Z141,Normal!Z11,Normal!Z76,Normal!Z141)*255)</f>
        <v>74</v>
      </c>
      <c r="AA11">
        <f>INT(shadex('Shade - 1'!$D$9,'Shade - 1'!$E$9,'Shade - 1'!$F$9,'Shade - 1'!$D$7,Vertex!AA11,Vertex!AA76,Vertex!AA141,Normal!AA11,Normal!AA76,Normal!AA141)*255)</f>
        <v>62</v>
      </c>
      <c r="AB11">
        <f>INT(shadex('Shade - 1'!$D$9,'Shade - 1'!$E$9,'Shade - 1'!$F$9,'Shade - 1'!$D$7,Vertex!AB11,Vertex!AB76,Vertex!AB141,Normal!AB11,Normal!AB76,Normal!AB141)*255)</f>
        <v>90</v>
      </c>
      <c r="AC11">
        <f>INT(shadex('Shade - 1'!$D$9,'Shade - 1'!$E$9,'Shade - 1'!$F$9,'Shade - 1'!$D$7,Vertex!AC11,Vertex!AC76,Vertex!AC141,Normal!AC11,Normal!AC76,Normal!AC141)*255)</f>
        <v>96</v>
      </c>
      <c r="AD11">
        <f>INT(shadex('Shade - 1'!$D$9,'Shade - 1'!$E$9,'Shade - 1'!$F$9,'Shade - 1'!$D$7,Vertex!AD11,Vertex!AD76,Vertex!AD141,Normal!AD11,Normal!AD76,Normal!AD141)*255)</f>
        <v>92</v>
      </c>
      <c r="AE11">
        <f>INT(shadex('Shade - 1'!$D$9,'Shade - 1'!$E$9,'Shade - 1'!$F$9,'Shade - 1'!$D$7,Vertex!AE11,Vertex!AE76,Vertex!AE141,Normal!AE11,Normal!AE76,Normal!AE141)*255)</f>
        <v>88</v>
      </c>
      <c r="AF11">
        <f>INT(shadex('Shade - 1'!$D$9,'Shade - 1'!$E$9,'Shade - 1'!$F$9,'Shade - 1'!$D$7,Vertex!AF11,Vertex!AF76,Vertex!AF141,Normal!AF11,Normal!AF76,Normal!AF141)*255)</f>
        <v>96</v>
      </c>
      <c r="AG11">
        <f>INT(shadex('Shade - 1'!$D$9,'Shade - 1'!$E$9,'Shade - 1'!$F$9,'Shade - 1'!$D$7,Vertex!AG11,Vertex!AG76,Vertex!AG141,Normal!AG11,Normal!AG76,Normal!AG141)*255)</f>
        <v>99</v>
      </c>
      <c r="AH11">
        <f>INT(shadex('Shade - 1'!$D$9,'Shade - 1'!$E$9,'Shade - 1'!$F$9,'Shade - 1'!$D$7,Vertex!AH11,Vertex!AH76,Vertex!AH141,Normal!AH11,Normal!AH76,Normal!AH141)*255)</f>
        <v>98</v>
      </c>
      <c r="AI11" s="4">
        <f>INT(shadex('Shade - 1'!$D$9,'Shade - 1'!$E$9,'Shade - 1'!$F$9,'Shade - 1'!$D$7,Vertex!AI11,Vertex!AI76,Vertex!AI141,Normal!AI11,Normal!AI76,Normal!AI141)*255)</f>
        <v>89</v>
      </c>
      <c r="AJ11" s="4">
        <f>INT(shadex('Shade - 1'!$D$9,'Shade - 1'!$E$9,'Shade - 1'!$F$9,'Shade - 1'!$D$7,Vertex!AJ11,Vertex!AJ76,Vertex!AJ141,Normal!AJ11,Normal!AJ76,Normal!AJ141)*255)</f>
        <v>85</v>
      </c>
      <c r="AK11" s="4">
        <f>INT(shadex('Shade - 1'!$D$9,'Shade - 1'!$E$9,'Shade - 1'!$F$9,'Shade - 1'!$D$7,Vertex!AK11,Vertex!AK76,Vertex!AK141,Normal!AK11,Normal!AK76,Normal!AK141)*255)</f>
        <v>82</v>
      </c>
      <c r="AL11" s="4">
        <f>INT(shadex('Shade - 1'!$D$9,'Shade - 1'!$E$9,'Shade - 1'!$F$9,'Shade - 1'!$D$7,Vertex!AL11,Vertex!AL76,Vertex!AL141,Normal!AL11,Normal!AL76,Normal!AL141)*255)</f>
        <v>80</v>
      </c>
      <c r="AM11" s="4">
        <f>INT(shadex('Shade - 1'!$D$9,'Shade - 1'!$E$9,'Shade - 1'!$F$9,'Shade - 1'!$D$7,Vertex!AM11,Vertex!AM76,Vertex!AM141,Normal!AM11,Normal!AM76,Normal!AM141)*255)</f>
        <v>80</v>
      </c>
      <c r="AN11" s="4">
        <f>INT(shadex('Shade - 1'!$D$9,'Shade - 1'!$E$9,'Shade - 1'!$F$9,'Shade - 1'!$D$7,Vertex!AN11,Vertex!AN76,Vertex!AN141,Normal!AN11,Normal!AN76,Normal!AN141)*255)</f>
        <v>86</v>
      </c>
      <c r="AO11" s="4">
        <f>INT(shadex('Shade - 1'!$D$9,'Shade - 1'!$E$9,'Shade - 1'!$F$9,'Shade - 1'!$D$7,Vertex!AO11,Vertex!AO76,Vertex!AO141,Normal!AO11,Normal!AO76,Normal!AO141)*255)</f>
        <v>95</v>
      </c>
      <c r="AP11" s="4">
        <f>INT(shadex('Shade - 1'!$D$9,'Shade - 1'!$E$9,'Shade - 1'!$F$9,'Shade - 1'!$D$7,Vertex!AP11,Vertex!AP76,Vertex!AP141,Normal!AP11,Normal!AP76,Normal!AP141)*255)</f>
        <v>99</v>
      </c>
      <c r="AQ11" s="4">
        <f>INT(shadex('Shade - 1'!$D$9,'Shade - 1'!$E$9,'Shade - 1'!$F$9,'Shade - 1'!$D$7,Vertex!AQ11,Vertex!AQ76,Vertex!AQ141,Normal!AQ11,Normal!AQ76,Normal!AQ141)*255)</f>
        <v>98</v>
      </c>
      <c r="AR11" s="4">
        <f>INT(shadex('Shade - 1'!$D$9,'Shade - 1'!$E$9,'Shade - 1'!$F$9,'Shade - 1'!$D$7,Vertex!AR11,Vertex!AR76,Vertex!AR141,Normal!AR11,Normal!AR76,Normal!AR141)*255)</f>
        <v>95</v>
      </c>
      <c r="AS11" s="4">
        <f>INT(shadex('Shade - 1'!$D$9,'Shade - 1'!$E$9,'Shade - 1'!$F$9,'Shade - 1'!$D$7,Vertex!AS11,Vertex!AS76,Vertex!AS141,Normal!AS11,Normal!AS76,Normal!AS141)*255)</f>
        <v>88</v>
      </c>
      <c r="AT11" s="4">
        <f>INT(shadex('Shade - 1'!$D$9,'Shade - 1'!$E$9,'Shade - 1'!$F$9,'Shade - 1'!$D$7,Vertex!AT11,Vertex!AT76,Vertex!AT141,Normal!AT11,Normal!AT76,Normal!AT141)*255)</f>
        <v>88</v>
      </c>
      <c r="AU11" s="4">
        <f>INT(shadex('Shade - 1'!$D$9,'Shade - 1'!$E$9,'Shade - 1'!$F$9,'Shade - 1'!$D$7,Vertex!AU11,Vertex!AU76,Vertex!AU141,Normal!AU11,Normal!AU76,Normal!AU141)*255)</f>
        <v>87</v>
      </c>
      <c r="AV11" s="4">
        <f>INT(shadex('Shade - 1'!$D$9,'Shade - 1'!$E$9,'Shade - 1'!$F$9,'Shade - 1'!$D$7,Vertex!AV11,Vertex!AV76,Vertex!AV141,Normal!AV11,Normal!AV76,Normal!AV141)*255)</f>
        <v>90</v>
      </c>
      <c r="AW11" s="4">
        <f>INT(shadex('Shade - 1'!$D$9,'Shade - 1'!$E$9,'Shade - 1'!$F$9,'Shade - 1'!$D$7,Vertex!AW11,Vertex!AW76,Vertex!AW141,Normal!AW11,Normal!AW76,Normal!AW141)*255)</f>
        <v>94</v>
      </c>
      <c r="AX11" s="4">
        <f>INT(shadex('Shade - 1'!$D$9,'Shade - 1'!$E$9,'Shade - 1'!$F$9,'Shade - 1'!$D$7,Vertex!AX11,Vertex!AX76,Vertex!AX141,Normal!AX11,Normal!AX76,Normal!AX141)*255)</f>
        <v>67</v>
      </c>
      <c r="AY11" s="4">
        <f>INT(shadex('Shade - 1'!$D$9,'Shade - 1'!$E$9,'Shade - 1'!$F$9,'Shade - 1'!$D$7,Vertex!AY11,Vertex!AY76,Vertex!AY141,Normal!AY11,Normal!AY76,Normal!AY141)*255)</f>
        <v>66</v>
      </c>
      <c r="AZ11" s="4">
        <f>INT(shadex('Shade - 1'!$D$9,'Shade - 1'!$E$9,'Shade - 1'!$F$9,'Shade - 1'!$D$7,Vertex!AZ11,Vertex!AZ76,Vertex!AZ141,Normal!AZ11,Normal!AZ76,Normal!AZ141)*255)</f>
        <v>58</v>
      </c>
      <c r="BA11" s="4">
        <f>INT(shadex('Shade - 1'!$D$9,'Shade - 1'!$E$9,'Shade - 1'!$F$9,'Shade - 1'!$D$7,Vertex!BA11,Vertex!BA76,Vertex!BA141,Normal!BA11,Normal!BA76,Normal!BA141)*255)</f>
        <v>58</v>
      </c>
      <c r="BB11" s="4">
        <f>INT(shadex('Shade - 1'!$D$9,'Shade - 1'!$E$9,'Shade - 1'!$F$9,'Shade - 1'!$D$7,Vertex!BB11,Vertex!BB76,Vertex!BB141,Normal!BB11,Normal!BB76,Normal!BB141)*255)</f>
        <v>60</v>
      </c>
      <c r="BC11" s="4">
        <f>INT(shadex('Shade - 1'!$D$9,'Shade - 1'!$E$9,'Shade - 1'!$F$9,'Shade - 1'!$D$7,Vertex!BC11,Vertex!BC76,Vertex!BC141,Normal!BC11,Normal!BC76,Normal!BC141)*255)</f>
        <v>69</v>
      </c>
      <c r="BD11" s="4">
        <f>INT(shadex('Shade - 1'!$D$9,'Shade - 1'!$E$9,'Shade - 1'!$F$9,'Shade - 1'!$D$7,Vertex!BD11,Vertex!BD76,Vertex!BD141,Normal!BD11,Normal!BD76,Normal!BD141)*255)</f>
        <v>66</v>
      </c>
      <c r="BE11" s="4">
        <f>INT(shadex('Shade - 1'!$D$9,'Shade - 1'!$E$9,'Shade - 1'!$F$9,'Shade - 1'!$D$7,Vertex!BE11,Vertex!BE76,Vertex!BE141,Normal!BE11,Normal!BE76,Normal!BE141)*255)</f>
        <v>61</v>
      </c>
      <c r="BF11" s="4">
        <f>INT(shadex('Shade - 1'!$D$9,'Shade - 1'!$E$9,'Shade - 1'!$F$9,'Shade - 1'!$D$7,Vertex!BF11,Vertex!BF76,Vertex!BF141,Normal!BF11,Normal!BF76,Normal!BF141)*255)</f>
        <v>65</v>
      </c>
      <c r="BG11" s="4">
        <f>INT(shadex('Shade - 1'!$D$9,'Shade - 1'!$E$9,'Shade - 1'!$F$9,'Shade - 1'!$D$7,Vertex!BG11,Vertex!BG76,Vertex!BG141,Normal!BG11,Normal!BG76,Normal!BG141)*255)</f>
        <v>78</v>
      </c>
      <c r="BH11" s="4">
        <f>INT(shadex('Shade - 1'!$D$9,'Shade - 1'!$E$9,'Shade - 1'!$F$9,'Shade - 1'!$D$7,Vertex!BH11,Vertex!BH76,Vertex!BH141,Normal!BH11,Normal!BH76,Normal!BH141)*255)</f>
        <v>91</v>
      </c>
      <c r="BI11" s="4">
        <f>INT(shadex('Shade - 1'!$D$9,'Shade - 1'!$E$9,'Shade - 1'!$F$9,'Shade - 1'!$D$7,Vertex!BI11,Vertex!BI76,Vertex!BI141,Normal!BI11,Normal!BI76,Normal!BI141)*255)</f>
        <v>93</v>
      </c>
      <c r="BJ11" s="4">
        <f>INT(shadex('Shade - 1'!$D$9,'Shade - 1'!$E$9,'Shade - 1'!$F$9,'Shade - 1'!$D$7,Vertex!BJ11,Vertex!BJ76,Vertex!BJ141,Normal!BJ11,Normal!BJ76,Normal!BJ141)*255)</f>
        <v>90</v>
      </c>
      <c r="BK11" s="4">
        <f>INT(shadex('Shade - 1'!$D$9,'Shade - 1'!$E$9,'Shade - 1'!$F$9,'Shade - 1'!$D$7,Vertex!BK11,Vertex!BK76,Vertex!BK141,Normal!BK11,Normal!BK76,Normal!BK141)*255)</f>
        <v>89</v>
      </c>
      <c r="BL11" s="4">
        <f>INT(shadex('Shade - 1'!$D$9,'Shade - 1'!$E$9,'Shade - 1'!$F$9,'Shade - 1'!$D$7,Vertex!BL11,Vertex!BL76,Vertex!BL141,Normal!BL11,Normal!BL76,Normal!BL141)*255)</f>
        <v>93</v>
      </c>
    </row>
    <row r="12" spans="1:64" x14ac:dyDescent="0.25">
      <c r="A12">
        <f>INT(shadex('Shade - 1'!$D$9,'Shade - 1'!$E$9,'Shade - 1'!$F$9,'Shade - 1'!$D$7,Vertex!A12,Vertex!A77,Vertex!A142,Normal!A12,Normal!A77,Normal!A142)*255)</f>
        <v>80</v>
      </c>
      <c r="B12">
        <f>INT(shadex('Shade - 1'!$D$9,'Shade - 1'!$E$9,'Shade - 1'!$F$9,'Shade - 1'!$D$7,Vertex!B12,Vertex!B77,Vertex!B142,Normal!B12,Normal!B77,Normal!B142)*255)</f>
        <v>81</v>
      </c>
      <c r="C12">
        <f>INT(shadex('Shade - 1'!$D$9,'Shade - 1'!$E$9,'Shade - 1'!$F$9,'Shade - 1'!$D$7,Vertex!C12,Vertex!C77,Vertex!C142,Normal!C12,Normal!C77,Normal!C142)*255)</f>
        <v>78</v>
      </c>
      <c r="D12">
        <f>INT(shadex('Shade - 1'!$D$9,'Shade - 1'!$E$9,'Shade - 1'!$F$9,'Shade - 1'!$D$7,Vertex!D12,Vertex!D77,Vertex!D142,Normal!D12,Normal!D77,Normal!D142)*255)</f>
        <v>71</v>
      </c>
      <c r="E12">
        <f>INT(shadex('Shade - 1'!$D$9,'Shade - 1'!$E$9,'Shade - 1'!$F$9,'Shade - 1'!$D$7,Vertex!E12,Vertex!E77,Vertex!E142,Normal!E12,Normal!E77,Normal!E142)*255)</f>
        <v>68</v>
      </c>
      <c r="F12">
        <f>INT(shadex('Shade - 1'!$D$9,'Shade - 1'!$E$9,'Shade - 1'!$F$9,'Shade - 1'!$D$7,Vertex!F12,Vertex!F77,Vertex!F142,Normal!F12,Normal!F77,Normal!F142)*255)</f>
        <v>83</v>
      </c>
      <c r="G12">
        <f>INT(shadex('Shade - 1'!$D$9,'Shade - 1'!$E$9,'Shade - 1'!$F$9,'Shade - 1'!$D$7,Vertex!G12,Vertex!G77,Vertex!G142,Normal!G12,Normal!G77,Normal!G142)*255)</f>
        <v>97</v>
      </c>
      <c r="H12">
        <f>INT(shadex('Shade - 1'!$D$9,'Shade - 1'!$E$9,'Shade - 1'!$F$9,'Shade - 1'!$D$7,Vertex!H12,Vertex!H77,Vertex!H142,Normal!H12,Normal!H77,Normal!H142)*255)</f>
        <v>96</v>
      </c>
      <c r="I12">
        <f>INT(shadex('Shade - 1'!$D$9,'Shade - 1'!$E$9,'Shade - 1'!$F$9,'Shade - 1'!$D$7,Vertex!I12,Vertex!I77,Vertex!I142,Normal!I12,Normal!I77,Normal!I142)*255)</f>
        <v>88</v>
      </c>
      <c r="J12">
        <f>INT(shadex('Shade - 1'!$D$9,'Shade - 1'!$E$9,'Shade - 1'!$F$9,'Shade - 1'!$D$7,Vertex!J12,Vertex!J77,Vertex!J142,Normal!J12,Normal!J77,Normal!J142)*255)</f>
        <v>86</v>
      </c>
      <c r="K12">
        <f>INT(shadex('Shade - 1'!$D$9,'Shade - 1'!$E$9,'Shade - 1'!$F$9,'Shade - 1'!$D$7,Vertex!K12,Vertex!K77,Vertex!K142,Normal!K12,Normal!K77,Normal!K142)*255)</f>
        <v>89</v>
      </c>
      <c r="L12">
        <f>INT(shadex('Shade - 1'!$D$9,'Shade - 1'!$E$9,'Shade - 1'!$F$9,'Shade - 1'!$D$7,Vertex!L12,Vertex!L77,Vertex!L142,Normal!L12,Normal!L77,Normal!L142)*255)</f>
        <v>88</v>
      </c>
      <c r="M12">
        <f>INT(shadex('Shade - 1'!$D$9,'Shade - 1'!$E$9,'Shade - 1'!$F$9,'Shade - 1'!$D$7,Vertex!M12,Vertex!M77,Vertex!M142,Normal!M12,Normal!M77,Normal!M142)*255)</f>
        <v>92</v>
      </c>
      <c r="N12">
        <f>INT(shadex('Shade - 1'!$D$9,'Shade - 1'!$E$9,'Shade - 1'!$F$9,'Shade - 1'!$D$7,Vertex!N12,Vertex!N77,Vertex!N142,Normal!N12,Normal!N77,Normal!N142)*255)</f>
        <v>94</v>
      </c>
      <c r="O12">
        <f>INT(shadex('Shade - 1'!$D$9,'Shade - 1'!$E$9,'Shade - 1'!$F$9,'Shade - 1'!$D$7,Vertex!O12,Vertex!O77,Vertex!O142,Normal!O12,Normal!O77,Normal!O142)*255)</f>
        <v>91</v>
      </c>
      <c r="P12">
        <f>INT(shadex('Shade - 1'!$D$9,'Shade - 1'!$E$9,'Shade - 1'!$F$9,'Shade - 1'!$D$7,Vertex!P12,Vertex!P77,Vertex!P142,Normal!P12,Normal!P77,Normal!P142)*255)</f>
        <v>89</v>
      </c>
      <c r="Q12">
        <f>INT(shadex('Shade - 1'!$D$9,'Shade - 1'!$E$9,'Shade - 1'!$F$9,'Shade - 1'!$D$7,Vertex!Q12,Vertex!Q77,Vertex!Q142,Normal!Q12,Normal!Q77,Normal!Q142)*255)</f>
        <v>98</v>
      </c>
      <c r="R12">
        <f>INT(shadex('Shade - 1'!$D$9,'Shade - 1'!$E$9,'Shade - 1'!$F$9,'Shade - 1'!$D$7,Vertex!R12,Vertex!R77,Vertex!R142,Normal!R12,Normal!R77,Normal!R142)*255)</f>
        <v>95</v>
      </c>
      <c r="S12">
        <f>INT(shadex('Shade - 1'!$D$9,'Shade - 1'!$E$9,'Shade - 1'!$F$9,'Shade - 1'!$D$7,Vertex!S12,Vertex!S77,Vertex!S142,Normal!S12,Normal!S77,Normal!S142)*255)</f>
        <v>97</v>
      </c>
      <c r="T12">
        <f>INT(shadex('Shade - 1'!$D$9,'Shade - 1'!$E$9,'Shade - 1'!$F$9,'Shade - 1'!$D$7,Vertex!T12,Vertex!T77,Vertex!T142,Normal!T12,Normal!T77,Normal!T142)*255)</f>
        <v>98</v>
      </c>
      <c r="U12">
        <f>INT(shadex('Shade - 1'!$D$9,'Shade - 1'!$E$9,'Shade - 1'!$F$9,'Shade - 1'!$D$7,Vertex!U12,Vertex!U77,Vertex!U142,Normal!U12,Normal!U77,Normal!U142)*255)</f>
        <v>98</v>
      </c>
      <c r="V12">
        <f>INT(shadex('Shade - 1'!$D$9,'Shade - 1'!$E$9,'Shade - 1'!$F$9,'Shade - 1'!$D$7,Vertex!V12,Vertex!V77,Vertex!V142,Normal!V12,Normal!V77,Normal!V142)*255)</f>
        <v>98</v>
      </c>
      <c r="W12">
        <f>INT(shadex('Shade - 1'!$D$9,'Shade - 1'!$E$9,'Shade - 1'!$F$9,'Shade - 1'!$D$7,Vertex!W12,Vertex!W77,Vertex!W142,Normal!W12,Normal!W77,Normal!W142)*255)</f>
        <v>85</v>
      </c>
      <c r="X12">
        <f>INT(shadex('Shade - 1'!$D$9,'Shade - 1'!$E$9,'Shade - 1'!$F$9,'Shade - 1'!$D$7,Vertex!X12,Vertex!X77,Vertex!X142,Normal!X12,Normal!X77,Normal!X142)*255)</f>
        <v>63</v>
      </c>
      <c r="Y12">
        <f>INT(shadex('Shade - 1'!$D$9,'Shade - 1'!$E$9,'Shade - 1'!$F$9,'Shade - 1'!$D$7,Vertex!Y12,Vertex!Y77,Vertex!Y142,Normal!Y12,Normal!Y77,Normal!Y142)*255)</f>
        <v>84</v>
      </c>
      <c r="Z12">
        <f>INT(shadex('Shade - 1'!$D$9,'Shade - 1'!$E$9,'Shade - 1'!$F$9,'Shade - 1'!$D$7,Vertex!Z12,Vertex!Z77,Vertex!Z142,Normal!Z12,Normal!Z77,Normal!Z142)*255)</f>
        <v>87</v>
      </c>
      <c r="AA12">
        <f>INT(shadex('Shade - 1'!$D$9,'Shade - 1'!$E$9,'Shade - 1'!$F$9,'Shade - 1'!$D$7,Vertex!AA12,Vertex!AA77,Vertex!AA142,Normal!AA12,Normal!AA77,Normal!AA142)*255)</f>
        <v>74</v>
      </c>
      <c r="AB12">
        <f>INT(shadex('Shade - 1'!$D$9,'Shade - 1'!$E$9,'Shade - 1'!$F$9,'Shade - 1'!$D$7,Vertex!AB12,Vertex!AB77,Vertex!AB142,Normal!AB12,Normal!AB77,Normal!AB142)*255)</f>
        <v>87</v>
      </c>
      <c r="AC12">
        <f>INT(shadex('Shade - 1'!$D$9,'Shade - 1'!$E$9,'Shade - 1'!$F$9,'Shade - 1'!$D$7,Vertex!AC12,Vertex!AC77,Vertex!AC142,Normal!AC12,Normal!AC77,Normal!AC142)*255)</f>
        <v>90</v>
      </c>
      <c r="AD12">
        <f>INT(shadex('Shade - 1'!$D$9,'Shade - 1'!$E$9,'Shade - 1'!$F$9,'Shade - 1'!$D$7,Vertex!AD12,Vertex!AD77,Vertex!AD142,Normal!AD12,Normal!AD77,Normal!AD142)*255)</f>
        <v>87</v>
      </c>
      <c r="AE12">
        <f>INT(shadex('Shade - 1'!$D$9,'Shade - 1'!$E$9,'Shade - 1'!$F$9,'Shade - 1'!$D$7,Vertex!AE12,Vertex!AE77,Vertex!AE142,Normal!AE12,Normal!AE77,Normal!AE142)*255)</f>
        <v>84</v>
      </c>
      <c r="AF12">
        <f>INT(shadex('Shade - 1'!$D$9,'Shade - 1'!$E$9,'Shade - 1'!$F$9,'Shade - 1'!$D$7,Vertex!AF12,Vertex!AF77,Vertex!AF142,Normal!AF12,Normal!AF77,Normal!AF142)*255)</f>
        <v>92</v>
      </c>
      <c r="AG12">
        <f>INT(shadex('Shade - 1'!$D$9,'Shade - 1'!$E$9,'Shade - 1'!$F$9,'Shade - 1'!$D$7,Vertex!AG12,Vertex!AG77,Vertex!AG142,Normal!AG12,Normal!AG77,Normal!AG142)*255)</f>
        <v>96</v>
      </c>
      <c r="AH12">
        <f>INT(shadex('Shade - 1'!$D$9,'Shade - 1'!$E$9,'Shade - 1'!$F$9,'Shade - 1'!$D$7,Vertex!AH12,Vertex!AH77,Vertex!AH142,Normal!AH12,Normal!AH77,Normal!AH142)*255)</f>
        <v>95</v>
      </c>
      <c r="AI12" s="4">
        <f>INT(shadex('Shade - 1'!$D$9,'Shade - 1'!$E$9,'Shade - 1'!$F$9,'Shade - 1'!$D$7,Vertex!AI12,Vertex!AI77,Vertex!AI142,Normal!AI12,Normal!AI77,Normal!AI142)*255)</f>
        <v>97</v>
      </c>
      <c r="AJ12" s="4">
        <f>INT(shadex('Shade - 1'!$D$9,'Shade - 1'!$E$9,'Shade - 1'!$F$9,'Shade - 1'!$D$7,Vertex!AJ12,Vertex!AJ77,Vertex!AJ142,Normal!AJ12,Normal!AJ77,Normal!AJ142)*255)</f>
        <v>93</v>
      </c>
      <c r="AK12" s="4">
        <f>INT(shadex('Shade - 1'!$D$9,'Shade - 1'!$E$9,'Shade - 1'!$F$9,'Shade - 1'!$D$7,Vertex!AK12,Vertex!AK77,Vertex!AK142,Normal!AK12,Normal!AK77,Normal!AK142)*255)</f>
        <v>80</v>
      </c>
      <c r="AL12" s="4">
        <f>INT(shadex('Shade - 1'!$D$9,'Shade - 1'!$E$9,'Shade - 1'!$F$9,'Shade - 1'!$D$7,Vertex!AL12,Vertex!AL77,Vertex!AL142,Normal!AL12,Normal!AL77,Normal!AL142)*255)</f>
        <v>76</v>
      </c>
      <c r="AM12" s="4">
        <f>INT(shadex('Shade - 1'!$D$9,'Shade - 1'!$E$9,'Shade - 1'!$F$9,'Shade - 1'!$D$7,Vertex!AM12,Vertex!AM77,Vertex!AM142,Normal!AM12,Normal!AM77,Normal!AM142)*255)</f>
        <v>82</v>
      </c>
      <c r="AN12" s="4">
        <f>INT(shadex('Shade - 1'!$D$9,'Shade - 1'!$E$9,'Shade - 1'!$F$9,'Shade - 1'!$D$7,Vertex!AN12,Vertex!AN77,Vertex!AN142,Normal!AN12,Normal!AN77,Normal!AN142)*255)</f>
        <v>92</v>
      </c>
      <c r="AO12" s="4">
        <f>INT(shadex('Shade - 1'!$D$9,'Shade - 1'!$E$9,'Shade - 1'!$F$9,'Shade - 1'!$D$7,Vertex!AO12,Vertex!AO77,Vertex!AO142,Normal!AO12,Normal!AO77,Normal!AO142)*255)</f>
        <v>95</v>
      </c>
      <c r="AP12" s="4">
        <f>INT(shadex('Shade - 1'!$D$9,'Shade - 1'!$E$9,'Shade - 1'!$F$9,'Shade - 1'!$D$7,Vertex!AP12,Vertex!AP77,Vertex!AP142,Normal!AP12,Normal!AP77,Normal!AP142)*255)</f>
        <v>97</v>
      </c>
      <c r="AQ12" s="4">
        <f>INT(shadex('Shade - 1'!$D$9,'Shade - 1'!$E$9,'Shade - 1'!$F$9,'Shade - 1'!$D$7,Vertex!AQ12,Vertex!AQ77,Vertex!AQ142,Normal!AQ12,Normal!AQ77,Normal!AQ142)*255)</f>
        <v>97</v>
      </c>
      <c r="AR12" s="4">
        <f>INT(shadex('Shade - 1'!$D$9,'Shade - 1'!$E$9,'Shade - 1'!$F$9,'Shade - 1'!$D$7,Vertex!AR12,Vertex!AR77,Vertex!AR142,Normal!AR12,Normal!AR77,Normal!AR142)*255)</f>
        <v>98</v>
      </c>
      <c r="AS12" s="4">
        <f>INT(shadex('Shade - 1'!$D$9,'Shade - 1'!$E$9,'Shade - 1'!$F$9,'Shade - 1'!$D$7,Vertex!AS12,Vertex!AS77,Vertex!AS142,Normal!AS12,Normal!AS77,Normal!AS142)*255)</f>
        <v>95</v>
      </c>
      <c r="AT12" s="4">
        <f>INT(shadex('Shade - 1'!$D$9,'Shade - 1'!$E$9,'Shade - 1'!$F$9,'Shade - 1'!$D$7,Vertex!AT12,Vertex!AT77,Vertex!AT142,Normal!AT12,Normal!AT77,Normal!AT142)*255)</f>
        <v>84</v>
      </c>
      <c r="AU12" s="4">
        <f>INT(shadex('Shade - 1'!$D$9,'Shade - 1'!$E$9,'Shade - 1'!$F$9,'Shade - 1'!$D$7,Vertex!AU12,Vertex!AU77,Vertex!AU142,Normal!AU12,Normal!AU77,Normal!AU142)*255)</f>
        <v>74</v>
      </c>
      <c r="AV12" s="4">
        <f>INT(shadex('Shade - 1'!$D$9,'Shade - 1'!$E$9,'Shade - 1'!$F$9,'Shade - 1'!$D$7,Vertex!AV12,Vertex!AV77,Vertex!AV142,Normal!AV12,Normal!AV77,Normal!AV142)*255)</f>
        <v>74</v>
      </c>
      <c r="AW12" s="4">
        <f>INT(shadex('Shade - 1'!$D$9,'Shade - 1'!$E$9,'Shade - 1'!$F$9,'Shade - 1'!$D$7,Vertex!AW12,Vertex!AW77,Vertex!AW142,Normal!AW12,Normal!AW77,Normal!AW142)*255)</f>
        <v>67</v>
      </c>
      <c r="AX12" s="4">
        <f>INT(shadex('Shade - 1'!$D$9,'Shade - 1'!$E$9,'Shade - 1'!$F$9,'Shade - 1'!$D$7,Vertex!AX12,Vertex!AX77,Vertex!AX142,Normal!AX12,Normal!AX77,Normal!AX142)*255)</f>
        <v>46</v>
      </c>
      <c r="AY12" s="4">
        <f>INT(shadex('Shade - 1'!$D$9,'Shade - 1'!$E$9,'Shade - 1'!$F$9,'Shade - 1'!$D$7,Vertex!AY12,Vertex!AY77,Vertex!AY142,Normal!AY12,Normal!AY77,Normal!AY142)*255)</f>
        <v>52</v>
      </c>
      <c r="AZ12" s="4">
        <f>INT(shadex('Shade - 1'!$D$9,'Shade - 1'!$E$9,'Shade - 1'!$F$9,'Shade - 1'!$D$7,Vertex!AZ12,Vertex!AZ77,Vertex!AZ142,Normal!AZ12,Normal!AZ77,Normal!AZ142)*255)</f>
        <v>59</v>
      </c>
      <c r="BA12" s="4">
        <f>INT(shadex('Shade - 1'!$D$9,'Shade - 1'!$E$9,'Shade - 1'!$F$9,'Shade - 1'!$D$7,Vertex!BA12,Vertex!BA77,Vertex!BA142,Normal!BA12,Normal!BA77,Normal!BA142)*255)</f>
        <v>58</v>
      </c>
      <c r="BB12" s="4">
        <f>INT(shadex('Shade - 1'!$D$9,'Shade - 1'!$E$9,'Shade - 1'!$F$9,'Shade - 1'!$D$7,Vertex!BB12,Vertex!BB77,Vertex!BB142,Normal!BB12,Normal!BB77,Normal!BB142)*255)</f>
        <v>62</v>
      </c>
      <c r="BC12" s="4">
        <f>INT(shadex('Shade - 1'!$D$9,'Shade - 1'!$E$9,'Shade - 1'!$F$9,'Shade - 1'!$D$7,Vertex!BC12,Vertex!BC77,Vertex!BC142,Normal!BC12,Normal!BC77,Normal!BC142)*255)</f>
        <v>71</v>
      </c>
      <c r="BD12" s="4">
        <f>INT(shadex('Shade - 1'!$D$9,'Shade - 1'!$E$9,'Shade - 1'!$F$9,'Shade - 1'!$D$7,Vertex!BD12,Vertex!BD77,Vertex!BD142,Normal!BD12,Normal!BD77,Normal!BD142)*255)</f>
        <v>68</v>
      </c>
      <c r="BE12" s="4">
        <f>INT(shadex('Shade - 1'!$D$9,'Shade - 1'!$E$9,'Shade - 1'!$F$9,'Shade - 1'!$D$7,Vertex!BE12,Vertex!BE77,Vertex!BE142,Normal!BE12,Normal!BE77,Normal!BE142)*255)</f>
        <v>60</v>
      </c>
      <c r="BF12" s="4">
        <f>INT(shadex('Shade - 1'!$D$9,'Shade - 1'!$E$9,'Shade - 1'!$F$9,'Shade - 1'!$D$7,Vertex!BF12,Vertex!BF77,Vertex!BF142,Normal!BF12,Normal!BF77,Normal!BF142)*255)</f>
        <v>65</v>
      </c>
      <c r="BG12" s="4">
        <f>INT(shadex('Shade - 1'!$D$9,'Shade - 1'!$E$9,'Shade - 1'!$F$9,'Shade - 1'!$D$7,Vertex!BG12,Vertex!BG77,Vertex!BG142,Normal!BG12,Normal!BG77,Normal!BG142)*255)</f>
        <v>78</v>
      </c>
      <c r="BH12" s="4">
        <f>INT(shadex('Shade - 1'!$D$9,'Shade - 1'!$E$9,'Shade - 1'!$F$9,'Shade - 1'!$D$7,Vertex!BH12,Vertex!BH77,Vertex!BH142,Normal!BH12,Normal!BH77,Normal!BH142)*255)</f>
        <v>84</v>
      </c>
      <c r="BI12" s="4">
        <f>INT(shadex('Shade - 1'!$D$9,'Shade - 1'!$E$9,'Shade - 1'!$F$9,'Shade - 1'!$D$7,Vertex!BI12,Vertex!BI77,Vertex!BI142,Normal!BI12,Normal!BI77,Normal!BI142)*255)</f>
        <v>96</v>
      </c>
      <c r="BJ12" s="4">
        <f>INT(shadex('Shade - 1'!$D$9,'Shade - 1'!$E$9,'Shade - 1'!$F$9,'Shade - 1'!$D$7,Vertex!BJ12,Vertex!BJ77,Vertex!BJ142,Normal!BJ12,Normal!BJ77,Normal!BJ142)*255)</f>
        <v>96</v>
      </c>
      <c r="BK12" s="4">
        <f>INT(shadex('Shade - 1'!$D$9,'Shade - 1'!$E$9,'Shade - 1'!$F$9,'Shade - 1'!$D$7,Vertex!BK12,Vertex!BK77,Vertex!BK142,Normal!BK12,Normal!BK77,Normal!BK142)*255)</f>
        <v>91</v>
      </c>
      <c r="BL12" s="4">
        <f>INT(shadex('Shade - 1'!$D$9,'Shade - 1'!$E$9,'Shade - 1'!$F$9,'Shade - 1'!$D$7,Vertex!BL12,Vertex!BL77,Vertex!BL142,Normal!BL12,Normal!BL77,Normal!BL142)*255)</f>
        <v>89</v>
      </c>
    </row>
    <row r="13" spans="1:64" x14ac:dyDescent="0.25">
      <c r="A13">
        <f>INT(shadex('Shade - 1'!$D$9,'Shade - 1'!$E$9,'Shade - 1'!$F$9,'Shade - 1'!$D$7,Vertex!A13,Vertex!A78,Vertex!A143,Normal!A13,Normal!A78,Normal!A143)*255)</f>
        <v>63</v>
      </c>
      <c r="B13">
        <f>INT(shadex('Shade - 1'!$D$9,'Shade - 1'!$E$9,'Shade - 1'!$F$9,'Shade - 1'!$D$7,Vertex!B13,Vertex!B78,Vertex!B143,Normal!B13,Normal!B78,Normal!B143)*255)</f>
        <v>68</v>
      </c>
      <c r="C13">
        <f>INT(shadex('Shade - 1'!$D$9,'Shade - 1'!$E$9,'Shade - 1'!$F$9,'Shade - 1'!$D$7,Vertex!C13,Vertex!C78,Vertex!C143,Normal!C13,Normal!C78,Normal!C143)*255)</f>
        <v>82</v>
      </c>
      <c r="D13">
        <f>INT(shadex('Shade - 1'!$D$9,'Shade - 1'!$E$9,'Shade - 1'!$F$9,'Shade - 1'!$D$7,Vertex!D13,Vertex!D78,Vertex!D143,Normal!D13,Normal!D78,Normal!D143)*255)</f>
        <v>91</v>
      </c>
      <c r="E13">
        <f>INT(shadex('Shade - 1'!$D$9,'Shade - 1'!$E$9,'Shade - 1'!$F$9,'Shade - 1'!$D$7,Vertex!E13,Vertex!E78,Vertex!E143,Normal!E13,Normal!E78,Normal!E143)*255)</f>
        <v>89</v>
      </c>
      <c r="F13">
        <f>INT(shadex('Shade - 1'!$D$9,'Shade - 1'!$E$9,'Shade - 1'!$F$9,'Shade - 1'!$D$7,Vertex!F13,Vertex!F78,Vertex!F143,Normal!F13,Normal!F78,Normal!F143)*255)</f>
        <v>78</v>
      </c>
      <c r="G13">
        <f>INT(shadex('Shade - 1'!$D$9,'Shade - 1'!$E$9,'Shade - 1'!$F$9,'Shade - 1'!$D$7,Vertex!G13,Vertex!G78,Vertex!G143,Normal!G13,Normal!G78,Normal!G143)*255)</f>
        <v>82</v>
      </c>
      <c r="H13">
        <f>INT(shadex('Shade - 1'!$D$9,'Shade - 1'!$E$9,'Shade - 1'!$F$9,'Shade - 1'!$D$7,Vertex!H13,Vertex!H78,Vertex!H143,Normal!H13,Normal!H78,Normal!H143)*255)</f>
        <v>85</v>
      </c>
      <c r="I13">
        <f>INT(shadex('Shade - 1'!$D$9,'Shade - 1'!$E$9,'Shade - 1'!$F$9,'Shade - 1'!$D$7,Vertex!I13,Vertex!I78,Vertex!I143,Normal!I13,Normal!I78,Normal!I143)*255)</f>
        <v>76</v>
      </c>
      <c r="J13">
        <f>INT(shadex('Shade - 1'!$D$9,'Shade - 1'!$E$9,'Shade - 1'!$F$9,'Shade - 1'!$D$7,Vertex!J13,Vertex!J78,Vertex!J143,Normal!J13,Normal!J78,Normal!J143)*255)</f>
        <v>68</v>
      </c>
      <c r="K13">
        <f>INT(shadex('Shade - 1'!$D$9,'Shade - 1'!$E$9,'Shade - 1'!$F$9,'Shade - 1'!$D$7,Vertex!K13,Vertex!K78,Vertex!K143,Normal!K13,Normal!K78,Normal!K143)*255)</f>
        <v>70</v>
      </c>
      <c r="L13">
        <f>INT(shadex('Shade - 1'!$D$9,'Shade - 1'!$E$9,'Shade - 1'!$F$9,'Shade - 1'!$D$7,Vertex!L13,Vertex!L78,Vertex!L143,Normal!L13,Normal!L78,Normal!L143)*255)</f>
        <v>64</v>
      </c>
      <c r="M13">
        <f>INT(shadex('Shade - 1'!$D$9,'Shade - 1'!$E$9,'Shade - 1'!$F$9,'Shade - 1'!$D$7,Vertex!M13,Vertex!M78,Vertex!M143,Normal!M13,Normal!M78,Normal!M143)*255)</f>
        <v>79</v>
      </c>
      <c r="N13">
        <f>INT(shadex('Shade - 1'!$D$9,'Shade - 1'!$E$9,'Shade - 1'!$F$9,'Shade - 1'!$D$7,Vertex!N13,Vertex!N78,Vertex!N143,Normal!N13,Normal!N78,Normal!N143)*255)</f>
        <v>82</v>
      </c>
      <c r="O13">
        <f>INT(shadex('Shade - 1'!$D$9,'Shade - 1'!$E$9,'Shade - 1'!$F$9,'Shade - 1'!$D$7,Vertex!O13,Vertex!O78,Vertex!O143,Normal!O13,Normal!O78,Normal!O143)*255)</f>
        <v>81</v>
      </c>
      <c r="P13">
        <f>INT(shadex('Shade - 1'!$D$9,'Shade - 1'!$E$9,'Shade - 1'!$F$9,'Shade - 1'!$D$7,Vertex!P13,Vertex!P78,Vertex!P143,Normal!P13,Normal!P78,Normal!P143)*255)</f>
        <v>85</v>
      </c>
      <c r="Q13">
        <f>INT(shadex('Shade - 1'!$D$9,'Shade - 1'!$E$9,'Shade - 1'!$F$9,'Shade - 1'!$D$7,Vertex!Q13,Vertex!Q78,Vertex!Q143,Normal!Q13,Normal!Q78,Normal!Q143)*255)</f>
        <v>98</v>
      </c>
      <c r="R13">
        <f>INT(shadex('Shade - 1'!$D$9,'Shade - 1'!$E$9,'Shade - 1'!$F$9,'Shade - 1'!$D$7,Vertex!R13,Vertex!R78,Vertex!R143,Normal!R13,Normal!R78,Normal!R143)*255)</f>
        <v>99</v>
      </c>
      <c r="S13">
        <f>INT(shadex('Shade - 1'!$D$9,'Shade - 1'!$E$9,'Shade - 1'!$F$9,'Shade - 1'!$D$7,Vertex!S13,Vertex!S78,Vertex!S143,Normal!S13,Normal!S78,Normal!S143)*255)</f>
        <v>99</v>
      </c>
      <c r="T13">
        <f>INT(shadex('Shade - 1'!$D$9,'Shade - 1'!$E$9,'Shade - 1'!$F$9,'Shade - 1'!$D$7,Vertex!T13,Vertex!T78,Vertex!T143,Normal!T13,Normal!T78,Normal!T143)*255)</f>
        <v>99</v>
      </c>
      <c r="U13">
        <f>INT(shadex('Shade - 1'!$D$9,'Shade - 1'!$E$9,'Shade - 1'!$F$9,'Shade - 1'!$D$7,Vertex!U13,Vertex!U78,Vertex!U143,Normal!U13,Normal!U78,Normal!U143)*255)</f>
        <v>96</v>
      </c>
      <c r="V13">
        <f>INT(shadex('Shade - 1'!$D$9,'Shade - 1'!$E$9,'Shade - 1'!$F$9,'Shade - 1'!$D$7,Vertex!V13,Vertex!V78,Vertex!V143,Normal!V13,Normal!V78,Normal!V143)*255)</f>
        <v>87</v>
      </c>
      <c r="W13">
        <f>INT(shadex('Shade - 1'!$D$9,'Shade - 1'!$E$9,'Shade - 1'!$F$9,'Shade - 1'!$D$7,Vertex!W13,Vertex!W78,Vertex!W143,Normal!W13,Normal!W78,Normal!W143)*255)</f>
        <v>80</v>
      </c>
      <c r="X13">
        <f>INT(shadex('Shade - 1'!$D$9,'Shade - 1'!$E$9,'Shade - 1'!$F$9,'Shade - 1'!$D$7,Vertex!X13,Vertex!X78,Vertex!X143,Normal!X13,Normal!X78,Normal!X143)*255)</f>
        <v>73</v>
      </c>
      <c r="Y13">
        <f>INT(shadex('Shade - 1'!$D$9,'Shade - 1'!$E$9,'Shade - 1'!$F$9,'Shade - 1'!$D$7,Vertex!Y13,Vertex!Y78,Vertex!Y143,Normal!Y13,Normal!Y78,Normal!Y143)*255)</f>
        <v>82</v>
      </c>
      <c r="Z13">
        <f>INT(shadex('Shade - 1'!$D$9,'Shade - 1'!$E$9,'Shade - 1'!$F$9,'Shade - 1'!$D$7,Vertex!Z13,Vertex!Z78,Vertex!Z143,Normal!Z13,Normal!Z78,Normal!Z143)*255)</f>
        <v>90</v>
      </c>
      <c r="AA13">
        <f>INT(shadex('Shade - 1'!$D$9,'Shade - 1'!$E$9,'Shade - 1'!$F$9,'Shade - 1'!$D$7,Vertex!AA13,Vertex!AA78,Vertex!AA143,Normal!AA13,Normal!AA78,Normal!AA143)*255)</f>
        <v>84</v>
      </c>
      <c r="AB13">
        <f>INT(shadex('Shade - 1'!$D$9,'Shade - 1'!$E$9,'Shade - 1'!$F$9,'Shade - 1'!$D$7,Vertex!AB13,Vertex!AB78,Vertex!AB143,Normal!AB13,Normal!AB78,Normal!AB143)*255)</f>
        <v>83</v>
      </c>
      <c r="AC13">
        <f>INT(shadex('Shade - 1'!$D$9,'Shade - 1'!$E$9,'Shade - 1'!$F$9,'Shade - 1'!$D$7,Vertex!AC13,Vertex!AC78,Vertex!AC143,Normal!AC13,Normal!AC78,Normal!AC143)*255)</f>
        <v>87</v>
      </c>
      <c r="AD13">
        <f>INT(shadex('Shade - 1'!$D$9,'Shade - 1'!$E$9,'Shade - 1'!$F$9,'Shade - 1'!$D$7,Vertex!AD13,Vertex!AD78,Vertex!AD143,Normal!AD13,Normal!AD78,Normal!AD143)*255)</f>
        <v>88</v>
      </c>
      <c r="AE13">
        <f>INT(shadex('Shade - 1'!$D$9,'Shade - 1'!$E$9,'Shade - 1'!$F$9,'Shade - 1'!$D$7,Vertex!AE13,Vertex!AE78,Vertex!AE143,Normal!AE13,Normal!AE78,Normal!AE143)*255)</f>
        <v>82</v>
      </c>
      <c r="AF13">
        <f>INT(shadex('Shade - 1'!$D$9,'Shade - 1'!$E$9,'Shade - 1'!$F$9,'Shade - 1'!$D$7,Vertex!AF13,Vertex!AF78,Vertex!AF143,Normal!AF13,Normal!AF78,Normal!AF143)*255)</f>
        <v>87</v>
      </c>
      <c r="AG13">
        <f>INT(shadex('Shade - 1'!$D$9,'Shade - 1'!$E$9,'Shade - 1'!$F$9,'Shade - 1'!$D$7,Vertex!AG13,Vertex!AG78,Vertex!AG143,Normal!AG13,Normal!AG78,Normal!AG143)*255)</f>
        <v>98</v>
      </c>
      <c r="AH13">
        <f>INT(shadex('Shade - 1'!$D$9,'Shade - 1'!$E$9,'Shade - 1'!$F$9,'Shade - 1'!$D$7,Vertex!AH13,Vertex!AH78,Vertex!AH143,Normal!AH13,Normal!AH78,Normal!AH143)*255)</f>
        <v>97</v>
      </c>
      <c r="AI13" s="4">
        <f>INT(shadex('Shade - 1'!$D$9,'Shade - 1'!$E$9,'Shade - 1'!$F$9,'Shade - 1'!$D$7,Vertex!AI13,Vertex!AI78,Vertex!AI143,Normal!AI13,Normal!AI78,Normal!AI143)*255)</f>
        <v>94</v>
      </c>
      <c r="AJ13" s="4">
        <f>INT(shadex('Shade - 1'!$D$9,'Shade - 1'!$E$9,'Shade - 1'!$F$9,'Shade - 1'!$D$7,Vertex!AJ13,Vertex!AJ78,Vertex!AJ143,Normal!AJ13,Normal!AJ78,Normal!AJ143)*255)</f>
        <v>93</v>
      </c>
      <c r="AK13" s="4">
        <f>INT(shadex('Shade - 1'!$D$9,'Shade - 1'!$E$9,'Shade - 1'!$F$9,'Shade - 1'!$D$7,Vertex!AK13,Vertex!AK78,Vertex!AK143,Normal!AK13,Normal!AK78,Normal!AK143)*255)</f>
        <v>93</v>
      </c>
      <c r="AL13" s="4">
        <f>INT(shadex('Shade - 1'!$D$9,'Shade - 1'!$E$9,'Shade - 1'!$F$9,'Shade - 1'!$D$7,Vertex!AL13,Vertex!AL78,Vertex!AL143,Normal!AL13,Normal!AL78,Normal!AL143)*255)</f>
        <v>95</v>
      </c>
      <c r="AM13" s="4">
        <f>INT(shadex('Shade - 1'!$D$9,'Shade - 1'!$E$9,'Shade - 1'!$F$9,'Shade - 1'!$D$7,Vertex!AM13,Vertex!AM78,Vertex!AM143,Normal!AM13,Normal!AM78,Normal!AM143)*255)</f>
        <v>96</v>
      </c>
      <c r="AN13" s="4">
        <f>INT(shadex('Shade - 1'!$D$9,'Shade - 1'!$E$9,'Shade - 1'!$F$9,'Shade - 1'!$D$7,Vertex!AN13,Vertex!AN78,Vertex!AN143,Normal!AN13,Normal!AN78,Normal!AN143)*255)</f>
        <v>94</v>
      </c>
      <c r="AO13" s="4">
        <f>INT(shadex('Shade - 1'!$D$9,'Shade - 1'!$E$9,'Shade - 1'!$F$9,'Shade - 1'!$D$7,Vertex!AO13,Vertex!AO78,Vertex!AO143,Normal!AO13,Normal!AO78,Normal!AO143)*255)</f>
        <v>86</v>
      </c>
      <c r="AP13" s="4">
        <f>INT(shadex('Shade - 1'!$D$9,'Shade - 1'!$E$9,'Shade - 1'!$F$9,'Shade - 1'!$D$7,Vertex!AP13,Vertex!AP78,Vertex!AP143,Normal!AP13,Normal!AP78,Normal!AP143)*255)</f>
        <v>81</v>
      </c>
      <c r="AQ13" s="4">
        <f>INT(shadex('Shade - 1'!$D$9,'Shade - 1'!$E$9,'Shade - 1'!$F$9,'Shade - 1'!$D$7,Vertex!AQ13,Vertex!AQ78,Vertex!AQ143,Normal!AQ13,Normal!AQ78,Normal!AQ143)*255)</f>
        <v>86</v>
      </c>
      <c r="AR13" s="4">
        <f>INT(shadex('Shade - 1'!$D$9,'Shade - 1'!$E$9,'Shade - 1'!$F$9,'Shade - 1'!$D$7,Vertex!AR13,Vertex!AR78,Vertex!AR143,Normal!AR13,Normal!AR78,Normal!AR143)*255)</f>
        <v>88</v>
      </c>
      <c r="AS13" s="4">
        <f>INT(shadex('Shade - 1'!$D$9,'Shade - 1'!$E$9,'Shade - 1'!$F$9,'Shade - 1'!$D$7,Vertex!AS13,Vertex!AS78,Vertex!AS143,Normal!AS13,Normal!AS78,Normal!AS143)*255)</f>
        <v>83</v>
      </c>
      <c r="AT13" s="4">
        <f>INT(shadex('Shade - 1'!$D$9,'Shade - 1'!$E$9,'Shade - 1'!$F$9,'Shade - 1'!$D$7,Vertex!AT13,Vertex!AT78,Vertex!AT143,Normal!AT13,Normal!AT78,Normal!AT143)*255)</f>
        <v>76</v>
      </c>
      <c r="AU13" s="4">
        <f>INT(shadex('Shade - 1'!$D$9,'Shade - 1'!$E$9,'Shade - 1'!$F$9,'Shade - 1'!$D$7,Vertex!AU13,Vertex!AU78,Vertex!AU143,Normal!AU13,Normal!AU78,Normal!AU143)*255)</f>
        <v>72</v>
      </c>
      <c r="AV13" s="4">
        <f>INT(shadex('Shade - 1'!$D$9,'Shade - 1'!$E$9,'Shade - 1'!$F$9,'Shade - 1'!$D$7,Vertex!AV13,Vertex!AV78,Vertex!AV143,Normal!AV13,Normal!AV78,Normal!AV143)*255)</f>
        <v>71</v>
      </c>
      <c r="AW13" s="4">
        <f>INT(shadex('Shade - 1'!$D$9,'Shade - 1'!$E$9,'Shade - 1'!$F$9,'Shade - 1'!$D$7,Vertex!AW13,Vertex!AW78,Vertex!AW143,Normal!AW13,Normal!AW78,Normal!AW143)*255)</f>
        <v>63</v>
      </c>
      <c r="AX13" s="4">
        <f>INT(shadex('Shade - 1'!$D$9,'Shade - 1'!$E$9,'Shade - 1'!$F$9,'Shade - 1'!$D$7,Vertex!AX13,Vertex!AX78,Vertex!AX143,Normal!AX13,Normal!AX78,Normal!AX143)*255)</f>
        <v>41</v>
      </c>
      <c r="AY13" s="4">
        <f>INT(shadex('Shade - 1'!$D$9,'Shade - 1'!$E$9,'Shade - 1'!$F$9,'Shade - 1'!$D$7,Vertex!AY13,Vertex!AY78,Vertex!AY143,Normal!AY13,Normal!AY78,Normal!AY143)*255)</f>
        <v>38</v>
      </c>
      <c r="AZ13" s="4">
        <f>INT(shadex('Shade - 1'!$D$9,'Shade - 1'!$E$9,'Shade - 1'!$F$9,'Shade - 1'!$D$7,Vertex!AZ13,Vertex!AZ78,Vertex!AZ143,Normal!AZ13,Normal!AZ78,Normal!AZ143)*255)</f>
        <v>45</v>
      </c>
      <c r="BA13" s="4">
        <f>INT(shadex('Shade - 1'!$D$9,'Shade - 1'!$E$9,'Shade - 1'!$F$9,'Shade - 1'!$D$7,Vertex!BA13,Vertex!BA78,Vertex!BA143,Normal!BA13,Normal!BA78,Normal!BA143)*255)</f>
        <v>44</v>
      </c>
      <c r="BB13" s="4">
        <f>INT(shadex('Shade - 1'!$D$9,'Shade - 1'!$E$9,'Shade - 1'!$F$9,'Shade - 1'!$D$7,Vertex!BB13,Vertex!BB78,Vertex!BB143,Normal!BB13,Normal!BB78,Normal!BB143)*255)</f>
        <v>51</v>
      </c>
      <c r="BC13" s="4">
        <f>INT(shadex('Shade - 1'!$D$9,'Shade - 1'!$E$9,'Shade - 1'!$F$9,'Shade - 1'!$D$7,Vertex!BC13,Vertex!BC78,Vertex!BC143,Normal!BC13,Normal!BC78,Normal!BC143)*255)</f>
        <v>65</v>
      </c>
      <c r="BD13" s="4">
        <f>INT(shadex('Shade - 1'!$D$9,'Shade - 1'!$E$9,'Shade - 1'!$F$9,'Shade - 1'!$D$7,Vertex!BD13,Vertex!BD78,Vertex!BD143,Normal!BD13,Normal!BD78,Normal!BD143)*255)</f>
        <v>74</v>
      </c>
      <c r="BE13" s="4">
        <f>INT(shadex('Shade - 1'!$D$9,'Shade - 1'!$E$9,'Shade - 1'!$F$9,'Shade - 1'!$D$7,Vertex!BE13,Vertex!BE78,Vertex!BE143,Normal!BE13,Normal!BE78,Normal!BE143)*255)</f>
        <v>70</v>
      </c>
      <c r="BF13" s="4">
        <f>INT(shadex('Shade - 1'!$D$9,'Shade - 1'!$E$9,'Shade - 1'!$F$9,'Shade - 1'!$D$7,Vertex!BF13,Vertex!BF78,Vertex!BF143,Normal!BF13,Normal!BF78,Normal!BF143)*255)</f>
        <v>48</v>
      </c>
      <c r="BG13" s="4">
        <f>INT(shadex('Shade - 1'!$D$9,'Shade - 1'!$E$9,'Shade - 1'!$F$9,'Shade - 1'!$D$7,Vertex!BG13,Vertex!BG78,Vertex!BG143,Normal!BG13,Normal!BG78,Normal!BG143)*255)</f>
        <v>52</v>
      </c>
      <c r="BH13" s="4">
        <f>INT(shadex('Shade - 1'!$D$9,'Shade - 1'!$E$9,'Shade - 1'!$F$9,'Shade - 1'!$D$7,Vertex!BH13,Vertex!BH78,Vertex!BH143,Normal!BH13,Normal!BH78,Normal!BH143)*255)</f>
        <v>69</v>
      </c>
      <c r="BI13" s="4">
        <f>INT(shadex('Shade - 1'!$D$9,'Shade - 1'!$E$9,'Shade - 1'!$F$9,'Shade - 1'!$D$7,Vertex!BI13,Vertex!BI78,Vertex!BI143,Normal!BI13,Normal!BI78,Normal!BI143)*255)</f>
        <v>75</v>
      </c>
      <c r="BJ13" s="4">
        <f>INT(shadex('Shade - 1'!$D$9,'Shade - 1'!$E$9,'Shade - 1'!$F$9,'Shade - 1'!$D$7,Vertex!BJ13,Vertex!BJ78,Vertex!BJ143,Normal!BJ13,Normal!BJ78,Normal!BJ143)*255)</f>
        <v>76</v>
      </c>
      <c r="BK13" s="4">
        <f>INT(shadex('Shade - 1'!$D$9,'Shade - 1'!$E$9,'Shade - 1'!$F$9,'Shade - 1'!$D$7,Vertex!BK13,Vertex!BK78,Vertex!BK143,Normal!BK13,Normal!BK78,Normal!BK143)*255)</f>
        <v>77</v>
      </c>
      <c r="BL13" s="4">
        <f>INT(shadex('Shade - 1'!$D$9,'Shade - 1'!$E$9,'Shade - 1'!$F$9,'Shade - 1'!$D$7,Vertex!BL13,Vertex!BL78,Vertex!BL143,Normal!BL13,Normal!BL78,Normal!BL143)*255)</f>
        <v>79</v>
      </c>
    </row>
    <row r="14" spans="1:64" x14ac:dyDescent="0.25">
      <c r="A14">
        <f>INT(shadex('Shade - 1'!$D$9,'Shade - 1'!$E$9,'Shade - 1'!$F$9,'Shade - 1'!$D$7,Vertex!A14,Vertex!A79,Vertex!A144,Normal!A14,Normal!A79,Normal!A144)*255)</f>
        <v>61</v>
      </c>
      <c r="B14">
        <f>INT(shadex('Shade - 1'!$D$9,'Shade - 1'!$E$9,'Shade - 1'!$F$9,'Shade - 1'!$D$7,Vertex!B14,Vertex!B79,Vertex!B144,Normal!B14,Normal!B79,Normal!B144)*255)</f>
        <v>72</v>
      </c>
      <c r="C14">
        <f>INT(shadex('Shade - 1'!$D$9,'Shade - 1'!$E$9,'Shade - 1'!$F$9,'Shade - 1'!$D$7,Vertex!C14,Vertex!C79,Vertex!C144,Normal!C14,Normal!C79,Normal!C144)*255)</f>
        <v>88</v>
      </c>
      <c r="D14">
        <f>INT(shadex('Shade - 1'!$D$9,'Shade - 1'!$E$9,'Shade - 1'!$F$9,'Shade - 1'!$D$7,Vertex!D14,Vertex!D79,Vertex!D144,Normal!D14,Normal!D79,Normal!D144)*255)</f>
        <v>90</v>
      </c>
      <c r="E14">
        <f>INT(shadex('Shade - 1'!$D$9,'Shade - 1'!$E$9,'Shade - 1'!$F$9,'Shade - 1'!$D$7,Vertex!E14,Vertex!E79,Vertex!E144,Normal!E14,Normal!E79,Normal!E144)*255)</f>
        <v>89</v>
      </c>
      <c r="F14">
        <f>INT(shadex('Shade - 1'!$D$9,'Shade - 1'!$E$9,'Shade - 1'!$F$9,'Shade - 1'!$D$7,Vertex!F14,Vertex!F79,Vertex!F144,Normal!F14,Normal!F79,Normal!F144)*255)</f>
        <v>82</v>
      </c>
      <c r="G14">
        <f>INT(shadex('Shade - 1'!$D$9,'Shade - 1'!$E$9,'Shade - 1'!$F$9,'Shade - 1'!$D$7,Vertex!G14,Vertex!G79,Vertex!G144,Normal!G14,Normal!G79,Normal!G144)*255)</f>
        <v>72</v>
      </c>
      <c r="H14">
        <f>INT(shadex('Shade - 1'!$D$9,'Shade - 1'!$E$9,'Shade - 1'!$F$9,'Shade - 1'!$D$7,Vertex!H14,Vertex!H79,Vertex!H144,Normal!H14,Normal!H79,Normal!H144)*255)</f>
        <v>82</v>
      </c>
      <c r="I14">
        <f>INT(shadex('Shade - 1'!$D$9,'Shade - 1'!$E$9,'Shade - 1'!$F$9,'Shade - 1'!$D$7,Vertex!I14,Vertex!I79,Vertex!I144,Normal!I14,Normal!I79,Normal!I144)*255)</f>
        <v>86</v>
      </c>
      <c r="J14">
        <f>INT(shadex('Shade - 1'!$D$9,'Shade - 1'!$E$9,'Shade - 1'!$F$9,'Shade - 1'!$D$7,Vertex!J14,Vertex!J79,Vertex!J144,Normal!J14,Normal!J79,Normal!J144)*255)</f>
        <v>74</v>
      </c>
      <c r="K14">
        <f>INT(shadex('Shade - 1'!$D$9,'Shade - 1'!$E$9,'Shade - 1'!$F$9,'Shade - 1'!$D$7,Vertex!K14,Vertex!K79,Vertex!K144,Normal!K14,Normal!K79,Normal!K144)*255)</f>
        <v>59</v>
      </c>
      <c r="L14">
        <f>INT(shadex('Shade - 1'!$D$9,'Shade - 1'!$E$9,'Shade - 1'!$F$9,'Shade - 1'!$D$7,Vertex!L14,Vertex!L79,Vertex!L144,Normal!L14,Normal!L79,Normal!L144)*255)</f>
        <v>48</v>
      </c>
      <c r="M14">
        <f>INT(shadex('Shade - 1'!$D$9,'Shade - 1'!$E$9,'Shade - 1'!$F$9,'Shade - 1'!$D$7,Vertex!M14,Vertex!M79,Vertex!M144,Normal!M14,Normal!M79,Normal!M144)*255)</f>
        <v>63</v>
      </c>
      <c r="N14">
        <f>INT(shadex('Shade - 1'!$D$9,'Shade - 1'!$E$9,'Shade - 1'!$F$9,'Shade - 1'!$D$7,Vertex!N14,Vertex!N79,Vertex!N144,Normal!N14,Normal!N79,Normal!N144)*255)</f>
        <v>64</v>
      </c>
      <c r="O14">
        <f>INT(shadex('Shade - 1'!$D$9,'Shade - 1'!$E$9,'Shade - 1'!$F$9,'Shade - 1'!$D$7,Vertex!O14,Vertex!O79,Vertex!O144,Normal!O14,Normal!O79,Normal!O144)*255)</f>
        <v>56</v>
      </c>
      <c r="P14">
        <f>INT(shadex('Shade - 1'!$D$9,'Shade - 1'!$E$9,'Shade - 1'!$F$9,'Shade - 1'!$D$7,Vertex!P14,Vertex!P79,Vertex!P144,Normal!P14,Normal!P79,Normal!P144)*255)</f>
        <v>75</v>
      </c>
      <c r="Q14">
        <f>INT(shadex('Shade - 1'!$D$9,'Shade - 1'!$E$9,'Shade - 1'!$F$9,'Shade - 1'!$D$7,Vertex!Q14,Vertex!Q79,Vertex!Q144,Normal!Q14,Normal!Q79,Normal!Q144)*255)</f>
        <v>98</v>
      </c>
      <c r="R14">
        <f>INT(shadex('Shade - 1'!$D$9,'Shade - 1'!$E$9,'Shade - 1'!$F$9,'Shade - 1'!$D$7,Vertex!R14,Vertex!R79,Vertex!R144,Normal!R14,Normal!R79,Normal!R144)*255)</f>
        <v>96</v>
      </c>
      <c r="S14">
        <f>INT(shadex('Shade - 1'!$D$9,'Shade - 1'!$E$9,'Shade - 1'!$F$9,'Shade - 1'!$D$7,Vertex!S14,Vertex!S79,Vertex!S144,Normal!S14,Normal!S79,Normal!S144)*255)</f>
        <v>95</v>
      </c>
      <c r="T14">
        <f>INT(shadex('Shade - 1'!$D$9,'Shade - 1'!$E$9,'Shade - 1'!$F$9,'Shade - 1'!$D$7,Vertex!T14,Vertex!T79,Vertex!T144,Normal!T14,Normal!T79,Normal!T144)*255)</f>
        <v>95</v>
      </c>
      <c r="U14">
        <f>INT(shadex('Shade - 1'!$D$9,'Shade - 1'!$E$9,'Shade - 1'!$F$9,'Shade - 1'!$D$7,Vertex!U14,Vertex!U79,Vertex!U144,Normal!U14,Normal!U79,Normal!U144)*255)</f>
        <v>99</v>
      </c>
      <c r="V14">
        <f>INT(shadex('Shade - 1'!$D$9,'Shade - 1'!$E$9,'Shade - 1'!$F$9,'Shade - 1'!$D$7,Vertex!V14,Vertex!V79,Vertex!V144,Normal!V14,Normal!V79,Normal!V144)*255)</f>
        <v>90</v>
      </c>
      <c r="W14">
        <f>INT(shadex('Shade - 1'!$D$9,'Shade - 1'!$E$9,'Shade - 1'!$F$9,'Shade - 1'!$D$7,Vertex!W14,Vertex!W79,Vertex!W144,Normal!W14,Normal!W79,Normal!W144)*255)</f>
        <v>71</v>
      </c>
      <c r="X14">
        <f>INT(shadex('Shade - 1'!$D$9,'Shade - 1'!$E$9,'Shade - 1'!$F$9,'Shade - 1'!$D$7,Vertex!X14,Vertex!X79,Vertex!X144,Normal!X14,Normal!X79,Normal!X144)*255)</f>
        <v>68</v>
      </c>
      <c r="Y14">
        <f>INT(shadex('Shade - 1'!$D$9,'Shade - 1'!$E$9,'Shade - 1'!$F$9,'Shade - 1'!$D$7,Vertex!Y14,Vertex!Y79,Vertex!Y144,Normal!Y14,Normal!Y79,Normal!Y144)*255)</f>
        <v>60</v>
      </c>
      <c r="Z14">
        <f>INT(shadex('Shade - 1'!$D$9,'Shade - 1'!$E$9,'Shade - 1'!$F$9,'Shade - 1'!$D$7,Vertex!Z14,Vertex!Z79,Vertex!Z144,Normal!Z14,Normal!Z79,Normal!Z144)*255)</f>
        <v>69</v>
      </c>
      <c r="AA14">
        <f>INT(shadex('Shade - 1'!$D$9,'Shade - 1'!$E$9,'Shade - 1'!$F$9,'Shade - 1'!$D$7,Vertex!AA14,Vertex!AA79,Vertex!AA144,Normal!AA14,Normal!AA79,Normal!AA144)*255)</f>
        <v>80</v>
      </c>
      <c r="AB14">
        <f>INT(shadex('Shade - 1'!$D$9,'Shade - 1'!$E$9,'Shade - 1'!$F$9,'Shade - 1'!$D$7,Vertex!AB14,Vertex!AB79,Vertex!AB144,Normal!AB14,Normal!AB79,Normal!AB144)*255)</f>
        <v>69</v>
      </c>
      <c r="AC14">
        <f>INT(shadex('Shade - 1'!$D$9,'Shade - 1'!$E$9,'Shade - 1'!$F$9,'Shade - 1'!$D$7,Vertex!AC14,Vertex!AC79,Vertex!AC144,Normal!AC14,Normal!AC79,Normal!AC144)*255)</f>
        <v>89</v>
      </c>
      <c r="AD14">
        <f>INT(shadex('Shade - 1'!$D$9,'Shade - 1'!$E$9,'Shade - 1'!$F$9,'Shade - 1'!$D$7,Vertex!AD14,Vertex!AD79,Vertex!AD144,Normal!AD14,Normal!AD79,Normal!AD144)*255)</f>
        <v>93</v>
      </c>
      <c r="AE14">
        <f>INT(shadex('Shade - 1'!$D$9,'Shade - 1'!$E$9,'Shade - 1'!$F$9,'Shade - 1'!$D$7,Vertex!AE14,Vertex!AE79,Vertex!AE144,Normal!AE14,Normal!AE79,Normal!AE144)*255)</f>
        <v>76</v>
      </c>
      <c r="AF14">
        <f>INT(shadex('Shade - 1'!$D$9,'Shade - 1'!$E$9,'Shade - 1'!$F$9,'Shade - 1'!$D$7,Vertex!AF14,Vertex!AF79,Vertex!AF144,Normal!AF14,Normal!AF79,Normal!AF144)*255)</f>
        <v>67</v>
      </c>
      <c r="AG14">
        <f>INT(shadex('Shade - 1'!$D$9,'Shade - 1'!$E$9,'Shade - 1'!$F$9,'Shade - 1'!$D$7,Vertex!AG14,Vertex!AG79,Vertex!AG144,Normal!AG14,Normal!AG79,Normal!AG144)*255)</f>
        <v>79</v>
      </c>
      <c r="AH14">
        <f>INT(shadex('Shade - 1'!$D$9,'Shade - 1'!$E$9,'Shade - 1'!$F$9,'Shade - 1'!$D$7,Vertex!AH14,Vertex!AH79,Vertex!AH144,Normal!AH14,Normal!AH79,Normal!AH144)*255)</f>
        <v>90</v>
      </c>
      <c r="AI14" s="4">
        <f>INT(shadex('Shade - 1'!$D$9,'Shade - 1'!$E$9,'Shade - 1'!$F$9,'Shade - 1'!$D$7,Vertex!AI14,Vertex!AI79,Vertex!AI144,Normal!AI14,Normal!AI79,Normal!AI144)*255)</f>
        <v>94</v>
      </c>
      <c r="AJ14" s="4">
        <f>INT(shadex('Shade - 1'!$D$9,'Shade - 1'!$E$9,'Shade - 1'!$F$9,'Shade - 1'!$D$7,Vertex!AJ14,Vertex!AJ79,Vertex!AJ144,Normal!AJ14,Normal!AJ79,Normal!AJ144)*255)</f>
        <v>94</v>
      </c>
      <c r="AK14" s="4">
        <f>INT(shadex('Shade - 1'!$D$9,'Shade - 1'!$E$9,'Shade - 1'!$F$9,'Shade - 1'!$D$7,Vertex!AK14,Vertex!AK79,Vertex!AK144,Normal!AK14,Normal!AK79,Normal!AK144)*255)</f>
        <v>96</v>
      </c>
      <c r="AL14" s="4">
        <f>INT(shadex('Shade - 1'!$D$9,'Shade - 1'!$E$9,'Shade - 1'!$F$9,'Shade - 1'!$D$7,Vertex!AL14,Vertex!AL79,Vertex!AL144,Normal!AL14,Normal!AL79,Normal!AL144)*255)</f>
        <v>98</v>
      </c>
      <c r="AM14" s="4">
        <f>INT(shadex('Shade - 1'!$D$9,'Shade - 1'!$E$9,'Shade - 1'!$F$9,'Shade - 1'!$D$7,Vertex!AM14,Vertex!AM79,Vertex!AM144,Normal!AM14,Normal!AM79,Normal!AM144)*255)</f>
        <v>93</v>
      </c>
      <c r="AN14" s="4">
        <f>INT(shadex('Shade - 1'!$D$9,'Shade - 1'!$E$9,'Shade - 1'!$F$9,'Shade - 1'!$D$7,Vertex!AN14,Vertex!AN79,Vertex!AN144,Normal!AN14,Normal!AN79,Normal!AN144)*255)</f>
        <v>79</v>
      </c>
      <c r="AO14" s="4">
        <f>INT(shadex('Shade - 1'!$D$9,'Shade - 1'!$E$9,'Shade - 1'!$F$9,'Shade - 1'!$D$7,Vertex!AO14,Vertex!AO79,Vertex!AO144,Normal!AO14,Normal!AO79,Normal!AO144)*255)</f>
        <v>69</v>
      </c>
      <c r="AP14" s="4">
        <f>INT(shadex('Shade - 1'!$D$9,'Shade - 1'!$E$9,'Shade - 1'!$F$9,'Shade - 1'!$D$7,Vertex!AP14,Vertex!AP79,Vertex!AP144,Normal!AP14,Normal!AP79,Normal!AP144)*255)</f>
        <v>65</v>
      </c>
      <c r="AQ14" s="4">
        <f>INT(shadex('Shade - 1'!$D$9,'Shade - 1'!$E$9,'Shade - 1'!$F$9,'Shade - 1'!$D$7,Vertex!AQ14,Vertex!AQ79,Vertex!AQ144,Normal!AQ14,Normal!AQ79,Normal!AQ144)*255)</f>
        <v>72</v>
      </c>
      <c r="AR14" s="4">
        <f>INT(shadex('Shade - 1'!$D$9,'Shade - 1'!$E$9,'Shade - 1'!$F$9,'Shade - 1'!$D$7,Vertex!AR14,Vertex!AR79,Vertex!AR144,Normal!AR14,Normal!AR79,Normal!AR144)*255)</f>
        <v>81</v>
      </c>
      <c r="AS14" s="4">
        <f>INT(shadex('Shade - 1'!$D$9,'Shade - 1'!$E$9,'Shade - 1'!$F$9,'Shade - 1'!$D$7,Vertex!AS14,Vertex!AS79,Vertex!AS144,Normal!AS14,Normal!AS79,Normal!AS144)*255)</f>
        <v>85</v>
      </c>
      <c r="AT14" s="4">
        <f>INT(shadex('Shade - 1'!$D$9,'Shade - 1'!$E$9,'Shade - 1'!$F$9,'Shade - 1'!$D$7,Vertex!AT14,Vertex!AT79,Vertex!AT144,Normal!AT14,Normal!AT79,Normal!AT144)*255)</f>
        <v>83</v>
      </c>
      <c r="AU14" s="4">
        <f>INT(shadex('Shade - 1'!$D$9,'Shade - 1'!$E$9,'Shade - 1'!$F$9,'Shade - 1'!$D$7,Vertex!AU14,Vertex!AU79,Vertex!AU144,Normal!AU14,Normal!AU79,Normal!AU144)*255)</f>
        <v>83</v>
      </c>
      <c r="AV14" s="4">
        <f>INT(shadex('Shade - 1'!$D$9,'Shade - 1'!$E$9,'Shade - 1'!$F$9,'Shade - 1'!$D$7,Vertex!AV14,Vertex!AV79,Vertex!AV144,Normal!AV14,Normal!AV79,Normal!AV144)*255)</f>
        <v>79</v>
      </c>
      <c r="AW14" s="4">
        <f>INT(shadex('Shade - 1'!$D$9,'Shade - 1'!$E$9,'Shade - 1'!$F$9,'Shade - 1'!$D$7,Vertex!AW14,Vertex!AW79,Vertex!AW144,Normal!AW14,Normal!AW79,Normal!AW144)*255)</f>
        <v>71</v>
      </c>
      <c r="AX14" s="4">
        <f>INT(shadex('Shade - 1'!$D$9,'Shade - 1'!$E$9,'Shade - 1'!$F$9,'Shade - 1'!$D$7,Vertex!AX14,Vertex!AX79,Vertex!AX144,Normal!AX14,Normal!AX79,Normal!AX144)*255)</f>
        <v>56</v>
      </c>
      <c r="AY14" s="4">
        <f>INT(shadex('Shade - 1'!$D$9,'Shade - 1'!$E$9,'Shade - 1'!$F$9,'Shade - 1'!$D$7,Vertex!AY14,Vertex!AY79,Vertex!AY144,Normal!AY14,Normal!AY79,Normal!AY144)*255)</f>
        <v>45</v>
      </c>
      <c r="AZ14" s="4">
        <f>INT(shadex('Shade - 1'!$D$9,'Shade - 1'!$E$9,'Shade - 1'!$F$9,'Shade - 1'!$D$7,Vertex!AZ14,Vertex!AZ79,Vertex!AZ144,Normal!AZ14,Normal!AZ79,Normal!AZ144)*255)</f>
        <v>42</v>
      </c>
      <c r="BA14" s="4">
        <f>INT(shadex('Shade - 1'!$D$9,'Shade - 1'!$E$9,'Shade - 1'!$F$9,'Shade - 1'!$D$7,Vertex!BA14,Vertex!BA79,Vertex!BA144,Normal!BA14,Normal!BA79,Normal!BA144)*255)</f>
        <v>48</v>
      </c>
      <c r="BB14" s="4">
        <f>INT(shadex('Shade - 1'!$D$9,'Shade - 1'!$E$9,'Shade - 1'!$F$9,'Shade - 1'!$D$7,Vertex!BB14,Vertex!BB79,Vertex!BB144,Normal!BB14,Normal!BB79,Normal!BB144)*255)</f>
        <v>52</v>
      </c>
      <c r="BC14" s="4">
        <f>INT(shadex('Shade - 1'!$D$9,'Shade - 1'!$E$9,'Shade - 1'!$F$9,'Shade - 1'!$D$7,Vertex!BC14,Vertex!BC79,Vertex!BC144,Normal!BC14,Normal!BC79,Normal!BC144)*255)</f>
        <v>67</v>
      </c>
      <c r="BD14" s="4">
        <f>INT(shadex('Shade - 1'!$D$9,'Shade - 1'!$E$9,'Shade - 1'!$F$9,'Shade - 1'!$D$7,Vertex!BD14,Vertex!BD79,Vertex!BD144,Normal!BD14,Normal!BD79,Normal!BD144)*255)</f>
        <v>79</v>
      </c>
      <c r="BE14" s="4">
        <f>INT(shadex('Shade - 1'!$D$9,'Shade - 1'!$E$9,'Shade - 1'!$F$9,'Shade - 1'!$D$7,Vertex!BE14,Vertex!BE79,Vertex!BE144,Normal!BE14,Normal!BE79,Normal!BE144)*255)</f>
        <v>80</v>
      </c>
      <c r="BF14" s="4">
        <f>INT(shadex('Shade - 1'!$D$9,'Shade - 1'!$E$9,'Shade - 1'!$F$9,'Shade - 1'!$D$7,Vertex!BF14,Vertex!BF79,Vertex!BF144,Normal!BF14,Normal!BF79,Normal!BF144)*255)</f>
        <v>43</v>
      </c>
      <c r="BG14" s="4">
        <f>INT(shadex('Shade - 1'!$D$9,'Shade - 1'!$E$9,'Shade - 1'!$F$9,'Shade - 1'!$D$7,Vertex!BG14,Vertex!BG79,Vertex!BG144,Normal!BG14,Normal!BG79,Normal!BG144)*255)</f>
        <v>41</v>
      </c>
      <c r="BH14" s="4">
        <f>INT(shadex('Shade - 1'!$D$9,'Shade - 1'!$E$9,'Shade - 1'!$F$9,'Shade - 1'!$D$7,Vertex!BH14,Vertex!BH79,Vertex!BH144,Normal!BH14,Normal!BH79,Normal!BH144)*255)</f>
        <v>60</v>
      </c>
      <c r="BI14" s="4">
        <f>INT(shadex('Shade - 1'!$D$9,'Shade - 1'!$E$9,'Shade - 1'!$F$9,'Shade - 1'!$D$7,Vertex!BI14,Vertex!BI79,Vertex!BI144,Normal!BI14,Normal!BI79,Normal!BI144)*255)</f>
        <v>63</v>
      </c>
      <c r="BJ14" s="4">
        <f>INT(shadex('Shade - 1'!$D$9,'Shade - 1'!$E$9,'Shade - 1'!$F$9,'Shade - 1'!$D$7,Vertex!BJ14,Vertex!BJ79,Vertex!BJ144,Normal!BJ14,Normal!BJ79,Normal!BJ144)*255)</f>
        <v>71</v>
      </c>
      <c r="BK14" s="4">
        <f>INT(shadex('Shade - 1'!$D$9,'Shade - 1'!$E$9,'Shade - 1'!$F$9,'Shade - 1'!$D$7,Vertex!BK14,Vertex!BK79,Vertex!BK144,Normal!BK14,Normal!BK79,Normal!BK144)*255)</f>
        <v>78</v>
      </c>
      <c r="BL14" s="4">
        <f>INT(shadex('Shade - 1'!$D$9,'Shade - 1'!$E$9,'Shade - 1'!$F$9,'Shade - 1'!$D$7,Vertex!BL14,Vertex!BL79,Vertex!BL144,Normal!BL14,Normal!BL79,Normal!BL144)*255)</f>
        <v>82</v>
      </c>
    </row>
    <row r="15" spans="1:64" x14ac:dyDescent="0.25">
      <c r="A15">
        <f>INT(shadex('Shade - 1'!$D$9,'Shade - 1'!$E$9,'Shade - 1'!$F$9,'Shade - 1'!$D$7,Vertex!A15,Vertex!A80,Vertex!A145,Normal!A15,Normal!A80,Normal!A145)*255)</f>
        <v>36</v>
      </c>
      <c r="B15">
        <f>INT(shadex('Shade - 1'!$D$9,'Shade - 1'!$E$9,'Shade - 1'!$F$9,'Shade - 1'!$D$7,Vertex!B15,Vertex!B80,Vertex!B145,Normal!B15,Normal!B80,Normal!B145)*255)</f>
        <v>48</v>
      </c>
      <c r="C15">
        <f>INT(shadex('Shade - 1'!$D$9,'Shade - 1'!$E$9,'Shade - 1'!$F$9,'Shade - 1'!$D$7,Vertex!C15,Vertex!C80,Vertex!C145,Normal!C15,Normal!C80,Normal!C145)*255)</f>
        <v>72</v>
      </c>
      <c r="D15">
        <f>INT(shadex('Shade - 1'!$D$9,'Shade - 1'!$E$9,'Shade - 1'!$F$9,'Shade - 1'!$D$7,Vertex!D15,Vertex!D80,Vertex!D145,Normal!D15,Normal!D80,Normal!D145)*255)</f>
        <v>76</v>
      </c>
      <c r="E15">
        <f>INT(shadex('Shade - 1'!$D$9,'Shade - 1'!$E$9,'Shade - 1'!$F$9,'Shade - 1'!$D$7,Vertex!E15,Vertex!E80,Vertex!E145,Normal!E15,Normal!E80,Normal!E145)*255)</f>
        <v>82</v>
      </c>
      <c r="F15">
        <f>INT(shadex('Shade - 1'!$D$9,'Shade - 1'!$E$9,'Shade - 1'!$F$9,'Shade - 1'!$D$7,Vertex!F15,Vertex!F80,Vertex!F145,Normal!F15,Normal!F80,Normal!F145)*255)</f>
        <v>89</v>
      </c>
      <c r="G15">
        <f>INT(shadex('Shade - 1'!$D$9,'Shade - 1'!$E$9,'Shade - 1'!$F$9,'Shade - 1'!$D$7,Vertex!G15,Vertex!G80,Vertex!G145,Normal!G15,Normal!G80,Normal!G145)*255)</f>
        <v>80</v>
      </c>
      <c r="H15">
        <f>INT(shadex('Shade - 1'!$D$9,'Shade - 1'!$E$9,'Shade - 1'!$F$9,'Shade - 1'!$D$7,Vertex!H15,Vertex!H80,Vertex!H145,Normal!H15,Normal!H80,Normal!H145)*255)</f>
        <v>75</v>
      </c>
      <c r="I15">
        <f>INT(shadex('Shade - 1'!$D$9,'Shade - 1'!$E$9,'Shade - 1'!$F$9,'Shade - 1'!$D$7,Vertex!I15,Vertex!I80,Vertex!I145,Normal!I15,Normal!I80,Normal!I145)*255)</f>
        <v>81</v>
      </c>
      <c r="J15">
        <f>INT(shadex('Shade - 1'!$D$9,'Shade - 1'!$E$9,'Shade - 1'!$F$9,'Shade - 1'!$D$7,Vertex!J15,Vertex!J80,Vertex!J145,Normal!J15,Normal!J80,Normal!J145)*255)</f>
        <v>84</v>
      </c>
      <c r="K15">
        <f>INT(shadex('Shade - 1'!$D$9,'Shade - 1'!$E$9,'Shade - 1'!$F$9,'Shade - 1'!$D$7,Vertex!K15,Vertex!K80,Vertex!K145,Normal!K15,Normal!K80,Normal!K145)*255)</f>
        <v>73</v>
      </c>
      <c r="L15">
        <f>INT(shadex('Shade - 1'!$D$9,'Shade - 1'!$E$9,'Shade - 1'!$F$9,'Shade - 1'!$D$7,Vertex!L15,Vertex!L80,Vertex!L145,Normal!L15,Normal!L80,Normal!L145)*255)</f>
        <v>60</v>
      </c>
      <c r="M15">
        <f>INT(shadex('Shade - 1'!$D$9,'Shade - 1'!$E$9,'Shade - 1'!$F$9,'Shade - 1'!$D$7,Vertex!M15,Vertex!M80,Vertex!M145,Normal!M15,Normal!M80,Normal!M145)*255)</f>
        <v>68</v>
      </c>
      <c r="N15">
        <f>INT(shadex('Shade - 1'!$D$9,'Shade - 1'!$E$9,'Shade - 1'!$F$9,'Shade - 1'!$D$7,Vertex!N15,Vertex!N80,Vertex!N145,Normal!N15,Normal!N80,Normal!N145)*255)</f>
        <v>67</v>
      </c>
      <c r="O15">
        <f>INT(shadex('Shade - 1'!$D$9,'Shade - 1'!$E$9,'Shade - 1'!$F$9,'Shade - 1'!$D$7,Vertex!O15,Vertex!O80,Vertex!O145,Normal!O15,Normal!O80,Normal!O145)*255)</f>
        <v>45</v>
      </c>
      <c r="P15">
        <f>INT(shadex('Shade - 1'!$D$9,'Shade - 1'!$E$9,'Shade - 1'!$F$9,'Shade - 1'!$D$7,Vertex!P15,Vertex!P80,Vertex!P145,Normal!P15,Normal!P80,Normal!P145)*255)</f>
        <v>53</v>
      </c>
      <c r="Q15">
        <f>INT(shadex('Shade - 1'!$D$9,'Shade - 1'!$E$9,'Shade - 1'!$F$9,'Shade - 1'!$D$7,Vertex!Q15,Vertex!Q80,Vertex!Q145,Normal!Q15,Normal!Q80,Normal!Q145)*255)</f>
        <v>86</v>
      </c>
      <c r="R15">
        <f>INT(shadex('Shade - 1'!$D$9,'Shade - 1'!$E$9,'Shade - 1'!$F$9,'Shade - 1'!$D$7,Vertex!R15,Vertex!R80,Vertex!R145,Normal!R15,Normal!R80,Normal!R145)*255)</f>
        <v>96</v>
      </c>
      <c r="S15">
        <f>INT(shadex('Shade - 1'!$D$9,'Shade - 1'!$E$9,'Shade - 1'!$F$9,'Shade - 1'!$D$7,Vertex!S15,Vertex!S80,Vertex!S145,Normal!S15,Normal!S80,Normal!S145)*255)</f>
        <v>99</v>
      </c>
      <c r="T15">
        <f>INT(shadex('Shade - 1'!$D$9,'Shade - 1'!$E$9,'Shade - 1'!$F$9,'Shade - 1'!$D$7,Vertex!T15,Vertex!T80,Vertex!T145,Normal!T15,Normal!T80,Normal!T145)*255)</f>
        <v>94</v>
      </c>
      <c r="U15">
        <f>INT(shadex('Shade - 1'!$D$9,'Shade - 1'!$E$9,'Shade - 1'!$F$9,'Shade - 1'!$D$7,Vertex!U15,Vertex!U80,Vertex!U145,Normal!U15,Normal!U80,Normal!U145)*255)</f>
        <v>98</v>
      </c>
      <c r="V15">
        <f>INT(shadex('Shade - 1'!$D$9,'Shade - 1'!$E$9,'Shade - 1'!$F$9,'Shade - 1'!$D$7,Vertex!V15,Vertex!V80,Vertex!V145,Normal!V15,Normal!V80,Normal!V145)*255)</f>
        <v>97</v>
      </c>
      <c r="W15">
        <f>INT(shadex('Shade - 1'!$D$9,'Shade - 1'!$E$9,'Shade - 1'!$F$9,'Shade - 1'!$D$7,Vertex!W15,Vertex!W80,Vertex!W145,Normal!W15,Normal!W80,Normal!W145)*255)</f>
        <v>85</v>
      </c>
      <c r="X15">
        <f>INT(shadex('Shade - 1'!$D$9,'Shade - 1'!$E$9,'Shade - 1'!$F$9,'Shade - 1'!$D$7,Vertex!X15,Vertex!X80,Vertex!X145,Normal!X15,Normal!X80,Normal!X145)*255)</f>
        <v>73</v>
      </c>
      <c r="Y15">
        <f>INT(shadex('Shade - 1'!$D$9,'Shade - 1'!$E$9,'Shade - 1'!$F$9,'Shade - 1'!$D$7,Vertex!Y15,Vertex!Y80,Vertex!Y145,Normal!Y15,Normal!Y80,Normal!Y145)*255)</f>
        <v>60</v>
      </c>
      <c r="Z15">
        <f>INT(shadex('Shade - 1'!$D$9,'Shade - 1'!$E$9,'Shade - 1'!$F$9,'Shade - 1'!$D$7,Vertex!Z15,Vertex!Z80,Vertex!Z145,Normal!Z15,Normal!Z80,Normal!Z145)*255)</f>
        <v>53</v>
      </c>
      <c r="AA15">
        <f>INT(shadex('Shade - 1'!$D$9,'Shade - 1'!$E$9,'Shade - 1'!$F$9,'Shade - 1'!$D$7,Vertex!AA15,Vertex!AA80,Vertex!AA145,Normal!AA15,Normal!AA80,Normal!AA145)*255)</f>
        <v>61</v>
      </c>
      <c r="AB15">
        <f>INT(shadex('Shade - 1'!$D$9,'Shade - 1'!$E$9,'Shade - 1'!$F$9,'Shade - 1'!$D$7,Vertex!AB15,Vertex!AB80,Vertex!AB145,Normal!AB15,Normal!AB80,Normal!AB145)*255)</f>
        <v>49</v>
      </c>
      <c r="AC15">
        <f>INT(shadex('Shade - 1'!$D$9,'Shade - 1'!$E$9,'Shade - 1'!$F$9,'Shade - 1'!$D$7,Vertex!AC15,Vertex!AC80,Vertex!AC145,Normal!AC15,Normal!AC80,Normal!AC145)*255)</f>
        <v>87</v>
      </c>
      <c r="AD15">
        <f>INT(shadex('Shade - 1'!$D$9,'Shade - 1'!$E$9,'Shade - 1'!$F$9,'Shade - 1'!$D$7,Vertex!AD15,Vertex!AD80,Vertex!AD145,Normal!AD15,Normal!AD80,Normal!AD145)*255)</f>
        <v>96</v>
      </c>
      <c r="AE15">
        <f>INT(shadex('Shade - 1'!$D$9,'Shade - 1'!$E$9,'Shade - 1'!$F$9,'Shade - 1'!$D$7,Vertex!AE15,Vertex!AE80,Vertex!AE145,Normal!AE15,Normal!AE80,Normal!AE145)*255)</f>
        <v>89</v>
      </c>
      <c r="AF15">
        <f>INT(shadex('Shade - 1'!$D$9,'Shade - 1'!$E$9,'Shade - 1'!$F$9,'Shade - 1'!$D$7,Vertex!AF15,Vertex!AF80,Vertex!AF145,Normal!AF15,Normal!AF80,Normal!AF145)*255)</f>
        <v>81</v>
      </c>
      <c r="AG15">
        <f>INT(shadex('Shade - 1'!$D$9,'Shade - 1'!$E$9,'Shade - 1'!$F$9,'Shade - 1'!$D$7,Vertex!AG15,Vertex!AG80,Vertex!AG145,Normal!AG15,Normal!AG80,Normal!AG145)*255)</f>
        <v>85</v>
      </c>
      <c r="AH15">
        <f>INT(shadex('Shade - 1'!$D$9,'Shade - 1'!$E$9,'Shade - 1'!$F$9,'Shade - 1'!$D$7,Vertex!AH15,Vertex!AH80,Vertex!AH145,Normal!AH15,Normal!AH80,Normal!AH145)*255)</f>
        <v>94</v>
      </c>
      <c r="AI15" s="4">
        <f>INT(shadex('Shade - 1'!$D$9,'Shade - 1'!$E$9,'Shade - 1'!$F$9,'Shade - 1'!$D$7,Vertex!AI15,Vertex!AI80,Vertex!AI145,Normal!AI15,Normal!AI80,Normal!AI145)*255)</f>
        <v>93</v>
      </c>
      <c r="AJ15" s="4">
        <f>INT(shadex('Shade - 1'!$D$9,'Shade - 1'!$E$9,'Shade - 1'!$F$9,'Shade - 1'!$D$7,Vertex!AJ15,Vertex!AJ80,Vertex!AJ145,Normal!AJ15,Normal!AJ80,Normal!AJ145)*255)</f>
        <v>88</v>
      </c>
      <c r="AK15" s="4">
        <f>INT(shadex('Shade - 1'!$D$9,'Shade - 1'!$E$9,'Shade - 1'!$F$9,'Shade - 1'!$D$7,Vertex!AK15,Vertex!AK80,Vertex!AK145,Normal!AK15,Normal!AK80,Normal!AK145)*255)</f>
        <v>86</v>
      </c>
      <c r="AL15" s="4">
        <f>INT(shadex('Shade - 1'!$D$9,'Shade - 1'!$E$9,'Shade - 1'!$F$9,'Shade - 1'!$D$7,Vertex!AL15,Vertex!AL80,Vertex!AL145,Normal!AL15,Normal!AL80,Normal!AL145)*255)</f>
        <v>87</v>
      </c>
      <c r="AM15" s="4">
        <f>INT(shadex('Shade - 1'!$D$9,'Shade - 1'!$E$9,'Shade - 1'!$F$9,'Shade - 1'!$D$7,Vertex!AM15,Vertex!AM80,Vertex!AM145,Normal!AM15,Normal!AM80,Normal!AM145)*255)</f>
        <v>88</v>
      </c>
      <c r="AN15" s="4">
        <f>INT(shadex('Shade - 1'!$D$9,'Shade - 1'!$E$9,'Shade - 1'!$F$9,'Shade - 1'!$D$7,Vertex!AN15,Vertex!AN80,Vertex!AN145,Normal!AN15,Normal!AN80,Normal!AN145)*255)</f>
        <v>85</v>
      </c>
      <c r="AO15" s="4">
        <f>INT(shadex('Shade - 1'!$D$9,'Shade - 1'!$E$9,'Shade - 1'!$F$9,'Shade - 1'!$D$7,Vertex!AO15,Vertex!AO80,Vertex!AO145,Normal!AO15,Normal!AO80,Normal!AO145)*255)</f>
        <v>83</v>
      </c>
      <c r="AP15" s="4">
        <f>INT(shadex('Shade - 1'!$D$9,'Shade - 1'!$E$9,'Shade - 1'!$F$9,'Shade - 1'!$D$7,Vertex!AP15,Vertex!AP80,Vertex!AP145,Normal!AP15,Normal!AP80,Normal!AP145)*255)</f>
        <v>75</v>
      </c>
      <c r="AQ15" s="4">
        <f>INT(shadex('Shade - 1'!$D$9,'Shade - 1'!$E$9,'Shade - 1'!$F$9,'Shade - 1'!$D$7,Vertex!AQ15,Vertex!AQ80,Vertex!AQ145,Normal!AQ15,Normal!AQ80,Normal!AQ145)*255)</f>
        <v>75</v>
      </c>
      <c r="AR15" s="4">
        <f>INT(shadex('Shade - 1'!$D$9,'Shade - 1'!$E$9,'Shade - 1'!$F$9,'Shade - 1'!$D$7,Vertex!AR15,Vertex!AR80,Vertex!AR145,Normal!AR15,Normal!AR80,Normal!AR145)*255)</f>
        <v>81</v>
      </c>
      <c r="AS15" s="4">
        <f>INT(shadex('Shade - 1'!$D$9,'Shade - 1'!$E$9,'Shade - 1'!$F$9,'Shade - 1'!$D$7,Vertex!AS15,Vertex!AS80,Vertex!AS145,Normal!AS15,Normal!AS80,Normal!AS145)*255)</f>
        <v>85</v>
      </c>
      <c r="AT15" s="4">
        <f>INT(shadex('Shade - 1'!$D$9,'Shade - 1'!$E$9,'Shade - 1'!$F$9,'Shade - 1'!$D$7,Vertex!AT15,Vertex!AT80,Vertex!AT145,Normal!AT15,Normal!AT80,Normal!AT145)*255)</f>
        <v>85</v>
      </c>
      <c r="AU15" s="4">
        <f>INT(shadex('Shade - 1'!$D$9,'Shade - 1'!$E$9,'Shade - 1'!$F$9,'Shade - 1'!$D$7,Vertex!AU15,Vertex!AU80,Vertex!AU145,Normal!AU15,Normal!AU80,Normal!AU145)*255)</f>
        <v>90</v>
      </c>
      <c r="AV15" s="4">
        <f>INT(shadex('Shade - 1'!$D$9,'Shade - 1'!$E$9,'Shade - 1'!$F$9,'Shade - 1'!$D$7,Vertex!AV15,Vertex!AV80,Vertex!AV145,Normal!AV15,Normal!AV80,Normal!AV145)*255)</f>
        <v>88</v>
      </c>
      <c r="AW15" s="4">
        <f>INT(shadex('Shade - 1'!$D$9,'Shade - 1'!$E$9,'Shade - 1'!$F$9,'Shade - 1'!$D$7,Vertex!AW15,Vertex!AW80,Vertex!AW145,Normal!AW15,Normal!AW80,Normal!AW145)*255)</f>
        <v>83</v>
      </c>
      <c r="AX15" s="4">
        <f>INT(shadex('Shade - 1'!$D$9,'Shade - 1'!$E$9,'Shade - 1'!$F$9,'Shade - 1'!$D$7,Vertex!AX15,Vertex!AX80,Vertex!AX145,Normal!AX15,Normal!AX80,Normal!AX145)*255)</f>
        <v>69</v>
      </c>
      <c r="AY15" s="4">
        <f>INT(shadex('Shade - 1'!$D$9,'Shade - 1'!$E$9,'Shade - 1'!$F$9,'Shade - 1'!$D$7,Vertex!AY15,Vertex!AY80,Vertex!AY145,Normal!AY15,Normal!AY80,Normal!AY145)*255)</f>
        <v>68</v>
      </c>
      <c r="AZ15" s="4">
        <f>INT(shadex('Shade - 1'!$D$9,'Shade - 1'!$E$9,'Shade - 1'!$F$9,'Shade - 1'!$D$7,Vertex!AZ15,Vertex!AZ80,Vertex!AZ145,Normal!AZ15,Normal!AZ80,Normal!AZ145)*255)</f>
        <v>65</v>
      </c>
      <c r="BA15" s="4">
        <f>INT(shadex('Shade - 1'!$D$9,'Shade - 1'!$E$9,'Shade - 1'!$F$9,'Shade - 1'!$D$7,Vertex!BA15,Vertex!BA80,Vertex!BA145,Normal!BA15,Normal!BA80,Normal!BA145)*255)</f>
        <v>76</v>
      </c>
      <c r="BB15" s="4">
        <f>INT(shadex('Shade - 1'!$D$9,'Shade - 1'!$E$9,'Shade - 1'!$F$9,'Shade - 1'!$D$7,Vertex!BB15,Vertex!BB80,Vertex!BB145,Normal!BB15,Normal!BB80,Normal!BB145)*255)</f>
        <v>72</v>
      </c>
      <c r="BC15" s="4">
        <f>INT(shadex('Shade - 1'!$D$9,'Shade - 1'!$E$9,'Shade - 1'!$F$9,'Shade - 1'!$D$7,Vertex!BC15,Vertex!BC80,Vertex!BC145,Normal!BC15,Normal!BC80,Normal!BC145)*255)</f>
        <v>86</v>
      </c>
      <c r="BD15" s="4">
        <f>INT(shadex('Shade - 1'!$D$9,'Shade - 1'!$E$9,'Shade - 1'!$F$9,'Shade - 1'!$D$7,Vertex!BD15,Vertex!BD80,Vertex!BD145,Normal!BD15,Normal!BD80,Normal!BD145)*255)</f>
        <v>91</v>
      </c>
      <c r="BE15" s="4">
        <f>INT(shadex('Shade - 1'!$D$9,'Shade - 1'!$E$9,'Shade - 1'!$F$9,'Shade - 1'!$D$7,Vertex!BE15,Vertex!BE80,Vertex!BE145,Normal!BE15,Normal!BE80,Normal!BE145)*255)</f>
        <v>90</v>
      </c>
      <c r="BF15" s="4">
        <f>INT(shadex('Shade - 1'!$D$9,'Shade - 1'!$E$9,'Shade - 1'!$F$9,'Shade - 1'!$D$7,Vertex!BF15,Vertex!BF80,Vertex!BF145,Normal!BF15,Normal!BF80,Normal!BF145)*255)</f>
        <v>64</v>
      </c>
      <c r="BG15" s="4">
        <f>INT(shadex('Shade - 1'!$D$9,'Shade - 1'!$E$9,'Shade - 1'!$F$9,'Shade - 1'!$D$7,Vertex!BG15,Vertex!BG80,Vertex!BG145,Normal!BG15,Normal!BG80,Normal!BG145)*255)</f>
        <v>56</v>
      </c>
      <c r="BH15" s="4">
        <f>INT(shadex('Shade - 1'!$D$9,'Shade - 1'!$E$9,'Shade - 1'!$F$9,'Shade - 1'!$D$7,Vertex!BH15,Vertex!BH80,Vertex!BH145,Normal!BH15,Normal!BH80,Normal!BH145)*255)</f>
        <v>67</v>
      </c>
      <c r="BI15" s="4">
        <f>INT(shadex('Shade - 1'!$D$9,'Shade - 1'!$E$9,'Shade - 1'!$F$9,'Shade - 1'!$D$7,Vertex!BI15,Vertex!BI80,Vertex!BI145,Normal!BI15,Normal!BI80,Normal!BI145)*255)</f>
        <v>69</v>
      </c>
      <c r="BJ15" s="4">
        <f>INT(shadex('Shade - 1'!$D$9,'Shade - 1'!$E$9,'Shade - 1'!$F$9,'Shade - 1'!$D$7,Vertex!BJ15,Vertex!BJ80,Vertex!BJ145,Normal!BJ15,Normal!BJ80,Normal!BJ145)*255)</f>
        <v>73</v>
      </c>
      <c r="BK15" s="4">
        <f>INT(shadex('Shade - 1'!$D$9,'Shade - 1'!$E$9,'Shade - 1'!$F$9,'Shade - 1'!$D$7,Vertex!BK15,Vertex!BK80,Vertex!BK145,Normal!BK15,Normal!BK80,Normal!BK145)*255)</f>
        <v>83</v>
      </c>
      <c r="BL15" s="4">
        <f>INT(shadex('Shade - 1'!$D$9,'Shade - 1'!$E$9,'Shade - 1'!$F$9,'Shade - 1'!$D$7,Vertex!BL15,Vertex!BL80,Vertex!BL145,Normal!BL15,Normal!BL80,Normal!BL145)*255)</f>
        <v>80</v>
      </c>
    </row>
    <row r="16" spans="1:64" x14ac:dyDescent="0.25">
      <c r="A16">
        <f>INT(shadex('Shade - 1'!$D$9,'Shade - 1'!$E$9,'Shade - 1'!$F$9,'Shade - 1'!$D$7,Vertex!A16,Vertex!A81,Vertex!A146,Normal!A16,Normal!A81,Normal!A146)*255)</f>
        <v>0</v>
      </c>
      <c r="B16">
        <f>INT(shadex('Shade - 1'!$D$9,'Shade - 1'!$E$9,'Shade - 1'!$F$9,'Shade - 1'!$D$7,Vertex!B16,Vertex!B81,Vertex!B146,Normal!B16,Normal!B81,Normal!B146)*255)</f>
        <v>34</v>
      </c>
      <c r="C16">
        <f>INT(shadex('Shade - 1'!$D$9,'Shade - 1'!$E$9,'Shade - 1'!$F$9,'Shade - 1'!$D$7,Vertex!C16,Vertex!C81,Vertex!C146,Normal!C16,Normal!C81,Normal!C146)*255)</f>
        <v>56</v>
      </c>
      <c r="D16">
        <f>INT(shadex('Shade - 1'!$D$9,'Shade - 1'!$E$9,'Shade - 1'!$F$9,'Shade - 1'!$D$7,Vertex!D16,Vertex!D81,Vertex!D146,Normal!D16,Normal!D81,Normal!D146)*255)</f>
        <v>60</v>
      </c>
      <c r="E16">
        <f>INT(shadex('Shade - 1'!$D$9,'Shade - 1'!$E$9,'Shade - 1'!$F$9,'Shade - 1'!$D$7,Vertex!E16,Vertex!E81,Vertex!E146,Normal!E16,Normal!E81,Normal!E146)*255)</f>
        <v>78</v>
      </c>
      <c r="F16">
        <f>INT(shadex('Shade - 1'!$D$9,'Shade - 1'!$E$9,'Shade - 1'!$F$9,'Shade - 1'!$D$7,Vertex!F16,Vertex!F81,Vertex!F146,Normal!F16,Normal!F81,Normal!F146)*255)</f>
        <v>86</v>
      </c>
      <c r="G16">
        <f>INT(shadex('Shade - 1'!$D$9,'Shade - 1'!$E$9,'Shade - 1'!$F$9,'Shade - 1'!$D$7,Vertex!G16,Vertex!G81,Vertex!G146,Normal!G16,Normal!G81,Normal!G146)*255)</f>
        <v>79</v>
      </c>
      <c r="H16">
        <f>INT(shadex('Shade - 1'!$D$9,'Shade - 1'!$E$9,'Shade - 1'!$F$9,'Shade - 1'!$D$7,Vertex!H16,Vertex!H81,Vertex!H146,Normal!H16,Normal!H81,Normal!H146)*255)</f>
        <v>79</v>
      </c>
      <c r="I16">
        <f>INT(shadex('Shade - 1'!$D$9,'Shade - 1'!$E$9,'Shade - 1'!$F$9,'Shade - 1'!$D$7,Vertex!I16,Vertex!I81,Vertex!I146,Normal!I16,Normal!I81,Normal!I146)*255)</f>
        <v>87</v>
      </c>
      <c r="J16">
        <f>INT(shadex('Shade - 1'!$D$9,'Shade - 1'!$E$9,'Shade - 1'!$F$9,'Shade - 1'!$D$7,Vertex!J16,Vertex!J81,Vertex!J146,Normal!J16,Normal!J81,Normal!J146)*255)</f>
        <v>86</v>
      </c>
      <c r="K16">
        <f>INT(shadex('Shade - 1'!$D$9,'Shade - 1'!$E$9,'Shade - 1'!$F$9,'Shade - 1'!$D$7,Vertex!K16,Vertex!K81,Vertex!K146,Normal!K16,Normal!K81,Normal!K146)*255)</f>
        <v>76</v>
      </c>
      <c r="L16">
        <f>INT(shadex('Shade - 1'!$D$9,'Shade - 1'!$E$9,'Shade - 1'!$F$9,'Shade - 1'!$D$7,Vertex!L16,Vertex!L81,Vertex!L146,Normal!L16,Normal!L81,Normal!L146)*255)</f>
        <v>66</v>
      </c>
      <c r="M16">
        <f>INT(shadex('Shade - 1'!$D$9,'Shade - 1'!$E$9,'Shade - 1'!$F$9,'Shade - 1'!$D$7,Vertex!M16,Vertex!M81,Vertex!M146,Normal!M16,Normal!M81,Normal!M146)*255)</f>
        <v>62</v>
      </c>
      <c r="N16">
        <f>INT(shadex('Shade - 1'!$D$9,'Shade - 1'!$E$9,'Shade - 1'!$F$9,'Shade - 1'!$D$7,Vertex!N16,Vertex!N81,Vertex!N146,Normal!N16,Normal!N81,Normal!N146)*255)</f>
        <v>57</v>
      </c>
      <c r="O16">
        <f>INT(shadex('Shade - 1'!$D$9,'Shade - 1'!$E$9,'Shade - 1'!$F$9,'Shade - 1'!$D$7,Vertex!O16,Vertex!O81,Vertex!O146,Normal!O16,Normal!O81,Normal!O146)*255)</f>
        <v>38</v>
      </c>
      <c r="P16">
        <f>INT(shadex('Shade - 1'!$D$9,'Shade - 1'!$E$9,'Shade - 1'!$F$9,'Shade - 1'!$D$7,Vertex!P16,Vertex!P81,Vertex!P146,Normal!P16,Normal!P81,Normal!P146)*255)</f>
        <v>41</v>
      </c>
      <c r="Q16">
        <f>INT(shadex('Shade - 1'!$D$9,'Shade - 1'!$E$9,'Shade - 1'!$F$9,'Shade - 1'!$D$7,Vertex!Q16,Vertex!Q81,Vertex!Q146,Normal!Q16,Normal!Q81,Normal!Q146)*255)</f>
        <v>74</v>
      </c>
      <c r="R16">
        <f>INT(shadex('Shade - 1'!$D$9,'Shade - 1'!$E$9,'Shade - 1'!$F$9,'Shade - 1'!$D$7,Vertex!R16,Vertex!R81,Vertex!R146,Normal!R16,Normal!R81,Normal!R146)*255)</f>
        <v>92</v>
      </c>
      <c r="S16">
        <f>INT(shadex('Shade - 1'!$D$9,'Shade - 1'!$E$9,'Shade - 1'!$F$9,'Shade - 1'!$D$7,Vertex!S16,Vertex!S81,Vertex!S146,Normal!S16,Normal!S81,Normal!S146)*255)</f>
        <v>94</v>
      </c>
      <c r="T16">
        <f>INT(shadex('Shade - 1'!$D$9,'Shade - 1'!$E$9,'Shade - 1'!$F$9,'Shade - 1'!$D$7,Vertex!T16,Vertex!T81,Vertex!T146,Normal!T16,Normal!T81,Normal!T146)*255)</f>
        <v>94</v>
      </c>
      <c r="U16">
        <f>INT(shadex('Shade - 1'!$D$9,'Shade - 1'!$E$9,'Shade - 1'!$F$9,'Shade - 1'!$D$7,Vertex!U16,Vertex!U81,Vertex!U146,Normal!U16,Normal!U81,Normal!U146)*255)</f>
        <v>99</v>
      </c>
      <c r="V16">
        <f>INT(shadex('Shade - 1'!$D$9,'Shade - 1'!$E$9,'Shade - 1'!$F$9,'Shade - 1'!$D$7,Vertex!V16,Vertex!V81,Vertex!V146,Normal!V16,Normal!V81,Normal!V146)*255)</f>
        <v>99</v>
      </c>
      <c r="W16">
        <f>INT(shadex('Shade - 1'!$D$9,'Shade - 1'!$E$9,'Shade - 1'!$F$9,'Shade - 1'!$D$7,Vertex!W16,Vertex!W81,Vertex!W146,Normal!W16,Normal!W81,Normal!W146)*255)</f>
        <v>98</v>
      </c>
      <c r="X16">
        <f>INT(shadex('Shade - 1'!$D$9,'Shade - 1'!$E$9,'Shade - 1'!$F$9,'Shade - 1'!$D$7,Vertex!X16,Vertex!X81,Vertex!X146,Normal!X16,Normal!X81,Normal!X146)*255)</f>
        <v>97</v>
      </c>
      <c r="Y16">
        <f>INT(shadex('Shade - 1'!$D$9,'Shade - 1'!$E$9,'Shade - 1'!$F$9,'Shade - 1'!$D$7,Vertex!Y16,Vertex!Y81,Vertex!Y146,Normal!Y16,Normal!Y81,Normal!Y146)*255)</f>
        <v>73</v>
      </c>
      <c r="Z16">
        <f>INT(shadex('Shade - 1'!$D$9,'Shade - 1'!$E$9,'Shade - 1'!$F$9,'Shade - 1'!$D$7,Vertex!Z16,Vertex!Z81,Vertex!Z146,Normal!Z16,Normal!Z81,Normal!Z146)*255)</f>
        <v>48</v>
      </c>
      <c r="AA16">
        <f>INT(shadex('Shade - 1'!$D$9,'Shade - 1'!$E$9,'Shade - 1'!$F$9,'Shade - 1'!$D$7,Vertex!AA16,Vertex!AA81,Vertex!AA146,Normal!AA16,Normal!AA81,Normal!AA146)*255)</f>
        <v>43</v>
      </c>
      <c r="AB16">
        <f>INT(shadex('Shade - 1'!$D$9,'Shade - 1'!$E$9,'Shade - 1'!$F$9,'Shade - 1'!$D$7,Vertex!AB16,Vertex!AB81,Vertex!AB146,Normal!AB16,Normal!AB81,Normal!AB146)*255)</f>
        <v>32</v>
      </c>
      <c r="AC16">
        <f>INT(shadex('Shade - 1'!$D$9,'Shade - 1'!$E$9,'Shade - 1'!$F$9,'Shade - 1'!$D$7,Vertex!AC16,Vertex!AC81,Vertex!AC146,Normal!AC16,Normal!AC81,Normal!AC146)*255)</f>
        <v>76</v>
      </c>
      <c r="AD16">
        <f>INT(shadex('Shade - 1'!$D$9,'Shade - 1'!$E$9,'Shade - 1'!$F$9,'Shade - 1'!$D$7,Vertex!AD16,Vertex!AD81,Vertex!AD146,Normal!AD16,Normal!AD81,Normal!AD146)*255)</f>
        <v>99</v>
      </c>
      <c r="AE16">
        <f>INT(shadex('Shade - 1'!$D$9,'Shade - 1'!$E$9,'Shade - 1'!$F$9,'Shade - 1'!$D$7,Vertex!AE16,Vertex!AE81,Vertex!AE146,Normal!AE16,Normal!AE81,Normal!AE146)*255)</f>
        <v>97</v>
      </c>
      <c r="AF16">
        <f>INT(shadex('Shade - 1'!$D$9,'Shade - 1'!$E$9,'Shade - 1'!$F$9,'Shade - 1'!$D$7,Vertex!AF16,Vertex!AF81,Vertex!AF146,Normal!AF16,Normal!AF81,Normal!AF146)*255)</f>
        <v>98</v>
      </c>
      <c r="AG16">
        <f>INT(shadex('Shade - 1'!$D$9,'Shade - 1'!$E$9,'Shade - 1'!$F$9,'Shade - 1'!$D$7,Vertex!AG16,Vertex!AG81,Vertex!AG146,Normal!AG16,Normal!AG81,Normal!AG146)*255)</f>
        <v>94</v>
      </c>
      <c r="AH16">
        <f>INT(shadex('Shade - 1'!$D$9,'Shade - 1'!$E$9,'Shade - 1'!$F$9,'Shade - 1'!$D$7,Vertex!AH16,Vertex!AH81,Vertex!AH146,Normal!AH16,Normal!AH81,Normal!AH146)*255)</f>
        <v>85</v>
      </c>
      <c r="AI16" s="4">
        <f>INT(shadex('Shade - 1'!$D$9,'Shade - 1'!$E$9,'Shade - 1'!$F$9,'Shade - 1'!$D$7,Vertex!AI16,Vertex!AI81,Vertex!AI146,Normal!AI16,Normal!AI81,Normal!AI146)*255)</f>
        <v>81</v>
      </c>
      <c r="AJ16" s="4">
        <f>INT(shadex('Shade - 1'!$D$9,'Shade - 1'!$E$9,'Shade - 1'!$F$9,'Shade - 1'!$D$7,Vertex!AJ16,Vertex!AJ81,Vertex!AJ146,Normal!AJ16,Normal!AJ81,Normal!AJ146)*255)</f>
        <v>82</v>
      </c>
      <c r="AK16" s="4">
        <f>INT(shadex('Shade - 1'!$D$9,'Shade - 1'!$E$9,'Shade - 1'!$F$9,'Shade - 1'!$D$7,Vertex!AK16,Vertex!AK81,Vertex!AK146,Normal!AK16,Normal!AK81,Normal!AK146)*255)</f>
        <v>83</v>
      </c>
      <c r="AL16" s="4">
        <f>INT(shadex('Shade - 1'!$D$9,'Shade - 1'!$E$9,'Shade - 1'!$F$9,'Shade - 1'!$D$7,Vertex!AL16,Vertex!AL81,Vertex!AL146,Normal!AL16,Normal!AL81,Normal!AL146)*255)</f>
        <v>86</v>
      </c>
      <c r="AM16" s="4">
        <f>INT(shadex('Shade - 1'!$D$9,'Shade - 1'!$E$9,'Shade - 1'!$F$9,'Shade - 1'!$D$7,Vertex!AM16,Vertex!AM81,Vertex!AM146,Normal!AM16,Normal!AM81,Normal!AM146)*255)</f>
        <v>92</v>
      </c>
      <c r="AN16" s="4">
        <f>INT(shadex('Shade - 1'!$D$9,'Shade - 1'!$E$9,'Shade - 1'!$F$9,'Shade - 1'!$D$7,Vertex!AN16,Vertex!AN81,Vertex!AN146,Normal!AN16,Normal!AN81,Normal!AN146)*255)</f>
        <v>88</v>
      </c>
      <c r="AO16" s="4">
        <f>INT(shadex('Shade - 1'!$D$9,'Shade - 1'!$E$9,'Shade - 1'!$F$9,'Shade - 1'!$D$7,Vertex!AO16,Vertex!AO81,Vertex!AO146,Normal!AO16,Normal!AO81,Normal!AO146)*255)</f>
        <v>87</v>
      </c>
      <c r="AP16" s="4">
        <f>INT(shadex('Shade - 1'!$D$9,'Shade - 1'!$E$9,'Shade - 1'!$F$9,'Shade - 1'!$D$7,Vertex!AP16,Vertex!AP81,Vertex!AP146,Normal!AP16,Normal!AP81,Normal!AP146)*255)</f>
        <v>88</v>
      </c>
      <c r="AQ16" s="4">
        <f>INT(shadex('Shade - 1'!$D$9,'Shade - 1'!$E$9,'Shade - 1'!$F$9,'Shade - 1'!$D$7,Vertex!AQ16,Vertex!AQ81,Vertex!AQ146,Normal!AQ16,Normal!AQ81,Normal!AQ146)*255)</f>
        <v>92</v>
      </c>
      <c r="AR16" s="4">
        <f>INT(shadex('Shade - 1'!$D$9,'Shade - 1'!$E$9,'Shade - 1'!$F$9,'Shade - 1'!$D$7,Vertex!AR16,Vertex!AR81,Vertex!AR146,Normal!AR16,Normal!AR81,Normal!AR146)*255)</f>
        <v>85</v>
      </c>
      <c r="AS16" s="4">
        <f>INT(shadex('Shade - 1'!$D$9,'Shade - 1'!$E$9,'Shade - 1'!$F$9,'Shade - 1'!$D$7,Vertex!AS16,Vertex!AS81,Vertex!AS146,Normal!AS16,Normal!AS81,Normal!AS146)*255)</f>
        <v>79</v>
      </c>
      <c r="AT16" s="4">
        <f>INT(shadex('Shade - 1'!$D$9,'Shade - 1'!$E$9,'Shade - 1'!$F$9,'Shade - 1'!$D$7,Vertex!AT16,Vertex!AT81,Vertex!AT146,Normal!AT16,Normal!AT81,Normal!AT146)*255)</f>
        <v>86</v>
      </c>
      <c r="AU16" s="4">
        <f>INT(shadex('Shade - 1'!$D$9,'Shade - 1'!$E$9,'Shade - 1'!$F$9,'Shade - 1'!$D$7,Vertex!AU16,Vertex!AU81,Vertex!AU146,Normal!AU16,Normal!AU81,Normal!AU146)*255)</f>
        <v>95</v>
      </c>
      <c r="AV16" s="4">
        <f>INT(shadex('Shade - 1'!$D$9,'Shade - 1'!$E$9,'Shade - 1'!$F$9,'Shade - 1'!$D$7,Vertex!AV16,Vertex!AV81,Vertex!AV146,Normal!AV16,Normal!AV81,Normal!AV146)*255)</f>
        <v>95</v>
      </c>
      <c r="AW16" s="4">
        <f>INT(shadex('Shade - 1'!$D$9,'Shade - 1'!$E$9,'Shade - 1'!$F$9,'Shade - 1'!$D$7,Vertex!AW16,Vertex!AW81,Vertex!AW146,Normal!AW16,Normal!AW81,Normal!AW146)*255)</f>
        <v>93</v>
      </c>
      <c r="AX16" s="4">
        <f>INT(shadex('Shade - 1'!$D$9,'Shade - 1'!$E$9,'Shade - 1'!$F$9,'Shade - 1'!$D$7,Vertex!AX16,Vertex!AX81,Vertex!AX146,Normal!AX16,Normal!AX81,Normal!AX146)*255)</f>
        <v>66</v>
      </c>
      <c r="AY16" s="4">
        <f>INT(shadex('Shade - 1'!$D$9,'Shade - 1'!$E$9,'Shade - 1'!$F$9,'Shade - 1'!$D$7,Vertex!AY16,Vertex!AY81,Vertex!AY146,Normal!AY16,Normal!AY81,Normal!AY146)*255)</f>
        <v>71</v>
      </c>
      <c r="AZ16" s="4">
        <f>INT(shadex('Shade - 1'!$D$9,'Shade - 1'!$E$9,'Shade - 1'!$F$9,'Shade - 1'!$D$7,Vertex!AZ16,Vertex!AZ81,Vertex!AZ146,Normal!AZ16,Normal!AZ81,Normal!AZ146)*255)</f>
        <v>78</v>
      </c>
      <c r="BA16" s="4">
        <f>INT(shadex('Shade - 1'!$D$9,'Shade - 1'!$E$9,'Shade - 1'!$F$9,'Shade - 1'!$D$7,Vertex!BA16,Vertex!BA81,Vertex!BA146,Normal!BA16,Normal!BA81,Normal!BA146)*255)</f>
        <v>75</v>
      </c>
      <c r="BB16" s="4">
        <f>INT(shadex('Shade - 1'!$D$9,'Shade - 1'!$E$9,'Shade - 1'!$F$9,'Shade - 1'!$D$7,Vertex!BB16,Vertex!BB81,Vertex!BB146,Normal!BB16,Normal!BB81,Normal!BB146)*255)</f>
        <v>68</v>
      </c>
      <c r="BC16" s="4">
        <f>INT(shadex('Shade - 1'!$D$9,'Shade - 1'!$E$9,'Shade - 1'!$F$9,'Shade - 1'!$D$7,Vertex!BC16,Vertex!BC81,Vertex!BC146,Normal!BC16,Normal!BC81,Normal!BC146)*255)</f>
        <v>93</v>
      </c>
      <c r="BD16" s="4">
        <f>INT(shadex('Shade - 1'!$D$9,'Shade - 1'!$E$9,'Shade - 1'!$F$9,'Shade - 1'!$D$7,Vertex!BD16,Vertex!BD81,Vertex!BD146,Normal!BD16,Normal!BD81,Normal!BD146)*255)</f>
        <v>96</v>
      </c>
      <c r="BE16" s="4">
        <f>INT(shadex('Shade - 1'!$D$9,'Shade - 1'!$E$9,'Shade - 1'!$F$9,'Shade - 1'!$D$7,Vertex!BE16,Vertex!BE81,Vertex!BE146,Normal!BE16,Normal!BE81,Normal!BE146)*255)</f>
        <v>94</v>
      </c>
      <c r="BF16" s="4">
        <f>INT(shadex('Shade - 1'!$D$9,'Shade - 1'!$E$9,'Shade - 1'!$F$9,'Shade - 1'!$D$7,Vertex!BF16,Vertex!BF81,Vertex!BF146,Normal!BF16,Normal!BF81,Normal!BF146)*255)</f>
        <v>79</v>
      </c>
      <c r="BG16" s="4">
        <f>INT(shadex('Shade - 1'!$D$9,'Shade - 1'!$E$9,'Shade - 1'!$F$9,'Shade - 1'!$D$7,Vertex!BG16,Vertex!BG81,Vertex!BG146,Normal!BG16,Normal!BG81,Normal!BG146)*255)</f>
        <v>80</v>
      </c>
      <c r="BH16" s="4">
        <f>INT(shadex('Shade - 1'!$D$9,'Shade - 1'!$E$9,'Shade - 1'!$F$9,'Shade - 1'!$D$7,Vertex!BH16,Vertex!BH81,Vertex!BH146,Normal!BH16,Normal!BH81,Normal!BH146)*255)</f>
        <v>73</v>
      </c>
      <c r="BI16" s="4">
        <f>INT(shadex('Shade - 1'!$D$9,'Shade - 1'!$E$9,'Shade - 1'!$F$9,'Shade - 1'!$D$7,Vertex!BI16,Vertex!BI81,Vertex!BI146,Normal!BI16,Normal!BI81,Normal!BI146)*255)</f>
        <v>71</v>
      </c>
      <c r="BJ16" s="4">
        <f>INT(shadex('Shade - 1'!$D$9,'Shade - 1'!$E$9,'Shade - 1'!$F$9,'Shade - 1'!$D$7,Vertex!BJ16,Vertex!BJ81,Vertex!BJ146,Normal!BJ16,Normal!BJ81,Normal!BJ146)*255)</f>
        <v>68</v>
      </c>
      <c r="BK16" s="4">
        <f>INT(shadex('Shade - 1'!$D$9,'Shade - 1'!$E$9,'Shade - 1'!$F$9,'Shade - 1'!$D$7,Vertex!BK16,Vertex!BK81,Vertex!BK146,Normal!BK16,Normal!BK81,Normal!BK146)*255)</f>
        <v>83</v>
      </c>
      <c r="BL16" s="4">
        <f>INT(shadex('Shade - 1'!$D$9,'Shade - 1'!$E$9,'Shade - 1'!$F$9,'Shade - 1'!$D$7,Vertex!BL16,Vertex!BL81,Vertex!BL146,Normal!BL16,Normal!BL81,Normal!BL146)*255)</f>
        <v>77</v>
      </c>
    </row>
    <row r="17" spans="1:64" x14ac:dyDescent="0.25">
      <c r="A17">
        <f>INT(shadex('Shade - 1'!$D$9,'Shade - 1'!$E$9,'Shade - 1'!$F$9,'Shade - 1'!$D$7,Vertex!A17,Vertex!A82,Vertex!A147,Normal!A17,Normal!A82,Normal!A147)*255)</f>
        <v>41</v>
      </c>
      <c r="B17">
        <f>INT(shadex('Shade - 1'!$D$9,'Shade - 1'!$E$9,'Shade - 1'!$F$9,'Shade - 1'!$D$7,Vertex!B17,Vertex!B82,Vertex!B147,Normal!B17,Normal!B82,Normal!B147)*255)</f>
        <v>52</v>
      </c>
      <c r="C17">
        <f>INT(shadex('Shade - 1'!$D$9,'Shade - 1'!$E$9,'Shade - 1'!$F$9,'Shade - 1'!$D$7,Vertex!C17,Vertex!C82,Vertex!C147,Normal!C17,Normal!C82,Normal!C147)*255)</f>
        <v>56</v>
      </c>
      <c r="D17">
        <f>INT(shadex('Shade - 1'!$D$9,'Shade - 1'!$E$9,'Shade - 1'!$F$9,'Shade - 1'!$D$7,Vertex!D17,Vertex!D82,Vertex!D147,Normal!D17,Normal!D82,Normal!D147)*255)</f>
        <v>45</v>
      </c>
      <c r="E17">
        <f>INT(shadex('Shade - 1'!$D$9,'Shade - 1'!$E$9,'Shade - 1'!$F$9,'Shade - 1'!$D$7,Vertex!E17,Vertex!E82,Vertex!E147,Normal!E17,Normal!E82,Normal!E147)*255)</f>
        <v>65</v>
      </c>
      <c r="F17">
        <f>INT(shadex('Shade - 1'!$D$9,'Shade - 1'!$E$9,'Shade - 1'!$F$9,'Shade - 1'!$D$7,Vertex!F17,Vertex!F82,Vertex!F147,Normal!F17,Normal!F82,Normal!F147)*255)</f>
        <v>78</v>
      </c>
      <c r="G17">
        <f>INT(shadex('Shade - 1'!$D$9,'Shade - 1'!$E$9,'Shade - 1'!$F$9,'Shade - 1'!$D$7,Vertex!G17,Vertex!G82,Vertex!G147,Normal!G17,Normal!G82,Normal!G147)*255)</f>
        <v>71</v>
      </c>
      <c r="H17">
        <f>INT(shadex('Shade - 1'!$D$9,'Shade - 1'!$E$9,'Shade - 1'!$F$9,'Shade - 1'!$D$7,Vertex!H17,Vertex!H82,Vertex!H147,Normal!H17,Normal!H82,Normal!H147)*255)</f>
        <v>71</v>
      </c>
      <c r="I17">
        <f>INT(shadex('Shade - 1'!$D$9,'Shade - 1'!$E$9,'Shade - 1'!$F$9,'Shade - 1'!$D$7,Vertex!I17,Vertex!I82,Vertex!I147,Normal!I17,Normal!I82,Normal!I147)*255)</f>
        <v>85</v>
      </c>
      <c r="J17">
        <f>INT(shadex('Shade - 1'!$D$9,'Shade - 1'!$E$9,'Shade - 1'!$F$9,'Shade - 1'!$D$7,Vertex!J17,Vertex!J82,Vertex!J147,Normal!J17,Normal!J82,Normal!J147)*255)</f>
        <v>87</v>
      </c>
      <c r="K17">
        <f>INT(shadex('Shade - 1'!$D$9,'Shade - 1'!$E$9,'Shade - 1'!$F$9,'Shade - 1'!$D$7,Vertex!K17,Vertex!K82,Vertex!K147,Normal!K17,Normal!K82,Normal!K147)*255)</f>
        <v>84</v>
      </c>
      <c r="L17">
        <f>INT(shadex('Shade - 1'!$D$9,'Shade - 1'!$E$9,'Shade - 1'!$F$9,'Shade - 1'!$D$7,Vertex!L17,Vertex!L82,Vertex!L147,Normal!L17,Normal!L82,Normal!L147)*255)</f>
        <v>72</v>
      </c>
      <c r="M17">
        <f>INT(shadex('Shade - 1'!$D$9,'Shade - 1'!$E$9,'Shade - 1'!$F$9,'Shade - 1'!$D$7,Vertex!M17,Vertex!M82,Vertex!M147,Normal!M17,Normal!M82,Normal!M147)*255)</f>
        <v>58</v>
      </c>
      <c r="N17">
        <f>INT(shadex('Shade - 1'!$D$9,'Shade - 1'!$E$9,'Shade - 1'!$F$9,'Shade - 1'!$D$7,Vertex!N17,Vertex!N82,Vertex!N147,Normal!N17,Normal!N82,Normal!N147)*255)</f>
        <v>43</v>
      </c>
      <c r="O17">
        <f>INT(shadex('Shade - 1'!$D$9,'Shade - 1'!$E$9,'Shade - 1'!$F$9,'Shade - 1'!$D$7,Vertex!O17,Vertex!O82,Vertex!O147,Normal!O17,Normal!O82,Normal!O147)*255)</f>
        <v>0</v>
      </c>
      <c r="P17">
        <f>INT(shadex('Shade - 1'!$D$9,'Shade - 1'!$E$9,'Shade - 1'!$F$9,'Shade - 1'!$D$7,Vertex!P17,Vertex!P82,Vertex!P147,Normal!P17,Normal!P82,Normal!P147)*255)</f>
        <v>32</v>
      </c>
      <c r="Q17">
        <f>INT(shadex('Shade - 1'!$D$9,'Shade - 1'!$E$9,'Shade - 1'!$F$9,'Shade - 1'!$D$7,Vertex!Q17,Vertex!Q82,Vertex!Q147,Normal!Q17,Normal!Q82,Normal!Q147)*255)</f>
        <v>66</v>
      </c>
      <c r="R17">
        <f>INT(shadex('Shade - 1'!$D$9,'Shade - 1'!$E$9,'Shade - 1'!$F$9,'Shade - 1'!$D$7,Vertex!R17,Vertex!R82,Vertex!R147,Normal!R17,Normal!R82,Normal!R147)*255)</f>
        <v>80</v>
      </c>
      <c r="S17">
        <f>INT(shadex('Shade - 1'!$D$9,'Shade - 1'!$E$9,'Shade - 1'!$F$9,'Shade - 1'!$D$7,Vertex!S17,Vertex!S82,Vertex!S147,Normal!S17,Normal!S82,Normal!S147)*255)</f>
        <v>88</v>
      </c>
      <c r="T17">
        <f>INT(shadex('Shade - 1'!$D$9,'Shade - 1'!$E$9,'Shade - 1'!$F$9,'Shade - 1'!$D$7,Vertex!T17,Vertex!T82,Vertex!T147,Normal!T17,Normal!T82,Normal!T147)*255)</f>
        <v>96</v>
      </c>
      <c r="U17">
        <f>INT(shadex('Shade - 1'!$D$9,'Shade - 1'!$E$9,'Shade - 1'!$F$9,'Shade - 1'!$D$7,Vertex!U17,Vertex!U82,Vertex!U147,Normal!U17,Normal!U82,Normal!U147)*255)</f>
        <v>100</v>
      </c>
      <c r="V17">
        <f>INT(shadex('Shade - 1'!$D$9,'Shade - 1'!$E$9,'Shade - 1'!$F$9,'Shade - 1'!$D$7,Vertex!V17,Vertex!V82,Vertex!V147,Normal!V17,Normal!V82,Normal!V147)*255)</f>
        <v>100</v>
      </c>
      <c r="W17">
        <f>INT(shadex('Shade - 1'!$D$9,'Shade - 1'!$E$9,'Shade - 1'!$F$9,'Shade - 1'!$D$7,Vertex!W17,Vertex!W82,Vertex!W147,Normal!W17,Normal!W82,Normal!W147)*255)</f>
        <v>98</v>
      </c>
      <c r="X17">
        <f>INT(shadex('Shade - 1'!$D$9,'Shade - 1'!$E$9,'Shade - 1'!$F$9,'Shade - 1'!$D$7,Vertex!X17,Vertex!X82,Vertex!X147,Normal!X17,Normal!X82,Normal!X147)*255)</f>
        <v>100</v>
      </c>
      <c r="Y17">
        <f>INT(shadex('Shade - 1'!$D$9,'Shade - 1'!$E$9,'Shade - 1'!$F$9,'Shade - 1'!$D$7,Vertex!Y17,Vertex!Y82,Vertex!Y147,Normal!Y17,Normal!Y82,Normal!Y147)*255)</f>
        <v>94</v>
      </c>
      <c r="Z17">
        <f>INT(shadex('Shade - 1'!$D$9,'Shade - 1'!$E$9,'Shade - 1'!$F$9,'Shade - 1'!$D$7,Vertex!Z17,Vertex!Z82,Vertex!Z147,Normal!Z17,Normal!Z82,Normal!Z147)*255)</f>
        <v>74</v>
      </c>
      <c r="AA17">
        <f>INT(shadex('Shade - 1'!$D$9,'Shade - 1'!$E$9,'Shade - 1'!$F$9,'Shade - 1'!$D$7,Vertex!AA17,Vertex!AA82,Vertex!AA147,Normal!AA17,Normal!AA82,Normal!AA147)*255)</f>
        <v>60</v>
      </c>
      <c r="AB17">
        <f>INT(shadex('Shade - 1'!$D$9,'Shade - 1'!$E$9,'Shade - 1'!$F$9,'Shade - 1'!$D$7,Vertex!AB17,Vertex!AB82,Vertex!AB147,Normal!AB17,Normal!AB82,Normal!AB147)*255)</f>
        <v>31</v>
      </c>
      <c r="AC17">
        <f>INT(shadex('Shade - 1'!$D$9,'Shade - 1'!$E$9,'Shade - 1'!$F$9,'Shade - 1'!$D$7,Vertex!AC17,Vertex!AC82,Vertex!AC147,Normal!AC17,Normal!AC82,Normal!AC147)*255)</f>
        <v>59</v>
      </c>
      <c r="AD17">
        <f>INT(shadex('Shade - 1'!$D$9,'Shade - 1'!$E$9,'Shade - 1'!$F$9,'Shade - 1'!$D$7,Vertex!AD17,Vertex!AD82,Vertex!AD147,Normal!AD17,Normal!AD82,Normal!AD147)*255)</f>
        <v>81</v>
      </c>
      <c r="AE17">
        <f>INT(shadex('Shade - 1'!$D$9,'Shade - 1'!$E$9,'Shade - 1'!$F$9,'Shade - 1'!$D$7,Vertex!AE17,Vertex!AE82,Vertex!AE147,Normal!AE17,Normal!AE82,Normal!AE147)*255)</f>
        <v>94</v>
      </c>
      <c r="AF17">
        <f>INT(shadex('Shade - 1'!$D$9,'Shade - 1'!$E$9,'Shade - 1'!$F$9,'Shade - 1'!$D$7,Vertex!AF17,Vertex!AF82,Vertex!AF147,Normal!AF17,Normal!AF82,Normal!AF147)*255)</f>
        <v>98</v>
      </c>
      <c r="AG17">
        <f>INT(shadex('Shade - 1'!$D$9,'Shade - 1'!$E$9,'Shade - 1'!$F$9,'Shade - 1'!$D$7,Vertex!AG17,Vertex!AG82,Vertex!AG147,Normal!AG17,Normal!AG82,Normal!AG147)*255)</f>
        <v>97</v>
      </c>
      <c r="AH17">
        <f>INT(shadex('Shade - 1'!$D$9,'Shade - 1'!$E$9,'Shade - 1'!$F$9,'Shade - 1'!$D$7,Vertex!AH17,Vertex!AH82,Vertex!AH147,Normal!AH17,Normal!AH82,Normal!AH147)*255)</f>
        <v>92</v>
      </c>
      <c r="AI17" s="4">
        <f>INT(shadex('Shade - 1'!$D$9,'Shade - 1'!$E$9,'Shade - 1'!$F$9,'Shade - 1'!$D$7,Vertex!AI17,Vertex!AI82,Vertex!AI147,Normal!AI17,Normal!AI82,Normal!AI147)*255)</f>
        <v>90</v>
      </c>
      <c r="AJ17" s="4">
        <f>INT(shadex('Shade - 1'!$D$9,'Shade - 1'!$E$9,'Shade - 1'!$F$9,'Shade - 1'!$D$7,Vertex!AJ17,Vertex!AJ82,Vertex!AJ147,Normal!AJ17,Normal!AJ82,Normal!AJ147)*255)</f>
        <v>94</v>
      </c>
      <c r="AK17" s="4">
        <f>INT(shadex('Shade - 1'!$D$9,'Shade - 1'!$E$9,'Shade - 1'!$F$9,'Shade - 1'!$D$7,Vertex!AK17,Vertex!AK82,Vertex!AK147,Normal!AK17,Normal!AK82,Normal!AK147)*255)</f>
        <v>95</v>
      </c>
      <c r="AL17" s="4">
        <f>INT(shadex('Shade - 1'!$D$9,'Shade - 1'!$E$9,'Shade - 1'!$F$9,'Shade - 1'!$D$7,Vertex!AL17,Vertex!AL82,Vertex!AL147,Normal!AL17,Normal!AL82,Normal!AL147)*255)</f>
        <v>86</v>
      </c>
      <c r="AM17" s="4">
        <f>INT(shadex('Shade - 1'!$D$9,'Shade - 1'!$E$9,'Shade - 1'!$F$9,'Shade - 1'!$D$7,Vertex!AM17,Vertex!AM82,Vertex!AM147,Normal!AM17,Normal!AM82,Normal!AM147)*255)</f>
        <v>82</v>
      </c>
      <c r="AN17" s="4">
        <f>INT(shadex('Shade - 1'!$D$9,'Shade - 1'!$E$9,'Shade - 1'!$F$9,'Shade - 1'!$D$7,Vertex!AN17,Vertex!AN82,Vertex!AN147,Normal!AN17,Normal!AN82,Normal!AN147)*255)</f>
        <v>84</v>
      </c>
      <c r="AO17" s="4">
        <f>INT(shadex('Shade - 1'!$D$9,'Shade - 1'!$E$9,'Shade - 1'!$F$9,'Shade - 1'!$D$7,Vertex!AO17,Vertex!AO82,Vertex!AO147,Normal!AO17,Normal!AO82,Normal!AO147)*255)</f>
        <v>87</v>
      </c>
      <c r="AP17" s="4">
        <f>INT(shadex('Shade - 1'!$D$9,'Shade - 1'!$E$9,'Shade - 1'!$F$9,'Shade - 1'!$D$7,Vertex!AP17,Vertex!AP82,Vertex!AP147,Normal!AP17,Normal!AP82,Normal!AP147)*255)</f>
        <v>86</v>
      </c>
      <c r="AQ17" s="4">
        <f>INT(shadex('Shade - 1'!$D$9,'Shade - 1'!$E$9,'Shade - 1'!$F$9,'Shade - 1'!$D$7,Vertex!AQ17,Vertex!AQ82,Vertex!AQ147,Normal!AQ17,Normal!AQ82,Normal!AQ147)*255)</f>
        <v>91</v>
      </c>
      <c r="AR17" s="4">
        <f>INT(shadex('Shade - 1'!$D$9,'Shade - 1'!$E$9,'Shade - 1'!$F$9,'Shade - 1'!$D$7,Vertex!AR17,Vertex!AR82,Vertex!AR147,Normal!AR17,Normal!AR82,Normal!AR147)*255)</f>
        <v>90</v>
      </c>
      <c r="AS17" s="4">
        <f>INT(shadex('Shade - 1'!$D$9,'Shade - 1'!$E$9,'Shade - 1'!$F$9,'Shade - 1'!$D$7,Vertex!AS17,Vertex!AS82,Vertex!AS147,Normal!AS17,Normal!AS82,Normal!AS147)*255)</f>
        <v>92</v>
      </c>
      <c r="AT17" s="4">
        <f>INT(shadex('Shade - 1'!$D$9,'Shade - 1'!$E$9,'Shade - 1'!$F$9,'Shade - 1'!$D$7,Vertex!AT17,Vertex!AT82,Vertex!AT147,Normal!AT17,Normal!AT82,Normal!AT147)*255)</f>
        <v>97</v>
      </c>
      <c r="AU17" s="4">
        <f>INT(shadex('Shade - 1'!$D$9,'Shade - 1'!$E$9,'Shade - 1'!$F$9,'Shade - 1'!$D$7,Vertex!AU17,Vertex!AU82,Vertex!AU147,Normal!AU17,Normal!AU82,Normal!AU147)*255)</f>
        <v>99</v>
      </c>
      <c r="AV17" s="4">
        <f>INT(shadex('Shade - 1'!$D$9,'Shade - 1'!$E$9,'Shade - 1'!$F$9,'Shade - 1'!$D$7,Vertex!AV17,Vertex!AV82,Vertex!AV147,Normal!AV17,Normal!AV82,Normal!AV147)*255)</f>
        <v>97</v>
      </c>
      <c r="AW17" s="4">
        <f>INT(shadex('Shade - 1'!$D$9,'Shade - 1'!$E$9,'Shade - 1'!$F$9,'Shade - 1'!$D$7,Vertex!AW17,Vertex!AW82,Vertex!AW147,Normal!AW17,Normal!AW82,Normal!AW147)*255)</f>
        <v>99</v>
      </c>
      <c r="AX17" s="4">
        <f>INT(shadex('Shade - 1'!$D$9,'Shade - 1'!$E$9,'Shade - 1'!$F$9,'Shade - 1'!$D$7,Vertex!AX17,Vertex!AX82,Vertex!AX147,Normal!AX17,Normal!AX82,Normal!AX147)*255)</f>
        <v>74</v>
      </c>
      <c r="AY17" s="4">
        <f>INT(shadex('Shade - 1'!$D$9,'Shade - 1'!$E$9,'Shade - 1'!$F$9,'Shade - 1'!$D$7,Vertex!AY17,Vertex!AY82,Vertex!AY147,Normal!AY17,Normal!AY82,Normal!AY147)*255)</f>
        <v>71</v>
      </c>
      <c r="AZ17" s="4">
        <f>INT(shadex('Shade - 1'!$D$9,'Shade - 1'!$E$9,'Shade - 1'!$F$9,'Shade - 1'!$D$7,Vertex!AZ17,Vertex!AZ82,Vertex!AZ147,Normal!AZ17,Normal!AZ82,Normal!AZ147)*255)</f>
        <v>79</v>
      </c>
      <c r="BA17" s="4">
        <f>INT(shadex('Shade - 1'!$D$9,'Shade - 1'!$E$9,'Shade - 1'!$F$9,'Shade - 1'!$D$7,Vertex!BA17,Vertex!BA82,Vertex!BA147,Normal!BA17,Normal!BA82,Normal!BA147)*255)</f>
        <v>70</v>
      </c>
      <c r="BB17" s="4">
        <f>INT(shadex('Shade - 1'!$D$9,'Shade - 1'!$E$9,'Shade - 1'!$F$9,'Shade - 1'!$D$7,Vertex!BB17,Vertex!BB82,Vertex!BB147,Normal!BB17,Normal!BB82,Normal!BB147)*255)</f>
        <v>52</v>
      </c>
      <c r="BC17" s="4">
        <f>INT(shadex('Shade - 1'!$D$9,'Shade - 1'!$E$9,'Shade - 1'!$F$9,'Shade - 1'!$D$7,Vertex!BC17,Vertex!BC82,Vertex!BC147,Normal!BC17,Normal!BC82,Normal!BC147)*255)</f>
        <v>82</v>
      </c>
      <c r="BD17" s="4">
        <f>INT(shadex('Shade - 1'!$D$9,'Shade - 1'!$E$9,'Shade - 1'!$F$9,'Shade - 1'!$D$7,Vertex!BD17,Vertex!BD82,Vertex!BD147,Normal!BD17,Normal!BD82,Normal!BD147)*255)</f>
        <v>89</v>
      </c>
      <c r="BE17" s="4">
        <f>INT(shadex('Shade - 1'!$D$9,'Shade - 1'!$E$9,'Shade - 1'!$F$9,'Shade - 1'!$D$7,Vertex!BE17,Vertex!BE82,Vertex!BE147,Normal!BE17,Normal!BE82,Normal!BE147)*255)</f>
        <v>84</v>
      </c>
      <c r="BF17" s="4">
        <f>INT(shadex('Shade - 1'!$D$9,'Shade - 1'!$E$9,'Shade - 1'!$F$9,'Shade - 1'!$D$7,Vertex!BF17,Vertex!BF82,Vertex!BF147,Normal!BF17,Normal!BF82,Normal!BF147)*255)</f>
        <v>70</v>
      </c>
      <c r="BG17" s="4">
        <f>INT(shadex('Shade - 1'!$D$9,'Shade - 1'!$E$9,'Shade - 1'!$F$9,'Shade - 1'!$D$7,Vertex!BG17,Vertex!BG82,Vertex!BG147,Normal!BG17,Normal!BG82,Normal!BG147)*255)</f>
        <v>93</v>
      </c>
      <c r="BH17" s="4">
        <f>INT(shadex('Shade - 1'!$D$9,'Shade - 1'!$E$9,'Shade - 1'!$F$9,'Shade - 1'!$D$7,Vertex!BH17,Vertex!BH82,Vertex!BH147,Normal!BH17,Normal!BH82,Normal!BH147)*255)</f>
        <v>92</v>
      </c>
      <c r="BI17" s="4">
        <f>INT(shadex('Shade - 1'!$D$9,'Shade - 1'!$E$9,'Shade - 1'!$F$9,'Shade - 1'!$D$7,Vertex!BI17,Vertex!BI82,Vertex!BI147,Normal!BI17,Normal!BI82,Normal!BI147)*255)</f>
        <v>78</v>
      </c>
      <c r="BJ17" s="4">
        <f>INT(shadex('Shade - 1'!$D$9,'Shade - 1'!$E$9,'Shade - 1'!$F$9,'Shade - 1'!$D$7,Vertex!BJ17,Vertex!BJ82,Vertex!BJ147,Normal!BJ17,Normal!BJ82,Normal!BJ147)*255)</f>
        <v>81</v>
      </c>
      <c r="BK17" s="4">
        <f>INT(shadex('Shade - 1'!$D$9,'Shade - 1'!$E$9,'Shade - 1'!$F$9,'Shade - 1'!$D$7,Vertex!BK17,Vertex!BK82,Vertex!BK147,Normal!BK17,Normal!BK82,Normal!BK147)*255)</f>
        <v>88</v>
      </c>
      <c r="BL17" s="4">
        <f>INT(shadex('Shade - 1'!$D$9,'Shade - 1'!$E$9,'Shade - 1'!$F$9,'Shade - 1'!$D$7,Vertex!BL17,Vertex!BL82,Vertex!BL147,Normal!BL17,Normal!BL82,Normal!BL147)*255)</f>
        <v>92</v>
      </c>
    </row>
    <row r="18" spans="1:64" x14ac:dyDescent="0.25">
      <c r="A18">
        <f>INT(shadex('Shade - 1'!$D$9,'Shade - 1'!$E$9,'Shade - 1'!$F$9,'Shade - 1'!$D$7,Vertex!A18,Vertex!A83,Vertex!A148,Normal!A18,Normal!A83,Normal!A148)*255)</f>
        <v>76</v>
      </c>
      <c r="B18">
        <f>INT(shadex('Shade - 1'!$D$9,'Shade - 1'!$E$9,'Shade - 1'!$F$9,'Shade - 1'!$D$7,Vertex!B18,Vertex!B83,Vertex!B148,Normal!B18,Normal!B83,Normal!B148)*255)</f>
        <v>74</v>
      </c>
      <c r="C18">
        <f>INT(shadex('Shade - 1'!$D$9,'Shade - 1'!$E$9,'Shade - 1'!$F$9,'Shade - 1'!$D$7,Vertex!C18,Vertex!C83,Vertex!C148,Normal!C18,Normal!C83,Normal!C148)*255)</f>
        <v>55</v>
      </c>
      <c r="D18">
        <f>INT(shadex('Shade - 1'!$D$9,'Shade - 1'!$E$9,'Shade - 1'!$F$9,'Shade - 1'!$D$7,Vertex!D18,Vertex!D83,Vertex!D148,Normal!D18,Normal!D83,Normal!D148)*255)</f>
        <v>47</v>
      </c>
      <c r="E18">
        <f>INT(shadex('Shade - 1'!$D$9,'Shade - 1'!$E$9,'Shade - 1'!$F$9,'Shade - 1'!$D$7,Vertex!E18,Vertex!E83,Vertex!E148,Normal!E18,Normal!E83,Normal!E148)*255)</f>
        <v>59</v>
      </c>
      <c r="F18">
        <f>INT(shadex('Shade - 1'!$D$9,'Shade - 1'!$E$9,'Shade - 1'!$F$9,'Shade - 1'!$D$7,Vertex!F18,Vertex!F83,Vertex!F148,Normal!F18,Normal!F83,Normal!F148)*255)</f>
        <v>72</v>
      </c>
      <c r="G18">
        <f>INT(shadex('Shade - 1'!$D$9,'Shade - 1'!$E$9,'Shade - 1'!$F$9,'Shade - 1'!$D$7,Vertex!G18,Vertex!G83,Vertex!G148,Normal!G18,Normal!G83,Normal!G148)*255)</f>
        <v>78</v>
      </c>
      <c r="H18">
        <f>INT(shadex('Shade - 1'!$D$9,'Shade - 1'!$E$9,'Shade - 1'!$F$9,'Shade - 1'!$D$7,Vertex!H18,Vertex!H83,Vertex!H148,Normal!H18,Normal!H83,Normal!H148)*255)</f>
        <v>79</v>
      </c>
      <c r="I18">
        <f>INT(shadex('Shade - 1'!$D$9,'Shade - 1'!$E$9,'Shade - 1'!$F$9,'Shade - 1'!$D$7,Vertex!I18,Vertex!I83,Vertex!I148,Normal!I18,Normal!I83,Normal!I148)*255)</f>
        <v>76</v>
      </c>
      <c r="J18">
        <f>INT(shadex('Shade - 1'!$D$9,'Shade - 1'!$E$9,'Shade - 1'!$F$9,'Shade - 1'!$D$7,Vertex!J18,Vertex!J83,Vertex!J148,Normal!J18,Normal!J83,Normal!J148)*255)</f>
        <v>83</v>
      </c>
      <c r="K18">
        <f>INT(shadex('Shade - 1'!$D$9,'Shade - 1'!$E$9,'Shade - 1'!$F$9,'Shade - 1'!$D$7,Vertex!K18,Vertex!K83,Vertex!K148,Normal!K18,Normal!K83,Normal!K148)*255)</f>
        <v>96</v>
      </c>
      <c r="L18">
        <f>INT(shadex('Shade - 1'!$D$9,'Shade - 1'!$E$9,'Shade - 1'!$F$9,'Shade - 1'!$D$7,Vertex!L18,Vertex!L83,Vertex!L148,Normal!L18,Normal!L83,Normal!L148)*255)</f>
        <v>90</v>
      </c>
      <c r="M18">
        <f>INT(shadex('Shade - 1'!$D$9,'Shade - 1'!$E$9,'Shade - 1'!$F$9,'Shade - 1'!$D$7,Vertex!M18,Vertex!M83,Vertex!M148,Normal!M18,Normal!M83,Normal!M148)*255)</f>
        <v>72</v>
      </c>
      <c r="N18">
        <f>INT(shadex('Shade - 1'!$D$9,'Shade - 1'!$E$9,'Shade - 1'!$F$9,'Shade - 1'!$D$7,Vertex!N18,Vertex!N83,Vertex!N148,Normal!N18,Normal!N83,Normal!N148)*255)</f>
        <v>50</v>
      </c>
      <c r="O18">
        <f>INT(shadex('Shade - 1'!$D$9,'Shade - 1'!$E$9,'Shade - 1'!$F$9,'Shade - 1'!$D$7,Vertex!O18,Vertex!O83,Vertex!O148,Normal!O18,Normal!O83,Normal!O148)*255)</f>
        <v>0</v>
      </c>
      <c r="P18">
        <f>INT(shadex('Shade - 1'!$D$9,'Shade - 1'!$E$9,'Shade - 1'!$F$9,'Shade - 1'!$D$7,Vertex!P18,Vertex!P83,Vertex!P148,Normal!P18,Normal!P83,Normal!P148)*255)</f>
        <v>0</v>
      </c>
      <c r="Q18">
        <f>INT(shadex('Shade - 1'!$D$9,'Shade - 1'!$E$9,'Shade - 1'!$F$9,'Shade - 1'!$D$7,Vertex!Q18,Vertex!Q83,Vertex!Q148,Normal!Q18,Normal!Q83,Normal!Q148)*255)</f>
        <v>48</v>
      </c>
      <c r="R18">
        <f>INT(shadex('Shade - 1'!$D$9,'Shade - 1'!$E$9,'Shade - 1'!$F$9,'Shade - 1'!$D$7,Vertex!R18,Vertex!R83,Vertex!R148,Normal!R18,Normal!R83,Normal!R148)*255)</f>
        <v>60</v>
      </c>
      <c r="S18">
        <f>INT(shadex('Shade - 1'!$D$9,'Shade - 1'!$E$9,'Shade - 1'!$F$9,'Shade - 1'!$D$7,Vertex!S18,Vertex!S83,Vertex!S148,Normal!S18,Normal!S83,Normal!S148)*255)</f>
        <v>74</v>
      </c>
      <c r="T18">
        <f>INT(shadex('Shade - 1'!$D$9,'Shade - 1'!$E$9,'Shade - 1'!$F$9,'Shade - 1'!$D$7,Vertex!T18,Vertex!T83,Vertex!T148,Normal!T18,Normal!T83,Normal!T148)*255)</f>
        <v>81</v>
      </c>
      <c r="U18">
        <f>INT(shadex('Shade - 1'!$D$9,'Shade - 1'!$E$9,'Shade - 1'!$F$9,'Shade - 1'!$D$7,Vertex!U18,Vertex!U83,Vertex!U148,Normal!U18,Normal!U83,Normal!U148)*255)</f>
        <v>86</v>
      </c>
      <c r="V18">
        <f>INT(shadex('Shade - 1'!$D$9,'Shade - 1'!$E$9,'Shade - 1'!$F$9,'Shade - 1'!$D$7,Vertex!V18,Vertex!V83,Vertex!V148,Normal!V18,Normal!V83,Normal!V148)*255)</f>
        <v>96</v>
      </c>
      <c r="W18">
        <f>INT(shadex('Shade - 1'!$D$9,'Shade - 1'!$E$9,'Shade - 1'!$F$9,'Shade - 1'!$D$7,Vertex!W18,Vertex!W83,Vertex!W148,Normal!W18,Normal!W83,Normal!W148)*255)</f>
        <v>99</v>
      </c>
      <c r="X18">
        <f>INT(shadex('Shade - 1'!$D$9,'Shade - 1'!$E$9,'Shade - 1'!$F$9,'Shade - 1'!$D$7,Vertex!X18,Vertex!X83,Vertex!X148,Normal!X18,Normal!X83,Normal!X148)*255)</f>
        <v>100</v>
      </c>
      <c r="Y18">
        <f>INT(shadex('Shade - 1'!$D$9,'Shade - 1'!$E$9,'Shade - 1'!$F$9,'Shade - 1'!$D$7,Vertex!Y18,Vertex!Y83,Vertex!Y148,Normal!Y18,Normal!Y83,Normal!Y148)*255)</f>
        <v>91</v>
      </c>
      <c r="Z18">
        <f>INT(shadex('Shade - 1'!$D$9,'Shade - 1'!$E$9,'Shade - 1'!$F$9,'Shade - 1'!$D$7,Vertex!Z18,Vertex!Z83,Vertex!Z148,Normal!Z18,Normal!Z83,Normal!Z148)*255)</f>
        <v>77</v>
      </c>
      <c r="AA18">
        <f>INT(shadex('Shade - 1'!$D$9,'Shade - 1'!$E$9,'Shade - 1'!$F$9,'Shade - 1'!$D$7,Vertex!AA18,Vertex!AA83,Vertex!AA148,Normal!AA18,Normal!AA83,Normal!AA148)*255)</f>
        <v>80</v>
      </c>
      <c r="AB18">
        <f>INT(shadex('Shade - 1'!$D$9,'Shade - 1'!$E$9,'Shade - 1'!$F$9,'Shade - 1'!$D$7,Vertex!AB18,Vertex!AB83,Vertex!AB148,Normal!AB18,Normal!AB83,Normal!AB148)*255)</f>
        <v>65</v>
      </c>
      <c r="AC18">
        <f>INT(shadex('Shade - 1'!$D$9,'Shade - 1'!$E$9,'Shade - 1'!$F$9,'Shade - 1'!$D$7,Vertex!AC18,Vertex!AC83,Vertex!AC148,Normal!AC18,Normal!AC83,Normal!AC148)*255)</f>
        <v>69</v>
      </c>
      <c r="AD18">
        <f>INT(shadex('Shade - 1'!$D$9,'Shade - 1'!$E$9,'Shade - 1'!$F$9,'Shade - 1'!$D$7,Vertex!AD18,Vertex!AD83,Vertex!AD148,Normal!AD18,Normal!AD83,Normal!AD148)*255)</f>
        <v>65</v>
      </c>
      <c r="AE18">
        <f>INT(shadex('Shade - 1'!$D$9,'Shade - 1'!$E$9,'Shade - 1'!$F$9,'Shade - 1'!$D$7,Vertex!AE18,Vertex!AE83,Vertex!AE148,Normal!AE18,Normal!AE83,Normal!AE148)*255)</f>
        <v>78</v>
      </c>
      <c r="AF18">
        <f>INT(shadex('Shade - 1'!$D$9,'Shade - 1'!$E$9,'Shade - 1'!$F$9,'Shade - 1'!$D$7,Vertex!AF18,Vertex!AF83,Vertex!AF148,Normal!AF18,Normal!AF83,Normal!AF148)*255)</f>
        <v>88</v>
      </c>
      <c r="AG18">
        <f>INT(shadex('Shade - 1'!$D$9,'Shade - 1'!$E$9,'Shade - 1'!$F$9,'Shade - 1'!$D$7,Vertex!AG18,Vertex!AG83,Vertex!AG148,Normal!AG18,Normal!AG83,Normal!AG148)*255)</f>
        <v>92</v>
      </c>
      <c r="AH18">
        <f>INT(shadex('Shade - 1'!$D$9,'Shade - 1'!$E$9,'Shade - 1'!$F$9,'Shade - 1'!$D$7,Vertex!AH18,Vertex!AH83,Vertex!AH148,Normal!AH18,Normal!AH83,Normal!AH148)*255)</f>
        <v>97</v>
      </c>
      <c r="AI18" s="4">
        <f>INT(shadex('Shade - 1'!$D$9,'Shade - 1'!$E$9,'Shade - 1'!$F$9,'Shade - 1'!$D$7,Vertex!AI18,Vertex!AI83,Vertex!AI148,Normal!AI18,Normal!AI83,Normal!AI148)*255)</f>
        <v>99</v>
      </c>
      <c r="AJ18" s="4">
        <f>INT(shadex('Shade - 1'!$D$9,'Shade - 1'!$E$9,'Shade - 1'!$F$9,'Shade - 1'!$D$7,Vertex!AJ18,Vertex!AJ83,Vertex!AJ148,Normal!AJ18,Normal!AJ83,Normal!AJ148)*255)</f>
        <v>98</v>
      </c>
      <c r="AK18" s="4">
        <f>INT(shadex('Shade - 1'!$D$9,'Shade - 1'!$E$9,'Shade - 1'!$F$9,'Shade - 1'!$D$7,Vertex!AK18,Vertex!AK83,Vertex!AK148,Normal!AK18,Normal!AK83,Normal!AK148)*255)</f>
        <v>93</v>
      </c>
      <c r="AL18" s="4">
        <f>INT(shadex('Shade - 1'!$D$9,'Shade - 1'!$E$9,'Shade - 1'!$F$9,'Shade - 1'!$D$7,Vertex!AL18,Vertex!AL83,Vertex!AL148,Normal!AL18,Normal!AL83,Normal!AL148)*255)</f>
        <v>87</v>
      </c>
      <c r="AM18" s="4">
        <f>INT(shadex('Shade - 1'!$D$9,'Shade - 1'!$E$9,'Shade - 1'!$F$9,'Shade - 1'!$D$7,Vertex!AM18,Vertex!AM83,Vertex!AM148,Normal!AM18,Normal!AM83,Normal!AM148)*255)</f>
        <v>81</v>
      </c>
      <c r="AN18" s="4">
        <f>INT(shadex('Shade - 1'!$D$9,'Shade - 1'!$E$9,'Shade - 1'!$F$9,'Shade - 1'!$D$7,Vertex!AN18,Vertex!AN83,Vertex!AN148,Normal!AN18,Normal!AN83,Normal!AN148)*255)</f>
        <v>87</v>
      </c>
      <c r="AO18" s="4">
        <f>INT(shadex('Shade - 1'!$D$9,'Shade - 1'!$E$9,'Shade - 1'!$F$9,'Shade - 1'!$D$7,Vertex!AO18,Vertex!AO83,Vertex!AO148,Normal!AO18,Normal!AO83,Normal!AO148)*255)</f>
        <v>97</v>
      </c>
      <c r="AP18" s="4">
        <f>INT(shadex('Shade - 1'!$D$9,'Shade - 1'!$E$9,'Shade - 1'!$F$9,'Shade - 1'!$D$7,Vertex!AP18,Vertex!AP83,Vertex!AP148,Normal!AP18,Normal!AP83,Normal!AP148)*255)</f>
        <v>96</v>
      </c>
      <c r="AQ18" s="4">
        <f>INT(shadex('Shade - 1'!$D$9,'Shade - 1'!$E$9,'Shade - 1'!$F$9,'Shade - 1'!$D$7,Vertex!AQ18,Vertex!AQ83,Vertex!AQ148,Normal!AQ18,Normal!AQ83,Normal!AQ148)*255)</f>
        <v>94</v>
      </c>
      <c r="AR18" s="4">
        <f>INT(shadex('Shade - 1'!$D$9,'Shade - 1'!$E$9,'Shade - 1'!$F$9,'Shade - 1'!$D$7,Vertex!AR18,Vertex!AR83,Vertex!AR148,Normal!AR18,Normal!AR83,Normal!AR148)*255)</f>
        <v>93</v>
      </c>
      <c r="AS18" s="4">
        <f>INT(shadex('Shade - 1'!$D$9,'Shade - 1'!$E$9,'Shade - 1'!$F$9,'Shade - 1'!$D$7,Vertex!AS18,Vertex!AS83,Vertex!AS148,Normal!AS18,Normal!AS83,Normal!AS148)*255)</f>
        <v>97</v>
      </c>
      <c r="AT18" s="4">
        <f>INT(shadex('Shade - 1'!$D$9,'Shade - 1'!$E$9,'Shade - 1'!$F$9,'Shade - 1'!$D$7,Vertex!AT18,Vertex!AT83,Vertex!AT148,Normal!AT18,Normal!AT83,Normal!AT148)*255)</f>
        <v>100</v>
      </c>
      <c r="AU18" s="4">
        <f>INT(shadex('Shade - 1'!$D$9,'Shade - 1'!$E$9,'Shade - 1'!$F$9,'Shade - 1'!$D$7,Vertex!AU18,Vertex!AU83,Vertex!AU148,Normal!AU18,Normal!AU83,Normal!AU148)*255)</f>
        <v>99</v>
      </c>
      <c r="AV18" s="4">
        <f>INT(shadex('Shade - 1'!$D$9,'Shade - 1'!$E$9,'Shade - 1'!$F$9,'Shade - 1'!$D$7,Vertex!AV18,Vertex!AV83,Vertex!AV148,Normal!AV18,Normal!AV83,Normal!AV148)*255)</f>
        <v>97</v>
      </c>
      <c r="AW18" s="4">
        <f>INT(shadex('Shade - 1'!$D$9,'Shade - 1'!$E$9,'Shade - 1'!$F$9,'Shade - 1'!$D$7,Vertex!AW18,Vertex!AW83,Vertex!AW148,Normal!AW18,Normal!AW83,Normal!AW148)*255)</f>
        <v>99</v>
      </c>
      <c r="AX18" s="4">
        <f>INT(shadex('Shade - 1'!$D$9,'Shade - 1'!$E$9,'Shade - 1'!$F$9,'Shade - 1'!$D$7,Vertex!AX18,Vertex!AX83,Vertex!AX148,Normal!AX18,Normal!AX83,Normal!AX148)*255)</f>
        <v>94</v>
      </c>
      <c r="AY18" s="4">
        <f>INT(shadex('Shade - 1'!$D$9,'Shade - 1'!$E$9,'Shade - 1'!$F$9,'Shade - 1'!$D$7,Vertex!AY18,Vertex!AY83,Vertex!AY148,Normal!AY18,Normal!AY83,Normal!AY148)*255)</f>
        <v>85</v>
      </c>
      <c r="AZ18" s="4">
        <f>INT(shadex('Shade - 1'!$D$9,'Shade - 1'!$E$9,'Shade - 1'!$F$9,'Shade - 1'!$D$7,Vertex!AZ18,Vertex!AZ83,Vertex!AZ148,Normal!AZ18,Normal!AZ83,Normal!AZ148)*255)</f>
        <v>76</v>
      </c>
      <c r="BA18" s="4">
        <f>INT(shadex('Shade - 1'!$D$9,'Shade - 1'!$E$9,'Shade - 1'!$F$9,'Shade - 1'!$D$7,Vertex!BA18,Vertex!BA83,Vertex!BA148,Normal!BA18,Normal!BA83,Normal!BA148)*255)</f>
        <v>66</v>
      </c>
      <c r="BB18" s="4">
        <f>INT(shadex('Shade - 1'!$D$9,'Shade - 1'!$E$9,'Shade - 1'!$F$9,'Shade - 1'!$D$7,Vertex!BB18,Vertex!BB83,Vertex!BB148,Normal!BB18,Normal!BB83,Normal!BB148)*255)</f>
        <v>50</v>
      </c>
      <c r="BC18" s="4">
        <f>INT(shadex('Shade - 1'!$D$9,'Shade - 1'!$E$9,'Shade - 1'!$F$9,'Shade - 1'!$D$7,Vertex!BC18,Vertex!BC83,Vertex!BC148,Normal!BC18,Normal!BC83,Normal!BC148)*255)</f>
        <v>84</v>
      </c>
      <c r="BD18" s="4">
        <f>INT(shadex('Shade - 1'!$D$9,'Shade - 1'!$E$9,'Shade - 1'!$F$9,'Shade - 1'!$D$7,Vertex!BD18,Vertex!BD83,Vertex!BD148,Normal!BD18,Normal!BD83,Normal!BD148)*255)</f>
        <v>97</v>
      </c>
      <c r="BE18" s="4">
        <f>INT(shadex('Shade - 1'!$D$9,'Shade - 1'!$E$9,'Shade - 1'!$F$9,'Shade - 1'!$D$7,Vertex!BE18,Vertex!BE83,Vertex!BE148,Normal!BE18,Normal!BE83,Normal!BE148)*255)</f>
        <v>97</v>
      </c>
      <c r="BF18" s="4">
        <f>INT(shadex('Shade - 1'!$D$9,'Shade - 1'!$E$9,'Shade - 1'!$F$9,'Shade - 1'!$D$7,Vertex!BF18,Vertex!BF83,Vertex!BF148,Normal!BF18,Normal!BF83,Normal!BF148)*255)</f>
        <v>71</v>
      </c>
      <c r="BG18" s="4">
        <f>INT(shadex('Shade - 1'!$D$9,'Shade - 1'!$E$9,'Shade - 1'!$F$9,'Shade - 1'!$D$7,Vertex!BG18,Vertex!BG83,Vertex!BG148,Normal!BG18,Normal!BG83,Normal!BG148)*255)</f>
        <v>95</v>
      </c>
      <c r="BH18" s="4">
        <f>INT(shadex('Shade - 1'!$D$9,'Shade - 1'!$E$9,'Shade - 1'!$F$9,'Shade - 1'!$D$7,Vertex!BH18,Vertex!BH83,Vertex!BH148,Normal!BH18,Normal!BH83,Normal!BH148)*255)</f>
        <v>99</v>
      </c>
      <c r="BI18" s="4">
        <f>INT(shadex('Shade - 1'!$D$9,'Shade - 1'!$E$9,'Shade - 1'!$F$9,'Shade - 1'!$D$7,Vertex!BI18,Vertex!BI83,Vertex!BI148,Normal!BI18,Normal!BI83,Normal!BI148)*255)</f>
        <v>88</v>
      </c>
      <c r="BJ18" s="4">
        <f>INT(shadex('Shade - 1'!$D$9,'Shade - 1'!$E$9,'Shade - 1'!$F$9,'Shade - 1'!$D$7,Vertex!BJ18,Vertex!BJ83,Vertex!BJ148,Normal!BJ18,Normal!BJ83,Normal!BJ148)*255)</f>
        <v>88</v>
      </c>
      <c r="BK18" s="4">
        <f>INT(shadex('Shade - 1'!$D$9,'Shade - 1'!$E$9,'Shade - 1'!$F$9,'Shade - 1'!$D$7,Vertex!BK18,Vertex!BK83,Vertex!BK148,Normal!BK18,Normal!BK83,Normal!BK148)*255)</f>
        <v>91</v>
      </c>
      <c r="BL18" s="4">
        <f>INT(shadex('Shade - 1'!$D$9,'Shade - 1'!$E$9,'Shade - 1'!$F$9,'Shade - 1'!$D$7,Vertex!BL18,Vertex!BL83,Vertex!BL148,Normal!BL18,Normal!BL83,Normal!BL148)*255)</f>
        <v>98</v>
      </c>
    </row>
    <row r="19" spans="1:64" x14ac:dyDescent="0.25">
      <c r="A19">
        <f>INT(shadex('Shade - 1'!$D$9,'Shade - 1'!$E$9,'Shade - 1'!$F$9,'Shade - 1'!$D$7,Vertex!A19,Vertex!A84,Vertex!A149,Normal!A19,Normal!A84,Normal!A149)*255)</f>
        <v>77</v>
      </c>
      <c r="B19">
        <f>INT(shadex('Shade - 1'!$D$9,'Shade - 1'!$E$9,'Shade - 1'!$F$9,'Shade - 1'!$D$7,Vertex!B19,Vertex!B84,Vertex!B149,Normal!B19,Normal!B84,Normal!B149)*255)</f>
        <v>83</v>
      </c>
      <c r="C19">
        <f>INT(shadex('Shade - 1'!$D$9,'Shade - 1'!$E$9,'Shade - 1'!$F$9,'Shade - 1'!$D$7,Vertex!C19,Vertex!C84,Vertex!C149,Normal!C19,Normal!C84,Normal!C149)*255)</f>
        <v>68</v>
      </c>
      <c r="D19">
        <f>INT(shadex('Shade - 1'!$D$9,'Shade - 1'!$E$9,'Shade - 1'!$F$9,'Shade - 1'!$D$7,Vertex!D19,Vertex!D84,Vertex!D149,Normal!D19,Normal!D84,Normal!D149)*255)</f>
        <v>61</v>
      </c>
      <c r="E19">
        <f>INT(shadex('Shade - 1'!$D$9,'Shade - 1'!$E$9,'Shade - 1'!$F$9,'Shade - 1'!$D$7,Vertex!E19,Vertex!E84,Vertex!E149,Normal!E19,Normal!E84,Normal!E149)*255)</f>
        <v>73</v>
      </c>
      <c r="F19">
        <f>INT(shadex('Shade - 1'!$D$9,'Shade - 1'!$E$9,'Shade - 1'!$F$9,'Shade - 1'!$D$7,Vertex!F19,Vertex!F84,Vertex!F149,Normal!F19,Normal!F84,Normal!F149)*255)</f>
        <v>58</v>
      </c>
      <c r="G19">
        <f>INT(shadex('Shade - 1'!$D$9,'Shade - 1'!$E$9,'Shade - 1'!$F$9,'Shade - 1'!$D$7,Vertex!G19,Vertex!G84,Vertex!G149,Normal!G19,Normal!G84,Normal!G149)*255)</f>
        <v>60</v>
      </c>
      <c r="H19">
        <f>INT(shadex('Shade - 1'!$D$9,'Shade - 1'!$E$9,'Shade - 1'!$F$9,'Shade - 1'!$D$7,Vertex!H19,Vertex!H84,Vertex!H149,Normal!H19,Normal!H84,Normal!H149)*255)</f>
        <v>87</v>
      </c>
      <c r="I19">
        <f>INT(shadex('Shade - 1'!$D$9,'Shade - 1'!$E$9,'Shade - 1'!$F$9,'Shade - 1'!$D$7,Vertex!I19,Vertex!I84,Vertex!I149,Normal!I19,Normal!I84,Normal!I149)*255)</f>
        <v>81</v>
      </c>
      <c r="J19">
        <f>INT(shadex('Shade - 1'!$D$9,'Shade - 1'!$E$9,'Shade - 1'!$F$9,'Shade - 1'!$D$7,Vertex!J19,Vertex!J84,Vertex!J149,Normal!J19,Normal!J84,Normal!J149)*255)</f>
        <v>66</v>
      </c>
      <c r="K19">
        <f>INT(shadex('Shade - 1'!$D$9,'Shade - 1'!$E$9,'Shade - 1'!$F$9,'Shade - 1'!$D$7,Vertex!K19,Vertex!K84,Vertex!K149,Normal!K19,Normal!K84,Normal!K149)*255)</f>
        <v>96</v>
      </c>
      <c r="L19">
        <f>INT(shadex('Shade - 1'!$D$9,'Shade - 1'!$E$9,'Shade - 1'!$F$9,'Shade - 1'!$D$7,Vertex!L19,Vertex!L84,Vertex!L149,Normal!L19,Normal!L84,Normal!L149)*255)</f>
        <v>99</v>
      </c>
      <c r="M19">
        <f>INT(shadex('Shade - 1'!$D$9,'Shade - 1'!$E$9,'Shade - 1'!$F$9,'Shade - 1'!$D$7,Vertex!M19,Vertex!M84,Vertex!M149,Normal!M19,Normal!M84,Normal!M149)*255)</f>
        <v>85</v>
      </c>
      <c r="N19">
        <f>INT(shadex('Shade - 1'!$D$9,'Shade - 1'!$E$9,'Shade - 1'!$F$9,'Shade - 1'!$D$7,Vertex!N19,Vertex!N84,Vertex!N149,Normal!N19,Normal!N84,Normal!N149)*255)</f>
        <v>71</v>
      </c>
      <c r="O19">
        <f>INT(shadex('Shade - 1'!$D$9,'Shade - 1'!$E$9,'Shade - 1'!$F$9,'Shade - 1'!$D$7,Vertex!O19,Vertex!O84,Vertex!O149,Normal!O19,Normal!O84,Normal!O149)*255)</f>
        <v>41</v>
      </c>
      <c r="P19">
        <f>INT(shadex('Shade - 1'!$D$9,'Shade - 1'!$E$9,'Shade - 1'!$F$9,'Shade - 1'!$D$7,Vertex!P19,Vertex!P84,Vertex!P149,Normal!P19,Normal!P84,Normal!P149)*255)</f>
        <v>36</v>
      </c>
      <c r="Q19">
        <f>INT(shadex('Shade - 1'!$D$9,'Shade - 1'!$E$9,'Shade - 1'!$F$9,'Shade - 1'!$D$7,Vertex!Q19,Vertex!Q84,Vertex!Q149,Normal!Q19,Normal!Q84,Normal!Q149)*255)</f>
        <v>71</v>
      </c>
      <c r="R19">
        <f>INT(shadex('Shade - 1'!$D$9,'Shade - 1'!$E$9,'Shade - 1'!$F$9,'Shade - 1'!$D$7,Vertex!R19,Vertex!R84,Vertex!R149,Normal!R19,Normal!R84,Normal!R149)*255)</f>
        <v>81</v>
      </c>
      <c r="S19">
        <f>INT(shadex('Shade - 1'!$D$9,'Shade - 1'!$E$9,'Shade - 1'!$F$9,'Shade - 1'!$D$7,Vertex!S19,Vertex!S84,Vertex!S149,Normal!S19,Normal!S84,Normal!S149)*255)</f>
        <v>78</v>
      </c>
      <c r="T19">
        <f>INT(shadex('Shade - 1'!$D$9,'Shade - 1'!$E$9,'Shade - 1'!$F$9,'Shade - 1'!$D$7,Vertex!T19,Vertex!T84,Vertex!T149,Normal!T19,Normal!T84,Normal!T149)*255)</f>
        <v>81</v>
      </c>
      <c r="U19">
        <f>INT(shadex('Shade - 1'!$D$9,'Shade - 1'!$E$9,'Shade - 1'!$F$9,'Shade - 1'!$D$7,Vertex!U19,Vertex!U84,Vertex!U149,Normal!U19,Normal!U84,Normal!U149)*255)</f>
        <v>84</v>
      </c>
      <c r="V19">
        <f>INT(shadex('Shade - 1'!$D$9,'Shade - 1'!$E$9,'Shade - 1'!$F$9,'Shade - 1'!$D$7,Vertex!V19,Vertex!V84,Vertex!V149,Normal!V19,Normal!V84,Normal!V149)*255)</f>
        <v>78</v>
      </c>
      <c r="W19">
        <f>INT(shadex('Shade - 1'!$D$9,'Shade - 1'!$E$9,'Shade - 1'!$F$9,'Shade - 1'!$D$7,Vertex!W19,Vertex!W84,Vertex!W149,Normal!W19,Normal!W84,Normal!W149)*255)</f>
        <v>97</v>
      </c>
      <c r="X19">
        <f>INT(shadex('Shade - 1'!$D$9,'Shade - 1'!$E$9,'Shade - 1'!$F$9,'Shade - 1'!$D$7,Vertex!X19,Vertex!X84,Vertex!X149,Normal!X19,Normal!X84,Normal!X149)*255)</f>
        <v>97</v>
      </c>
      <c r="Y19">
        <f>INT(shadex('Shade - 1'!$D$9,'Shade - 1'!$E$9,'Shade - 1'!$F$9,'Shade - 1'!$D$7,Vertex!Y19,Vertex!Y84,Vertex!Y149,Normal!Y19,Normal!Y84,Normal!Y149)*255)</f>
        <v>86</v>
      </c>
      <c r="Z19">
        <f>INT(shadex('Shade - 1'!$D$9,'Shade - 1'!$E$9,'Shade - 1'!$F$9,'Shade - 1'!$D$7,Vertex!Z19,Vertex!Z84,Vertex!Z149,Normal!Z19,Normal!Z84,Normal!Z149)*255)</f>
        <v>87</v>
      </c>
      <c r="AA19">
        <f>INT(shadex('Shade - 1'!$D$9,'Shade - 1'!$E$9,'Shade - 1'!$F$9,'Shade - 1'!$D$7,Vertex!AA19,Vertex!AA84,Vertex!AA149,Normal!AA19,Normal!AA84,Normal!AA149)*255)</f>
        <v>86</v>
      </c>
      <c r="AB19">
        <f>INT(shadex('Shade - 1'!$D$9,'Shade - 1'!$E$9,'Shade - 1'!$F$9,'Shade - 1'!$D$7,Vertex!AB19,Vertex!AB84,Vertex!AB149,Normal!AB19,Normal!AB84,Normal!AB149)*255)</f>
        <v>86</v>
      </c>
      <c r="AC19">
        <f>INT(shadex('Shade - 1'!$D$9,'Shade - 1'!$E$9,'Shade - 1'!$F$9,'Shade - 1'!$D$7,Vertex!AC19,Vertex!AC84,Vertex!AC149,Normal!AC19,Normal!AC84,Normal!AC149)*255)</f>
        <v>90</v>
      </c>
      <c r="AD19">
        <f>INT(shadex('Shade - 1'!$D$9,'Shade - 1'!$E$9,'Shade - 1'!$F$9,'Shade - 1'!$D$7,Vertex!AD19,Vertex!AD84,Vertex!AD149,Normal!AD19,Normal!AD84,Normal!AD149)*255)</f>
        <v>76</v>
      </c>
      <c r="AE19">
        <f>INT(shadex('Shade - 1'!$D$9,'Shade - 1'!$E$9,'Shade - 1'!$F$9,'Shade - 1'!$D$7,Vertex!AE19,Vertex!AE84,Vertex!AE149,Normal!AE19,Normal!AE84,Normal!AE149)*255)</f>
        <v>82</v>
      </c>
      <c r="AF19">
        <f>INT(shadex('Shade - 1'!$D$9,'Shade - 1'!$E$9,'Shade - 1'!$F$9,'Shade - 1'!$D$7,Vertex!AF19,Vertex!AF84,Vertex!AF149,Normal!AF19,Normal!AF84,Normal!AF149)*255)</f>
        <v>94</v>
      </c>
      <c r="AG19">
        <f>INT(shadex('Shade - 1'!$D$9,'Shade - 1'!$E$9,'Shade - 1'!$F$9,'Shade - 1'!$D$7,Vertex!AG19,Vertex!AG84,Vertex!AG149,Normal!AG19,Normal!AG84,Normal!AG149)*255)</f>
        <v>92</v>
      </c>
      <c r="AH19">
        <f>INT(shadex('Shade - 1'!$D$9,'Shade - 1'!$E$9,'Shade - 1'!$F$9,'Shade - 1'!$D$7,Vertex!AH19,Vertex!AH84,Vertex!AH149,Normal!AH19,Normal!AH84,Normal!AH149)*255)</f>
        <v>90</v>
      </c>
      <c r="AI19" s="4">
        <f>INT(shadex('Shade - 1'!$D$9,'Shade - 1'!$E$9,'Shade - 1'!$F$9,'Shade - 1'!$D$7,Vertex!AI19,Vertex!AI84,Vertex!AI149,Normal!AI19,Normal!AI84,Normal!AI149)*255)</f>
        <v>94</v>
      </c>
      <c r="AJ19" s="4">
        <f>INT(shadex('Shade - 1'!$D$9,'Shade - 1'!$E$9,'Shade - 1'!$F$9,'Shade - 1'!$D$7,Vertex!AJ19,Vertex!AJ84,Vertex!AJ149,Normal!AJ19,Normal!AJ84,Normal!AJ149)*255)</f>
        <v>95</v>
      </c>
      <c r="AK19" s="4">
        <f>INT(shadex('Shade - 1'!$D$9,'Shade - 1'!$E$9,'Shade - 1'!$F$9,'Shade - 1'!$D$7,Vertex!AK19,Vertex!AK84,Vertex!AK149,Normal!AK19,Normal!AK84,Normal!AK149)*255)</f>
        <v>93</v>
      </c>
      <c r="AL19" s="4">
        <f>INT(shadex('Shade - 1'!$D$9,'Shade - 1'!$E$9,'Shade - 1'!$F$9,'Shade - 1'!$D$7,Vertex!AL19,Vertex!AL84,Vertex!AL149,Normal!AL19,Normal!AL84,Normal!AL149)*255)</f>
        <v>90</v>
      </c>
      <c r="AM19" s="4">
        <f>INT(shadex('Shade - 1'!$D$9,'Shade - 1'!$E$9,'Shade - 1'!$F$9,'Shade - 1'!$D$7,Vertex!AM19,Vertex!AM84,Vertex!AM149,Normal!AM19,Normal!AM84,Normal!AM149)*255)</f>
        <v>89</v>
      </c>
      <c r="AN19" s="4">
        <f>INT(shadex('Shade - 1'!$D$9,'Shade - 1'!$E$9,'Shade - 1'!$F$9,'Shade - 1'!$D$7,Vertex!AN19,Vertex!AN84,Vertex!AN149,Normal!AN19,Normal!AN84,Normal!AN149)*255)</f>
        <v>92</v>
      </c>
      <c r="AO19" s="4">
        <f>INT(shadex('Shade - 1'!$D$9,'Shade - 1'!$E$9,'Shade - 1'!$F$9,'Shade - 1'!$D$7,Vertex!AO19,Vertex!AO84,Vertex!AO149,Normal!AO19,Normal!AO84,Normal!AO149)*255)</f>
        <v>98</v>
      </c>
      <c r="AP19" s="4">
        <f>INT(shadex('Shade - 1'!$D$9,'Shade - 1'!$E$9,'Shade - 1'!$F$9,'Shade - 1'!$D$7,Vertex!AP19,Vertex!AP84,Vertex!AP149,Normal!AP19,Normal!AP84,Normal!AP149)*255)</f>
        <v>99</v>
      </c>
      <c r="AQ19" s="4">
        <f>INT(shadex('Shade - 1'!$D$9,'Shade - 1'!$E$9,'Shade - 1'!$F$9,'Shade - 1'!$D$7,Vertex!AQ19,Vertex!AQ84,Vertex!AQ149,Normal!AQ19,Normal!AQ84,Normal!AQ149)*255)</f>
        <v>98</v>
      </c>
      <c r="AR19" s="4">
        <f>INT(shadex('Shade - 1'!$D$9,'Shade - 1'!$E$9,'Shade - 1'!$F$9,'Shade - 1'!$D$7,Vertex!AR19,Vertex!AR84,Vertex!AR149,Normal!AR19,Normal!AR84,Normal!AR149)*255)</f>
        <v>98</v>
      </c>
      <c r="AS19" s="4">
        <f>INT(shadex('Shade - 1'!$D$9,'Shade - 1'!$E$9,'Shade - 1'!$F$9,'Shade - 1'!$D$7,Vertex!AS19,Vertex!AS84,Vertex!AS149,Normal!AS19,Normal!AS84,Normal!AS149)*255)</f>
        <v>100</v>
      </c>
      <c r="AT19" s="4">
        <f>INT(shadex('Shade - 1'!$D$9,'Shade - 1'!$E$9,'Shade - 1'!$F$9,'Shade - 1'!$D$7,Vertex!AT19,Vertex!AT84,Vertex!AT149,Normal!AT19,Normal!AT84,Normal!AT149)*255)</f>
        <v>96</v>
      </c>
      <c r="AU19" s="4">
        <f>INT(shadex('Shade - 1'!$D$9,'Shade - 1'!$E$9,'Shade - 1'!$F$9,'Shade - 1'!$D$7,Vertex!AU19,Vertex!AU84,Vertex!AU149,Normal!AU19,Normal!AU84,Normal!AU149)*255)</f>
        <v>96</v>
      </c>
      <c r="AV19" s="4">
        <f>INT(shadex('Shade - 1'!$D$9,'Shade - 1'!$E$9,'Shade - 1'!$F$9,'Shade - 1'!$D$7,Vertex!AV19,Vertex!AV84,Vertex!AV149,Normal!AV19,Normal!AV84,Normal!AV149)*255)</f>
        <v>96</v>
      </c>
      <c r="AW19" s="4">
        <f>INT(shadex('Shade - 1'!$D$9,'Shade - 1'!$E$9,'Shade - 1'!$F$9,'Shade - 1'!$D$7,Vertex!AW19,Vertex!AW84,Vertex!AW149,Normal!AW19,Normal!AW84,Normal!AW149)*255)</f>
        <v>97</v>
      </c>
      <c r="AX19" s="4">
        <f>INT(shadex('Shade - 1'!$D$9,'Shade - 1'!$E$9,'Shade - 1'!$F$9,'Shade - 1'!$D$7,Vertex!AX19,Vertex!AX84,Vertex!AX149,Normal!AX19,Normal!AX84,Normal!AX149)*255)</f>
        <v>100</v>
      </c>
      <c r="AY19" s="4">
        <f>INT(shadex('Shade - 1'!$D$9,'Shade - 1'!$E$9,'Shade - 1'!$F$9,'Shade - 1'!$D$7,Vertex!AY19,Vertex!AY84,Vertex!AY149,Normal!AY19,Normal!AY84,Normal!AY149)*255)</f>
        <v>97</v>
      </c>
      <c r="AZ19" s="4">
        <f>INT(shadex('Shade - 1'!$D$9,'Shade - 1'!$E$9,'Shade - 1'!$F$9,'Shade - 1'!$D$7,Vertex!AZ19,Vertex!AZ84,Vertex!AZ149,Normal!AZ19,Normal!AZ84,Normal!AZ149)*255)</f>
        <v>90</v>
      </c>
      <c r="BA19" s="4">
        <f>INT(shadex('Shade - 1'!$D$9,'Shade - 1'!$E$9,'Shade - 1'!$F$9,'Shade - 1'!$D$7,Vertex!BA19,Vertex!BA84,Vertex!BA149,Normal!BA19,Normal!BA84,Normal!BA149)*255)</f>
        <v>74</v>
      </c>
      <c r="BB19" s="4">
        <f>INT(shadex('Shade - 1'!$D$9,'Shade - 1'!$E$9,'Shade - 1'!$F$9,'Shade - 1'!$D$7,Vertex!BB19,Vertex!BB84,Vertex!BB149,Normal!BB19,Normal!BB84,Normal!BB149)*255)</f>
        <v>56</v>
      </c>
      <c r="BC19" s="4">
        <f>INT(shadex('Shade - 1'!$D$9,'Shade - 1'!$E$9,'Shade - 1'!$F$9,'Shade - 1'!$D$7,Vertex!BC19,Vertex!BC84,Vertex!BC149,Normal!BC19,Normal!BC84,Normal!BC149)*255)</f>
        <v>85</v>
      </c>
      <c r="BD19" s="4">
        <f>INT(shadex('Shade - 1'!$D$9,'Shade - 1'!$E$9,'Shade - 1'!$F$9,'Shade - 1'!$D$7,Vertex!BD19,Vertex!BD84,Vertex!BD149,Normal!BD19,Normal!BD84,Normal!BD149)*255)</f>
        <v>99</v>
      </c>
      <c r="BE19" s="4">
        <f>INT(shadex('Shade - 1'!$D$9,'Shade - 1'!$E$9,'Shade - 1'!$F$9,'Shade - 1'!$D$7,Vertex!BE19,Vertex!BE84,Vertex!BE149,Normal!BE19,Normal!BE84,Normal!BE149)*255)</f>
        <v>97</v>
      </c>
      <c r="BF19" s="4">
        <f>INT(shadex('Shade - 1'!$D$9,'Shade - 1'!$E$9,'Shade - 1'!$F$9,'Shade - 1'!$D$7,Vertex!BF19,Vertex!BF84,Vertex!BF149,Normal!BF19,Normal!BF84,Normal!BF149)*255)</f>
        <v>73</v>
      </c>
      <c r="BG19" s="4">
        <f>INT(shadex('Shade - 1'!$D$9,'Shade - 1'!$E$9,'Shade - 1'!$F$9,'Shade - 1'!$D$7,Vertex!BG19,Vertex!BG84,Vertex!BG149,Normal!BG19,Normal!BG84,Normal!BG149)*255)</f>
        <v>85</v>
      </c>
      <c r="BH19" s="4">
        <f>INT(shadex('Shade - 1'!$D$9,'Shade - 1'!$E$9,'Shade - 1'!$F$9,'Shade - 1'!$D$7,Vertex!BH19,Vertex!BH84,Vertex!BH149,Normal!BH19,Normal!BH84,Normal!BH149)*255)</f>
        <v>96</v>
      </c>
      <c r="BI19" s="4">
        <f>INT(shadex('Shade - 1'!$D$9,'Shade - 1'!$E$9,'Shade - 1'!$F$9,'Shade - 1'!$D$7,Vertex!BI19,Vertex!BI84,Vertex!BI149,Normal!BI19,Normal!BI84,Normal!BI149)*255)</f>
        <v>96</v>
      </c>
      <c r="BJ19" s="4">
        <f>INT(shadex('Shade - 1'!$D$9,'Shade - 1'!$E$9,'Shade - 1'!$F$9,'Shade - 1'!$D$7,Vertex!BJ19,Vertex!BJ84,Vertex!BJ149,Normal!BJ19,Normal!BJ84,Normal!BJ149)*255)</f>
        <v>98</v>
      </c>
      <c r="BK19" s="4">
        <f>INT(shadex('Shade - 1'!$D$9,'Shade - 1'!$E$9,'Shade - 1'!$F$9,'Shade - 1'!$D$7,Vertex!BK19,Vertex!BK84,Vertex!BK149,Normal!BK19,Normal!BK84,Normal!BK149)*255)</f>
        <v>98</v>
      </c>
      <c r="BL19" s="4">
        <f>INT(shadex('Shade - 1'!$D$9,'Shade - 1'!$E$9,'Shade - 1'!$F$9,'Shade - 1'!$D$7,Vertex!BL19,Vertex!BL84,Vertex!BL149,Normal!BL19,Normal!BL84,Normal!BL149)*255)</f>
        <v>92</v>
      </c>
    </row>
    <row r="20" spans="1:64" x14ac:dyDescent="0.25">
      <c r="A20">
        <f>INT(shadex('Shade - 1'!$D$9,'Shade - 1'!$E$9,'Shade - 1'!$F$9,'Shade - 1'!$D$7,Vertex!A20,Vertex!A85,Vertex!A150,Normal!A20,Normal!A85,Normal!A150)*255)</f>
        <v>86</v>
      </c>
      <c r="B20">
        <f>INT(shadex('Shade - 1'!$D$9,'Shade - 1'!$E$9,'Shade - 1'!$F$9,'Shade - 1'!$D$7,Vertex!B20,Vertex!B85,Vertex!B150,Normal!B20,Normal!B85,Normal!B150)*255)</f>
        <v>90</v>
      </c>
      <c r="C20">
        <f>INT(shadex('Shade - 1'!$D$9,'Shade - 1'!$E$9,'Shade - 1'!$F$9,'Shade - 1'!$D$7,Vertex!C20,Vertex!C85,Vertex!C150,Normal!C20,Normal!C85,Normal!C150)*255)</f>
        <v>86</v>
      </c>
      <c r="D20">
        <f>INT(shadex('Shade - 1'!$D$9,'Shade - 1'!$E$9,'Shade - 1'!$F$9,'Shade - 1'!$D$7,Vertex!D20,Vertex!D85,Vertex!D150,Normal!D20,Normal!D85,Normal!D150)*255)</f>
        <v>72</v>
      </c>
      <c r="E20">
        <f>INT(shadex('Shade - 1'!$D$9,'Shade - 1'!$E$9,'Shade - 1'!$F$9,'Shade - 1'!$D$7,Vertex!E20,Vertex!E85,Vertex!E150,Normal!E20,Normal!E85,Normal!E150)*255)</f>
        <v>74</v>
      </c>
      <c r="F20">
        <f>INT(shadex('Shade - 1'!$D$9,'Shade - 1'!$E$9,'Shade - 1'!$F$9,'Shade - 1'!$D$7,Vertex!F20,Vertex!F85,Vertex!F150,Normal!F20,Normal!F85,Normal!F150)*255)</f>
        <v>60</v>
      </c>
      <c r="G20">
        <f>INT(shadex('Shade - 1'!$D$9,'Shade - 1'!$E$9,'Shade - 1'!$F$9,'Shade - 1'!$D$7,Vertex!G20,Vertex!G85,Vertex!G150,Normal!G20,Normal!G85,Normal!G150)*255)</f>
        <v>45</v>
      </c>
      <c r="H20">
        <f>INT(shadex('Shade - 1'!$D$9,'Shade - 1'!$E$9,'Shade - 1'!$F$9,'Shade - 1'!$D$7,Vertex!H20,Vertex!H85,Vertex!H150,Normal!H20,Normal!H85,Normal!H150)*255)</f>
        <v>77</v>
      </c>
      <c r="I20">
        <f>INT(shadex('Shade - 1'!$D$9,'Shade - 1'!$E$9,'Shade - 1'!$F$9,'Shade - 1'!$D$7,Vertex!I20,Vertex!I85,Vertex!I150,Normal!I20,Normal!I85,Normal!I150)*255)</f>
        <v>84</v>
      </c>
      <c r="J20">
        <f>INT(shadex('Shade - 1'!$D$9,'Shade - 1'!$E$9,'Shade - 1'!$F$9,'Shade - 1'!$D$7,Vertex!J20,Vertex!J85,Vertex!J150,Normal!J20,Normal!J85,Normal!J150)*255)</f>
        <v>70</v>
      </c>
      <c r="K20">
        <f>INT(shadex('Shade - 1'!$D$9,'Shade - 1'!$E$9,'Shade - 1'!$F$9,'Shade - 1'!$D$7,Vertex!K20,Vertex!K85,Vertex!K150,Normal!K20,Normal!K85,Normal!K150)*255)</f>
        <v>92</v>
      </c>
      <c r="L20">
        <f>INT(shadex('Shade - 1'!$D$9,'Shade - 1'!$E$9,'Shade - 1'!$F$9,'Shade - 1'!$D$7,Vertex!L20,Vertex!L85,Vertex!L150,Normal!L20,Normal!L85,Normal!L150)*255)</f>
        <v>95</v>
      </c>
      <c r="M20">
        <f>INT(shadex('Shade - 1'!$D$9,'Shade - 1'!$E$9,'Shade - 1'!$F$9,'Shade - 1'!$D$7,Vertex!M20,Vertex!M85,Vertex!M150,Normal!M20,Normal!M85,Normal!M150)*255)</f>
        <v>87</v>
      </c>
      <c r="N20">
        <f>INT(shadex('Shade - 1'!$D$9,'Shade - 1'!$E$9,'Shade - 1'!$F$9,'Shade - 1'!$D$7,Vertex!N20,Vertex!N85,Vertex!N150,Normal!N20,Normal!N85,Normal!N150)*255)</f>
        <v>77</v>
      </c>
      <c r="O20">
        <f>INT(shadex('Shade - 1'!$D$9,'Shade - 1'!$E$9,'Shade - 1'!$F$9,'Shade - 1'!$D$7,Vertex!O20,Vertex!O85,Vertex!O150,Normal!O20,Normal!O85,Normal!O150)*255)</f>
        <v>49</v>
      </c>
      <c r="P20">
        <f>INT(shadex('Shade - 1'!$D$9,'Shade - 1'!$E$9,'Shade - 1'!$F$9,'Shade - 1'!$D$7,Vertex!P20,Vertex!P85,Vertex!P150,Normal!P20,Normal!P85,Normal!P150)*255)</f>
        <v>40</v>
      </c>
      <c r="Q20">
        <f>INT(shadex('Shade - 1'!$D$9,'Shade - 1'!$E$9,'Shade - 1'!$F$9,'Shade - 1'!$D$7,Vertex!Q20,Vertex!Q85,Vertex!Q150,Normal!Q20,Normal!Q85,Normal!Q150)*255)</f>
        <v>70</v>
      </c>
      <c r="R20">
        <f>INT(shadex('Shade - 1'!$D$9,'Shade - 1'!$E$9,'Shade - 1'!$F$9,'Shade - 1'!$D$7,Vertex!R20,Vertex!R85,Vertex!R150,Normal!R20,Normal!R85,Normal!R150)*255)</f>
        <v>77</v>
      </c>
      <c r="S20">
        <f>INT(shadex('Shade - 1'!$D$9,'Shade - 1'!$E$9,'Shade - 1'!$F$9,'Shade - 1'!$D$7,Vertex!S20,Vertex!S85,Vertex!S150,Normal!S20,Normal!S85,Normal!S150)*255)</f>
        <v>75</v>
      </c>
      <c r="T20">
        <f>INT(shadex('Shade - 1'!$D$9,'Shade - 1'!$E$9,'Shade - 1'!$F$9,'Shade - 1'!$D$7,Vertex!T20,Vertex!T85,Vertex!T150,Normal!T20,Normal!T85,Normal!T150)*255)</f>
        <v>78</v>
      </c>
      <c r="U20">
        <f>INT(shadex('Shade - 1'!$D$9,'Shade - 1'!$E$9,'Shade - 1'!$F$9,'Shade - 1'!$D$7,Vertex!U20,Vertex!U85,Vertex!U150,Normal!U20,Normal!U85,Normal!U150)*255)</f>
        <v>75</v>
      </c>
      <c r="V20">
        <f>INT(shadex('Shade - 1'!$D$9,'Shade - 1'!$E$9,'Shade - 1'!$F$9,'Shade - 1'!$D$7,Vertex!V20,Vertex!V85,Vertex!V150,Normal!V20,Normal!V85,Normal!V150)*255)</f>
        <v>59</v>
      </c>
      <c r="W20">
        <f>INT(shadex('Shade - 1'!$D$9,'Shade - 1'!$E$9,'Shade - 1'!$F$9,'Shade - 1'!$D$7,Vertex!W20,Vertex!W85,Vertex!W150,Normal!W20,Normal!W85,Normal!W150)*255)</f>
        <v>94</v>
      </c>
      <c r="X20">
        <f>INT(shadex('Shade - 1'!$D$9,'Shade - 1'!$E$9,'Shade - 1'!$F$9,'Shade - 1'!$D$7,Vertex!X20,Vertex!X85,Vertex!X150,Normal!X20,Normal!X85,Normal!X150)*255)</f>
        <v>96</v>
      </c>
      <c r="Y20">
        <f>INT(shadex('Shade - 1'!$D$9,'Shade - 1'!$E$9,'Shade - 1'!$F$9,'Shade - 1'!$D$7,Vertex!Y20,Vertex!Y85,Vertex!Y150,Normal!Y20,Normal!Y85,Normal!Y150)*255)</f>
        <v>88</v>
      </c>
      <c r="Z20">
        <f>INT(shadex('Shade - 1'!$D$9,'Shade - 1'!$E$9,'Shade - 1'!$F$9,'Shade - 1'!$D$7,Vertex!Z20,Vertex!Z85,Vertex!Z150,Normal!Z20,Normal!Z85,Normal!Z150)*255)</f>
        <v>97</v>
      </c>
      <c r="AA20">
        <f>INT(shadex('Shade - 1'!$D$9,'Shade - 1'!$E$9,'Shade - 1'!$F$9,'Shade - 1'!$D$7,Vertex!AA20,Vertex!AA85,Vertex!AA150,Normal!AA20,Normal!AA85,Normal!AA150)*255)</f>
        <v>90</v>
      </c>
      <c r="AB20">
        <f>INT(shadex('Shade - 1'!$D$9,'Shade - 1'!$E$9,'Shade - 1'!$F$9,'Shade - 1'!$D$7,Vertex!AB20,Vertex!AB85,Vertex!AB150,Normal!AB20,Normal!AB85,Normal!AB150)*255)</f>
        <v>85</v>
      </c>
      <c r="AC20">
        <f>INT(shadex('Shade - 1'!$D$9,'Shade - 1'!$E$9,'Shade - 1'!$F$9,'Shade - 1'!$D$7,Vertex!AC20,Vertex!AC85,Vertex!AC150,Normal!AC20,Normal!AC85,Normal!AC150)*255)</f>
        <v>86</v>
      </c>
      <c r="AD20">
        <f>INT(shadex('Shade - 1'!$D$9,'Shade - 1'!$E$9,'Shade - 1'!$F$9,'Shade - 1'!$D$7,Vertex!AD20,Vertex!AD85,Vertex!AD150,Normal!AD20,Normal!AD85,Normal!AD150)*255)</f>
        <v>74</v>
      </c>
      <c r="AE20">
        <f>INT(shadex('Shade - 1'!$D$9,'Shade - 1'!$E$9,'Shade - 1'!$F$9,'Shade - 1'!$D$7,Vertex!AE20,Vertex!AE85,Vertex!AE150,Normal!AE20,Normal!AE85,Normal!AE150)*255)</f>
        <v>80</v>
      </c>
      <c r="AF20">
        <f>INT(shadex('Shade - 1'!$D$9,'Shade - 1'!$E$9,'Shade - 1'!$F$9,'Shade - 1'!$D$7,Vertex!AF20,Vertex!AF85,Vertex!AF150,Normal!AF20,Normal!AF85,Normal!AF150)*255)</f>
        <v>90</v>
      </c>
      <c r="AG20">
        <f>INT(shadex('Shade - 1'!$D$9,'Shade - 1'!$E$9,'Shade - 1'!$F$9,'Shade - 1'!$D$7,Vertex!AG20,Vertex!AG85,Vertex!AG150,Normal!AG20,Normal!AG85,Normal!AG150)*255)</f>
        <v>87</v>
      </c>
      <c r="AH20">
        <f>INT(shadex('Shade - 1'!$D$9,'Shade - 1'!$E$9,'Shade - 1'!$F$9,'Shade - 1'!$D$7,Vertex!AH20,Vertex!AH85,Vertex!AH150,Normal!AH20,Normal!AH85,Normal!AH150)*255)</f>
        <v>83</v>
      </c>
      <c r="AI20" s="4">
        <f>INT(shadex('Shade - 1'!$D$9,'Shade - 1'!$E$9,'Shade - 1'!$F$9,'Shade - 1'!$D$7,Vertex!AI20,Vertex!AI85,Vertex!AI150,Normal!AI20,Normal!AI85,Normal!AI150)*255)</f>
        <v>79</v>
      </c>
      <c r="AJ20" s="4">
        <f>INT(shadex('Shade - 1'!$D$9,'Shade - 1'!$E$9,'Shade - 1'!$F$9,'Shade - 1'!$D$7,Vertex!AJ20,Vertex!AJ85,Vertex!AJ150,Normal!AJ20,Normal!AJ85,Normal!AJ150)*255)</f>
        <v>86</v>
      </c>
      <c r="AK20" s="4">
        <f>INT(shadex('Shade - 1'!$D$9,'Shade - 1'!$E$9,'Shade - 1'!$F$9,'Shade - 1'!$D$7,Vertex!AK20,Vertex!AK85,Vertex!AK150,Normal!AK20,Normal!AK85,Normal!AK150)*255)</f>
        <v>88</v>
      </c>
      <c r="AL20" s="4">
        <f>INT(shadex('Shade - 1'!$D$9,'Shade - 1'!$E$9,'Shade - 1'!$F$9,'Shade - 1'!$D$7,Vertex!AL20,Vertex!AL85,Vertex!AL150,Normal!AL20,Normal!AL85,Normal!AL150)*255)</f>
        <v>88</v>
      </c>
      <c r="AM20" s="4">
        <f>INT(shadex('Shade - 1'!$D$9,'Shade - 1'!$E$9,'Shade - 1'!$F$9,'Shade - 1'!$D$7,Vertex!AM20,Vertex!AM85,Vertex!AM150,Normal!AM20,Normal!AM85,Normal!AM150)*255)</f>
        <v>91</v>
      </c>
      <c r="AN20" s="4">
        <f>INT(shadex('Shade - 1'!$D$9,'Shade - 1'!$E$9,'Shade - 1'!$F$9,'Shade - 1'!$D$7,Vertex!AN20,Vertex!AN85,Vertex!AN150,Normal!AN20,Normal!AN85,Normal!AN150)*255)</f>
        <v>91</v>
      </c>
      <c r="AO20" s="4">
        <f>INT(shadex('Shade - 1'!$D$9,'Shade - 1'!$E$9,'Shade - 1'!$F$9,'Shade - 1'!$D$7,Vertex!AO20,Vertex!AO85,Vertex!AO150,Normal!AO20,Normal!AO85,Normal!AO150)*255)</f>
        <v>91</v>
      </c>
      <c r="AP20" s="4">
        <f>INT(shadex('Shade - 1'!$D$9,'Shade - 1'!$E$9,'Shade - 1'!$F$9,'Shade - 1'!$D$7,Vertex!AP20,Vertex!AP85,Vertex!AP150,Normal!AP20,Normal!AP85,Normal!AP150)*255)</f>
        <v>95</v>
      </c>
      <c r="AQ20" s="4">
        <f>INT(shadex('Shade - 1'!$D$9,'Shade - 1'!$E$9,'Shade - 1'!$F$9,'Shade - 1'!$D$7,Vertex!AQ20,Vertex!AQ85,Vertex!AQ150,Normal!AQ20,Normal!AQ85,Normal!AQ150)*255)</f>
        <v>97</v>
      </c>
      <c r="AR20" s="4">
        <f>INT(shadex('Shade - 1'!$D$9,'Shade - 1'!$E$9,'Shade - 1'!$F$9,'Shade - 1'!$D$7,Vertex!AR20,Vertex!AR85,Vertex!AR150,Normal!AR20,Normal!AR85,Normal!AR150)*255)</f>
        <v>99</v>
      </c>
      <c r="AS20" s="4">
        <f>INT(shadex('Shade - 1'!$D$9,'Shade - 1'!$E$9,'Shade - 1'!$F$9,'Shade - 1'!$D$7,Vertex!AS20,Vertex!AS85,Vertex!AS150,Normal!AS20,Normal!AS85,Normal!AS150)*255)</f>
        <v>93</v>
      </c>
      <c r="AT20" s="4">
        <f>INT(shadex('Shade - 1'!$D$9,'Shade - 1'!$E$9,'Shade - 1'!$F$9,'Shade - 1'!$D$7,Vertex!AT20,Vertex!AT85,Vertex!AT150,Normal!AT20,Normal!AT85,Normal!AT150)*255)</f>
        <v>95</v>
      </c>
      <c r="AU20" s="4">
        <f>INT(shadex('Shade - 1'!$D$9,'Shade - 1'!$E$9,'Shade - 1'!$F$9,'Shade - 1'!$D$7,Vertex!AU20,Vertex!AU85,Vertex!AU150,Normal!AU20,Normal!AU85,Normal!AU150)*255)</f>
        <v>98</v>
      </c>
      <c r="AV20" s="4">
        <f>INT(shadex('Shade - 1'!$D$9,'Shade - 1'!$E$9,'Shade - 1'!$F$9,'Shade - 1'!$D$7,Vertex!AV20,Vertex!AV85,Vertex!AV150,Normal!AV20,Normal!AV85,Normal!AV150)*255)</f>
        <v>96</v>
      </c>
      <c r="AW20" s="4">
        <f>INT(shadex('Shade - 1'!$D$9,'Shade - 1'!$E$9,'Shade - 1'!$F$9,'Shade - 1'!$D$7,Vertex!AW20,Vertex!AW85,Vertex!AW150,Normal!AW20,Normal!AW85,Normal!AW150)*255)</f>
        <v>97</v>
      </c>
      <c r="AX20" s="4">
        <f>INT(shadex('Shade - 1'!$D$9,'Shade - 1'!$E$9,'Shade - 1'!$F$9,'Shade - 1'!$D$7,Vertex!AX20,Vertex!AX85,Vertex!AX150,Normal!AX20,Normal!AX85,Normal!AX150)*255)</f>
        <v>98</v>
      </c>
      <c r="AY20" s="4">
        <f>INT(shadex('Shade - 1'!$D$9,'Shade - 1'!$E$9,'Shade - 1'!$F$9,'Shade - 1'!$D$7,Vertex!AY20,Vertex!AY85,Vertex!AY150,Normal!AY20,Normal!AY85,Normal!AY150)*255)</f>
        <v>99</v>
      </c>
      <c r="AZ20" s="4">
        <f>INT(shadex('Shade - 1'!$D$9,'Shade - 1'!$E$9,'Shade - 1'!$F$9,'Shade - 1'!$D$7,Vertex!AZ20,Vertex!AZ85,Vertex!AZ150,Normal!AZ20,Normal!AZ85,Normal!AZ150)*255)</f>
        <v>93</v>
      </c>
      <c r="BA20" s="4">
        <f>INT(shadex('Shade - 1'!$D$9,'Shade - 1'!$E$9,'Shade - 1'!$F$9,'Shade - 1'!$D$7,Vertex!BA20,Vertex!BA85,Vertex!BA150,Normal!BA20,Normal!BA85,Normal!BA150)*255)</f>
        <v>81</v>
      </c>
      <c r="BB20" s="4">
        <f>INT(shadex('Shade - 1'!$D$9,'Shade - 1'!$E$9,'Shade - 1'!$F$9,'Shade - 1'!$D$7,Vertex!BB20,Vertex!BB85,Vertex!BB150,Normal!BB20,Normal!BB85,Normal!BB150)*255)</f>
        <v>66</v>
      </c>
      <c r="BC20" s="4">
        <f>INT(shadex('Shade - 1'!$D$9,'Shade - 1'!$E$9,'Shade - 1'!$F$9,'Shade - 1'!$D$7,Vertex!BC20,Vertex!BC85,Vertex!BC150,Normal!BC20,Normal!BC85,Normal!BC150)*255)</f>
        <v>79</v>
      </c>
      <c r="BD20" s="4">
        <f>INT(shadex('Shade - 1'!$D$9,'Shade - 1'!$E$9,'Shade - 1'!$F$9,'Shade - 1'!$D$7,Vertex!BD20,Vertex!BD85,Vertex!BD150,Normal!BD20,Normal!BD85,Normal!BD150)*255)</f>
        <v>96</v>
      </c>
      <c r="BE20" s="4">
        <f>INT(shadex('Shade - 1'!$D$9,'Shade - 1'!$E$9,'Shade - 1'!$F$9,'Shade - 1'!$D$7,Vertex!BE20,Vertex!BE85,Vertex!BE150,Normal!BE20,Normal!BE85,Normal!BE150)*255)</f>
        <v>84</v>
      </c>
      <c r="BF20" s="4">
        <f>INT(shadex('Shade - 1'!$D$9,'Shade - 1'!$E$9,'Shade - 1'!$F$9,'Shade - 1'!$D$7,Vertex!BF20,Vertex!BF85,Vertex!BF150,Normal!BF20,Normal!BF85,Normal!BF150)*255)</f>
        <v>69</v>
      </c>
      <c r="BG20" s="4">
        <f>INT(shadex('Shade - 1'!$D$9,'Shade - 1'!$E$9,'Shade - 1'!$F$9,'Shade - 1'!$D$7,Vertex!BG20,Vertex!BG85,Vertex!BG150,Normal!BG20,Normal!BG85,Normal!BG150)*255)</f>
        <v>85</v>
      </c>
      <c r="BH20" s="4">
        <f>INT(shadex('Shade - 1'!$D$9,'Shade - 1'!$E$9,'Shade - 1'!$F$9,'Shade - 1'!$D$7,Vertex!BH20,Vertex!BH85,Vertex!BH150,Normal!BH20,Normal!BH85,Normal!BH150)*255)</f>
        <v>94</v>
      </c>
      <c r="BI20" s="4">
        <f>INT(shadex('Shade - 1'!$D$9,'Shade - 1'!$E$9,'Shade - 1'!$F$9,'Shade - 1'!$D$7,Vertex!BI20,Vertex!BI85,Vertex!BI150,Normal!BI20,Normal!BI85,Normal!BI150)*255)</f>
        <v>88</v>
      </c>
      <c r="BJ20" s="4">
        <f>INT(shadex('Shade - 1'!$D$9,'Shade - 1'!$E$9,'Shade - 1'!$F$9,'Shade - 1'!$D$7,Vertex!BJ20,Vertex!BJ85,Vertex!BJ150,Normal!BJ20,Normal!BJ85,Normal!BJ150)*255)</f>
        <v>89</v>
      </c>
      <c r="BK20" s="4">
        <f>INT(shadex('Shade - 1'!$D$9,'Shade - 1'!$E$9,'Shade - 1'!$F$9,'Shade - 1'!$D$7,Vertex!BK20,Vertex!BK85,Vertex!BK150,Normal!BK20,Normal!BK85,Normal!BK150)*255)</f>
        <v>94</v>
      </c>
      <c r="BL20" s="4">
        <f>INT(shadex('Shade - 1'!$D$9,'Shade - 1'!$E$9,'Shade - 1'!$F$9,'Shade - 1'!$D$7,Vertex!BL20,Vertex!BL85,Vertex!BL150,Normal!BL20,Normal!BL85,Normal!BL150)*255)</f>
        <v>97</v>
      </c>
    </row>
    <row r="21" spans="1:64" x14ac:dyDescent="0.25">
      <c r="A21">
        <f>INT(shadex('Shade - 1'!$D$9,'Shade - 1'!$E$9,'Shade - 1'!$F$9,'Shade - 1'!$D$7,Vertex!A21,Vertex!A86,Vertex!A151,Normal!A21,Normal!A86,Normal!A151)*255)</f>
        <v>76</v>
      </c>
      <c r="B21">
        <f>INT(shadex('Shade - 1'!$D$9,'Shade - 1'!$E$9,'Shade - 1'!$F$9,'Shade - 1'!$D$7,Vertex!B21,Vertex!B86,Vertex!B151,Normal!B21,Normal!B86,Normal!B151)*255)</f>
        <v>68</v>
      </c>
      <c r="C21">
        <f>INT(shadex('Shade - 1'!$D$9,'Shade - 1'!$E$9,'Shade - 1'!$F$9,'Shade - 1'!$D$7,Vertex!C21,Vertex!C86,Vertex!C151,Normal!C21,Normal!C86,Normal!C151)*255)</f>
        <v>64</v>
      </c>
      <c r="D21">
        <f>INT(shadex('Shade - 1'!$D$9,'Shade - 1'!$E$9,'Shade - 1'!$F$9,'Shade - 1'!$D$7,Vertex!D21,Vertex!D86,Vertex!D151,Normal!D21,Normal!D86,Normal!D151)*255)</f>
        <v>70</v>
      </c>
      <c r="E21">
        <f>INT(shadex('Shade - 1'!$D$9,'Shade - 1'!$E$9,'Shade - 1'!$F$9,'Shade - 1'!$D$7,Vertex!E21,Vertex!E86,Vertex!E151,Normal!E21,Normal!E86,Normal!E151)*255)</f>
        <v>72</v>
      </c>
      <c r="F21">
        <f>INT(shadex('Shade - 1'!$D$9,'Shade - 1'!$E$9,'Shade - 1'!$F$9,'Shade - 1'!$D$7,Vertex!F21,Vertex!F86,Vertex!F151,Normal!F21,Normal!F86,Normal!F151)*255)</f>
        <v>64</v>
      </c>
      <c r="G21">
        <f>INT(shadex('Shade - 1'!$D$9,'Shade - 1'!$E$9,'Shade - 1'!$F$9,'Shade - 1'!$D$7,Vertex!G21,Vertex!G86,Vertex!G151,Normal!G21,Normal!G86,Normal!G151)*255)</f>
        <v>46</v>
      </c>
      <c r="H21">
        <f>INT(shadex('Shade - 1'!$D$9,'Shade - 1'!$E$9,'Shade - 1'!$F$9,'Shade - 1'!$D$7,Vertex!H21,Vertex!H86,Vertex!H151,Normal!H21,Normal!H86,Normal!H151)*255)</f>
        <v>61</v>
      </c>
      <c r="I21">
        <f>INT(shadex('Shade - 1'!$D$9,'Shade - 1'!$E$9,'Shade - 1'!$F$9,'Shade - 1'!$D$7,Vertex!I21,Vertex!I86,Vertex!I151,Normal!I21,Normal!I86,Normal!I151)*255)</f>
        <v>71</v>
      </c>
      <c r="J21">
        <f>INT(shadex('Shade - 1'!$D$9,'Shade - 1'!$E$9,'Shade - 1'!$F$9,'Shade - 1'!$D$7,Vertex!J21,Vertex!J86,Vertex!J151,Normal!J21,Normal!J86,Normal!J151)*255)</f>
        <v>76</v>
      </c>
      <c r="K21">
        <f>INT(shadex('Shade - 1'!$D$9,'Shade - 1'!$E$9,'Shade - 1'!$F$9,'Shade - 1'!$D$7,Vertex!K21,Vertex!K86,Vertex!K151,Normal!K21,Normal!K86,Normal!K151)*255)</f>
        <v>87</v>
      </c>
      <c r="L21">
        <f>INT(shadex('Shade - 1'!$D$9,'Shade - 1'!$E$9,'Shade - 1'!$F$9,'Shade - 1'!$D$7,Vertex!L21,Vertex!L86,Vertex!L151,Normal!L21,Normal!L86,Normal!L151)*255)</f>
        <v>86</v>
      </c>
      <c r="M21">
        <f>INT(shadex('Shade - 1'!$D$9,'Shade - 1'!$E$9,'Shade - 1'!$F$9,'Shade - 1'!$D$7,Vertex!M21,Vertex!M86,Vertex!M151,Normal!M21,Normal!M86,Normal!M151)*255)</f>
        <v>82</v>
      </c>
      <c r="N21">
        <f>INT(shadex('Shade - 1'!$D$9,'Shade - 1'!$E$9,'Shade - 1'!$F$9,'Shade - 1'!$D$7,Vertex!N21,Vertex!N86,Vertex!N151,Normal!N21,Normal!N86,Normal!N151)*255)</f>
        <v>80</v>
      </c>
      <c r="O21">
        <f>INT(shadex('Shade - 1'!$D$9,'Shade - 1'!$E$9,'Shade - 1'!$F$9,'Shade - 1'!$D$7,Vertex!O21,Vertex!O86,Vertex!O151,Normal!O21,Normal!O86,Normal!O151)*255)</f>
        <v>63</v>
      </c>
      <c r="P21">
        <f>INT(shadex('Shade - 1'!$D$9,'Shade - 1'!$E$9,'Shade - 1'!$F$9,'Shade - 1'!$D$7,Vertex!P21,Vertex!P86,Vertex!P151,Normal!P21,Normal!P86,Normal!P151)*255)</f>
        <v>50</v>
      </c>
      <c r="Q21">
        <f>INT(shadex('Shade - 1'!$D$9,'Shade - 1'!$E$9,'Shade - 1'!$F$9,'Shade - 1'!$D$7,Vertex!Q21,Vertex!Q86,Vertex!Q151,Normal!Q21,Normal!Q86,Normal!Q151)*255)</f>
        <v>67</v>
      </c>
      <c r="R21">
        <f>INT(shadex('Shade - 1'!$D$9,'Shade - 1'!$E$9,'Shade - 1'!$F$9,'Shade - 1'!$D$7,Vertex!R21,Vertex!R86,Vertex!R151,Normal!R21,Normal!R86,Normal!R151)*255)</f>
        <v>72</v>
      </c>
      <c r="S21">
        <f>INT(shadex('Shade - 1'!$D$9,'Shade - 1'!$E$9,'Shade - 1'!$F$9,'Shade - 1'!$D$7,Vertex!S21,Vertex!S86,Vertex!S151,Normal!S21,Normal!S86,Normal!S151)*255)</f>
        <v>76</v>
      </c>
      <c r="T21">
        <f>INT(shadex('Shade - 1'!$D$9,'Shade - 1'!$E$9,'Shade - 1'!$F$9,'Shade - 1'!$D$7,Vertex!T21,Vertex!T86,Vertex!T151,Normal!T21,Normal!T86,Normal!T151)*255)</f>
        <v>79</v>
      </c>
      <c r="U21">
        <f>INT(shadex('Shade - 1'!$D$9,'Shade - 1'!$E$9,'Shade - 1'!$F$9,'Shade - 1'!$D$7,Vertex!U21,Vertex!U86,Vertex!U151,Normal!U21,Normal!U86,Normal!U151)*255)</f>
        <v>64</v>
      </c>
      <c r="V21">
        <f>INT(shadex('Shade - 1'!$D$9,'Shade - 1'!$E$9,'Shade - 1'!$F$9,'Shade - 1'!$D$7,Vertex!V21,Vertex!V86,Vertex!V151,Normal!V21,Normal!V86,Normal!V151)*255)</f>
        <v>54</v>
      </c>
      <c r="W21">
        <f>INT(shadex('Shade - 1'!$D$9,'Shade - 1'!$E$9,'Shade - 1'!$F$9,'Shade - 1'!$D$7,Vertex!W21,Vertex!W86,Vertex!W151,Normal!W21,Normal!W86,Normal!W151)*255)</f>
        <v>81</v>
      </c>
      <c r="X21">
        <f>INT(shadex('Shade - 1'!$D$9,'Shade - 1'!$E$9,'Shade - 1'!$F$9,'Shade - 1'!$D$7,Vertex!X21,Vertex!X86,Vertex!X151,Normal!X21,Normal!X86,Normal!X151)*255)</f>
        <v>92</v>
      </c>
      <c r="Y21">
        <f>INT(shadex('Shade - 1'!$D$9,'Shade - 1'!$E$9,'Shade - 1'!$F$9,'Shade - 1'!$D$7,Vertex!Y21,Vertex!Y86,Vertex!Y151,Normal!Y21,Normal!Y86,Normal!Y151)*255)</f>
        <v>94</v>
      </c>
      <c r="Z21">
        <f>INT(shadex('Shade - 1'!$D$9,'Shade - 1'!$E$9,'Shade - 1'!$F$9,'Shade - 1'!$D$7,Vertex!Z21,Vertex!Z86,Vertex!Z151,Normal!Z21,Normal!Z86,Normal!Z151)*255)</f>
        <v>99</v>
      </c>
      <c r="AA21">
        <f>INT(shadex('Shade - 1'!$D$9,'Shade - 1'!$E$9,'Shade - 1'!$F$9,'Shade - 1'!$D$7,Vertex!AA21,Vertex!AA86,Vertex!AA151,Normal!AA21,Normal!AA86,Normal!AA151)*255)</f>
        <v>98</v>
      </c>
      <c r="AB21">
        <f>INT(shadex('Shade - 1'!$D$9,'Shade - 1'!$E$9,'Shade - 1'!$F$9,'Shade - 1'!$D$7,Vertex!AB21,Vertex!AB86,Vertex!AB151,Normal!AB21,Normal!AB86,Normal!AB151)*255)</f>
        <v>91</v>
      </c>
      <c r="AC21">
        <f>INT(shadex('Shade - 1'!$D$9,'Shade - 1'!$E$9,'Shade - 1'!$F$9,'Shade - 1'!$D$7,Vertex!AC21,Vertex!AC86,Vertex!AC151,Normal!AC21,Normal!AC86,Normal!AC151)*255)</f>
        <v>87</v>
      </c>
      <c r="AD21">
        <f>INT(shadex('Shade - 1'!$D$9,'Shade - 1'!$E$9,'Shade - 1'!$F$9,'Shade - 1'!$D$7,Vertex!AD21,Vertex!AD86,Vertex!AD151,Normal!AD21,Normal!AD86,Normal!AD151)*255)</f>
        <v>77</v>
      </c>
      <c r="AE21">
        <f>INT(shadex('Shade - 1'!$D$9,'Shade - 1'!$E$9,'Shade - 1'!$F$9,'Shade - 1'!$D$7,Vertex!AE21,Vertex!AE86,Vertex!AE151,Normal!AE21,Normal!AE86,Normal!AE151)*255)</f>
        <v>85</v>
      </c>
      <c r="AF21">
        <f>INT(shadex('Shade - 1'!$D$9,'Shade - 1'!$E$9,'Shade - 1'!$F$9,'Shade - 1'!$D$7,Vertex!AF21,Vertex!AF86,Vertex!AF151,Normal!AF21,Normal!AF86,Normal!AF151)*255)</f>
        <v>86</v>
      </c>
      <c r="AG21">
        <f>INT(shadex('Shade - 1'!$D$9,'Shade - 1'!$E$9,'Shade - 1'!$F$9,'Shade - 1'!$D$7,Vertex!AG21,Vertex!AG86,Vertex!AG151,Normal!AG21,Normal!AG86,Normal!AG151)*255)</f>
        <v>91</v>
      </c>
      <c r="AH21">
        <f>INT(shadex('Shade - 1'!$D$9,'Shade - 1'!$E$9,'Shade - 1'!$F$9,'Shade - 1'!$D$7,Vertex!AH21,Vertex!AH86,Vertex!AH151,Normal!AH21,Normal!AH86,Normal!AH151)*255)</f>
        <v>95</v>
      </c>
      <c r="AI21" s="4">
        <f>INT(shadex('Shade - 1'!$D$9,'Shade - 1'!$E$9,'Shade - 1'!$F$9,'Shade - 1'!$D$7,Vertex!AI21,Vertex!AI86,Vertex!AI151,Normal!AI21,Normal!AI86,Normal!AI151)*255)</f>
        <v>92</v>
      </c>
      <c r="AJ21" s="4">
        <f>INT(shadex('Shade - 1'!$D$9,'Shade - 1'!$E$9,'Shade - 1'!$F$9,'Shade - 1'!$D$7,Vertex!AJ21,Vertex!AJ86,Vertex!AJ151,Normal!AJ21,Normal!AJ86,Normal!AJ151)*255)</f>
        <v>90</v>
      </c>
      <c r="AK21" s="4">
        <f>INT(shadex('Shade - 1'!$D$9,'Shade - 1'!$E$9,'Shade - 1'!$F$9,'Shade - 1'!$D$7,Vertex!AK21,Vertex!AK86,Vertex!AK151,Normal!AK21,Normal!AK86,Normal!AK151)*255)</f>
        <v>90</v>
      </c>
      <c r="AL21" s="4">
        <f>INT(shadex('Shade - 1'!$D$9,'Shade - 1'!$E$9,'Shade - 1'!$F$9,'Shade - 1'!$D$7,Vertex!AL21,Vertex!AL86,Vertex!AL151,Normal!AL21,Normal!AL86,Normal!AL151)*255)</f>
        <v>94</v>
      </c>
      <c r="AM21" s="4">
        <f>INT(shadex('Shade - 1'!$D$9,'Shade - 1'!$E$9,'Shade - 1'!$F$9,'Shade - 1'!$D$7,Vertex!AM21,Vertex!AM86,Vertex!AM151,Normal!AM21,Normal!AM86,Normal!AM151)*255)</f>
        <v>99</v>
      </c>
      <c r="AN21" s="4">
        <f>INT(shadex('Shade - 1'!$D$9,'Shade - 1'!$E$9,'Shade - 1'!$F$9,'Shade - 1'!$D$7,Vertex!AN21,Vertex!AN86,Vertex!AN151,Normal!AN21,Normal!AN86,Normal!AN151)*255)</f>
        <v>100</v>
      </c>
      <c r="AO21" s="4">
        <f>INT(shadex('Shade - 1'!$D$9,'Shade - 1'!$E$9,'Shade - 1'!$F$9,'Shade - 1'!$D$7,Vertex!AO21,Vertex!AO86,Vertex!AO151,Normal!AO21,Normal!AO86,Normal!AO151)*255)</f>
        <v>98</v>
      </c>
      <c r="AP21" s="4">
        <f>INT(shadex('Shade - 1'!$D$9,'Shade - 1'!$E$9,'Shade - 1'!$F$9,'Shade - 1'!$D$7,Vertex!AP21,Vertex!AP86,Vertex!AP151,Normal!AP21,Normal!AP86,Normal!AP151)*255)</f>
        <v>99</v>
      </c>
      <c r="AQ21" s="4">
        <f>INT(shadex('Shade - 1'!$D$9,'Shade - 1'!$E$9,'Shade - 1'!$F$9,'Shade - 1'!$D$7,Vertex!AQ21,Vertex!AQ86,Vertex!AQ151,Normal!AQ21,Normal!AQ86,Normal!AQ151)*255)</f>
        <v>99</v>
      </c>
      <c r="AR21" s="4">
        <f>INT(shadex('Shade - 1'!$D$9,'Shade - 1'!$E$9,'Shade - 1'!$F$9,'Shade - 1'!$D$7,Vertex!AR21,Vertex!AR86,Vertex!AR151,Normal!AR21,Normal!AR86,Normal!AR151)*255)</f>
        <v>89</v>
      </c>
      <c r="AS21" s="4">
        <f>INT(shadex('Shade - 1'!$D$9,'Shade - 1'!$E$9,'Shade - 1'!$F$9,'Shade - 1'!$D$7,Vertex!AS21,Vertex!AS86,Vertex!AS151,Normal!AS21,Normal!AS86,Normal!AS151)*255)</f>
        <v>96</v>
      </c>
      <c r="AT21" s="4">
        <f>INT(shadex('Shade - 1'!$D$9,'Shade - 1'!$E$9,'Shade - 1'!$F$9,'Shade - 1'!$D$7,Vertex!AT21,Vertex!AT86,Vertex!AT151,Normal!AT21,Normal!AT86,Normal!AT151)*255)</f>
        <v>99</v>
      </c>
      <c r="AU21" s="4">
        <f>INT(shadex('Shade - 1'!$D$9,'Shade - 1'!$E$9,'Shade - 1'!$F$9,'Shade - 1'!$D$7,Vertex!AU21,Vertex!AU86,Vertex!AU151,Normal!AU21,Normal!AU86,Normal!AU151)*255)</f>
        <v>99</v>
      </c>
      <c r="AV21" s="4">
        <f>INT(shadex('Shade - 1'!$D$9,'Shade - 1'!$E$9,'Shade - 1'!$F$9,'Shade - 1'!$D$7,Vertex!AV21,Vertex!AV86,Vertex!AV151,Normal!AV21,Normal!AV86,Normal!AV151)*255)</f>
        <v>98</v>
      </c>
      <c r="AW21" s="4">
        <f>INT(shadex('Shade - 1'!$D$9,'Shade - 1'!$E$9,'Shade - 1'!$F$9,'Shade - 1'!$D$7,Vertex!AW21,Vertex!AW86,Vertex!AW151,Normal!AW21,Normal!AW86,Normal!AW151)*255)</f>
        <v>97</v>
      </c>
      <c r="AX21" s="4">
        <f>INT(shadex('Shade - 1'!$D$9,'Shade - 1'!$E$9,'Shade - 1'!$F$9,'Shade - 1'!$D$7,Vertex!AX21,Vertex!AX86,Vertex!AX151,Normal!AX21,Normal!AX86,Normal!AX151)*255)</f>
        <v>97</v>
      </c>
      <c r="AY21" s="4">
        <f>INT(shadex('Shade - 1'!$D$9,'Shade - 1'!$E$9,'Shade - 1'!$F$9,'Shade - 1'!$D$7,Vertex!AY21,Vertex!AY86,Vertex!AY151,Normal!AY21,Normal!AY86,Normal!AY151)*255)</f>
        <v>95</v>
      </c>
      <c r="AZ21" s="4">
        <f>INT(shadex('Shade - 1'!$D$9,'Shade - 1'!$E$9,'Shade - 1'!$F$9,'Shade - 1'!$D$7,Vertex!AZ21,Vertex!AZ86,Vertex!AZ151,Normal!AZ21,Normal!AZ86,Normal!AZ151)*255)</f>
        <v>91</v>
      </c>
      <c r="BA21" s="4">
        <f>INT(shadex('Shade - 1'!$D$9,'Shade - 1'!$E$9,'Shade - 1'!$F$9,'Shade - 1'!$D$7,Vertex!BA21,Vertex!BA86,Vertex!BA151,Normal!BA21,Normal!BA86,Normal!BA151)*255)</f>
        <v>87</v>
      </c>
      <c r="BB21" s="4">
        <f>INT(shadex('Shade - 1'!$D$9,'Shade - 1'!$E$9,'Shade - 1'!$F$9,'Shade - 1'!$D$7,Vertex!BB21,Vertex!BB86,Vertex!BB151,Normal!BB21,Normal!BB86,Normal!BB151)*255)</f>
        <v>80</v>
      </c>
      <c r="BC21" s="4">
        <f>INT(shadex('Shade - 1'!$D$9,'Shade - 1'!$E$9,'Shade - 1'!$F$9,'Shade - 1'!$D$7,Vertex!BC21,Vertex!BC86,Vertex!BC151,Normal!BC21,Normal!BC86,Normal!BC151)*255)</f>
        <v>74</v>
      </c>
      <c r="BD21" s="4">
        <f>INT(shadex('Shade - 1'!$D$9,'Shade - 1'!$E$9,'Shade - 1'!$F$9,'Shade - 1'!$D$7,Vertex!BD21,Vertex!BD86,Vertex!BD151,Normal!BD21,Normal!BD86,Normal!BD151)*255)</f>
        <v>81</v>
      </c>
      <c r="BE21" s="4">
        <f>INT(shadex('Shade - 1'!$D$9,'Shade - 1'!$E$9,'Shade - 1'!$F$9,'Shade - 1'!$D$7,Vertex!BE21,Vertex!BE86,Vertex!BE151,Normal!BE21,Normal!BE86,Normal!BE151)*255)</f>
        <v>84</v>
      </c>
      <c r="BF21" s="4">
        <f>INT(shadex('Shade - 1'!$D$9,'Shade - 1'!$E$9,'Shade - 1'!$F$9,'Shade - 1'!$D$7,Vertex!BF21,Vertex!BF86,Vertex!BF151,Normal!BF21,Normal!BF86,Normal!BF151)*255)</f>
        <v>78</v>
      </c>
      <c r="BG21" s="4">
        <f>INT(shadex('Shade - 1'!$D$9,'Shade - 1'!$E$9,'Shade - 1'!$F$9,'Shade - 1'!$D$7,Vertex!BG21,Vertex!BG86,Vertex!BG151,Normal!BG21,Normal!BG86,Normal!BG151)*255)</f>
        <v>96</v>
      </c>
      <c r="BH21" s="4">
        <f>INT(shadex('Shade - 1'!$D$9,'Shade - 1'!$E$9,'Shade - 1'!$F$9,'Shade - 1'!$D$7,Vertex!BH21,Vertex!BH86,Vertex!BH151,Normal!BH21,Normal!BH86,Normal!BH151)*255)</f>
        <v>99</v>
      </c>
      <c r="BI21" s="4">
        <f>INT(shadex('Shade - 1'!$D$9,'Shade - 1'!$E$9,'Shade - 1'!$F$9,'Shade - 1'!$D$7,Vertex!BI21,Vertex!BI86,Vertex!BI151,Normal!BI21,Normal!BI86,Normal!BI151)*255)</f>
        <v>92</v>
      </c>
      <c r="BJ21" s="4">
        <f>INT(shadex('Shade - 1'!$D$9,'Shade - 1'!$E$9,'Shade - 1'!$F$9,'Shade - 1'!$D$7,Vertex!BJ21,Vertex!BJ86,Vertex!BJ151,Normal!BJ21,Normal!BJ86,Normal!BJ151)*255)</f>
        <v>99</v>
      </c>
      <c r="BK21" s="4">
        <f>INT(shadex('Shade - 1'!$D$9,'Shade - 1'!$E$9,'Shade - 1'!$F$9,'Shade - 1'!$D$7,Vertex!BK21,Vertex!BK86,Vertex!BK151,Normal!BK21,Normal!BK86,Normal!BK151)*255)</f>
        <v>99</v>
      </c>
      <c r="BL21" s="4">
        <f>INT(shadex('Shade - 1'!$D$9,'Shade - 1'!$E$9,'Shade - 1'!$F$9,'Shade - 1'!$D$7,Vertex!BL21,Vertex!BL86,Vertex!BL151,Normal!BL21,Normal!BL86,Normal!BL151)*255)</f>
        <v>99</v>
      </c>
    </row>
    <row r="22" spans="1:64" x14ac:dyDescent="0.25">
      <c r="A22">
        <f>INT(shadex('Shade - 1'!$D$9,'Shade - 1'!$E$9,'Shade - 1'!$F$9,'Shade - 1'!$D$7,Vertex!A22,Vertex!A87,Vertex!A152,Normal!A22,Normal!A87,Normal!A152)*255)</f>
        <v>67</v>
      </c>
      <c r="B22">
        <f>INT(shadex('Shade - 1'!$D$9,'Shade - 1'!$E$9,'Shade - 1'!$F$9,'Shade - 1'!$D$7,Vertex!B22,Vertex!B87,Vertex!B152,Normal!B22,Normal!B87,Normal!B152)*255)</f>
        <v>56</v>
      </c>
      <c r="C22">
        <f>INT(shadex('Shade - 1'!$D$9,'Shade - 1'!$E$9,'Shade - 1'!$F$9,'Shade - 1'!$D$7,Vertex!C22,Vertex!C87,Vertex!C152,Normal!C22,Normal!C87,Normal!C152)*255)</f>
        <v>40</v>
      </c>
      <c r="D22">
        <f>INT(shadex('Shade - 1'!$D$9,'Shade - 1'!$E$9,'Shade - 1'!$F$9,'Shade - 1'!$D$7,Vertex!D22,Vertex!D87,Vertex!D152,Normal!D22,Normal!D87,Normal!D152)*255)</f>
        <v>47</v>
      </c>
      <c r="E22">
        <f>INT(shadex('Shade - 1'!$D$9,'Shade - 1'!$E$9,'Shade - 1'!$F$9,'Shade - 1'!$D$7,Vertex!E22,Vertex!E87,Vertex!E152,Normal!E22,Normal!E87,Normal!E152)*255)</f>
        <v>66</v>
      </c>
      <c r="F22">
        <f>INT(shadex('Shade - 1'!$D$9,'Shade - 1'!$E$9,'Shade - 1'!$F$9,'Shade - 1'!$D$7,Vertex!F22,Vertex!F87,Vertex!F152,Normal!F22,Normal!F87,Normal!F152)*255)</f>
        <v>67</v>
      </c>
      <c r="G22">
        <f>INT(shadex('Shade - 1'!$D$9,'Shade - 1'!$E$9,'Shade - 1'!$F$9,'Shade - 1'!$D$7,Vertex!G22,Vertex!G87,Vertex!G152,Normal!G22,Normal!G87,Normal!G152)*255)</f>
        <v>43</v>
      </c>
      <c r="H22">
        <f>INT(shadex('Shade - 1'!$D$9,'Shade - 1'!$E$9,'Shade - 1'!$F$9,'Shade - 1'!$D$7,Vertex!H22,Vertex!H87,Vertex!H152,Normal!H22,Normal!H87,Normal!H152)*255)</f>
        <v>37</v>
      </c>
      <c r="I22">
        <f>INT(shadex('Shade - 1'!$D$9,'Shade - 1'!$E$9,'Shade - 1'!$F$9,'Shade - 1'!$D$7,Vertex!I22,Vertex!I87,Vertex!I152,Normal!I22,Normal!I87,Normal!I152)*255)</f>
        <v>48</v>
      </c>
      <c r="J22">
        <f>INT(shadex('Shade - 1'!$D$9,'Shade - 1'!$E$9,'Shade - 1'!$F$9,'Shade - 1'!$D$7,Vertex!J22,Vertex!J87,Vertex!J152,Normal!J22,Normal!J87,Normal!J152)*255)</f>
        <v>67</v>
      </c>
      <c r="K22">
        <f>INT(shadex('Shade - 1'!$D$9,'Shade - 1'!$E$9,'Shade - 1'!$F$9,'Shade - 1'!$D$7,Vertex!K22,Vertex!K87,Vertex!K152,Normal!K22,Normal!K87,Normal!K152)*255)</f>
        <v>90</v>
      </c>
      <c r="L22">
        <f>INT(shadex('Shade - 1'!$D$9,'Shade - 1'!$E$9,'Shade - 1'!$F$9,'Shade - 1'!$D$7,Vertex!L22,Vertex!L87,Vertex!L152,Normal!L22,Normal!L87,Normal!L152)*255)</f>
        <v>92</v>
      </c>
      <c r="M22">
        <f>INT(shadex('Shade - 1'!$D$9,'Shade - 1'!$E$9,'Shade - 1'!$F$9,'Shade - 1'!$D$7,Vertex!M22,Vertex!M87,Vertex!M152,Normal!M22,Normal!M87,Normal!M152)*255)</f>
        <v>85</v>
      </c>
      <c r="N22">
        <f>INT(shadex('Shade - 1'!$D$9,'Shade - 1'!$E$9,'Shade - 1'!$F$9,'Shade - 1'!$D$7,Vertex!N22,Vertex!N87,Vertex!N152,Normal!N22,Normal!N87,Normal!N152)*255)</f>
        <v>79</v>
      </c>
      <c r="O22">
        <f>INT(shadex('Shade - 1'!$D$9,'Shade - 1'!$E$9,'Shade - 1'!$F$9,'Shade - 1'!$D$7,Vertex!O22,Vertex!O87,Vertex!O152,Normal!O22,Normal!O87,Normal!O152)*255)</f>
        <v>71</v>
      </c>
      <c r="P22">
        <f>INT(shadex('Shade - 1'!$D$9,'Shade - 1'!$E$9,'Shade - 1'!$F$9,'Shade - 1'!$D$7,Vertex!P22,Vertex!P87,Vertex!P152,Normal!P22,Normal!P87,Normal!P152)*255)</f>
        <v>60</v>
      </c>
      <c r="Q22">
        <f>INT(shadex('Shade - 1'!$D$9,'Shade - 1'!$E$9,'Shade - 1'!$F$9,'Shade - 1'!$D$7,Vertex!Q22,Vertex!Q87,Vertex!Q152,Normal!Q22,Normal!Q87,Normal!Q152)*255)</f>
        <v>75</v>
      </c>
      <c r="R22">
        <f>INT(shadex('Shade - 1'!$D$9,'Shade - 1'!$E$9,'Shade - 1'!$F$9,'Shade - 1'!$D$7,Vertex!R22,Vertex!R87,Vertex!R152,Normal!R22,Normal!R87,Normal!R152)*255)</f>
        <v>84</v>
      </c>
      <c r="S22">
        <f>INT(shadex('Shade - 1'!$D$9,'Shade - 1'!$E$9,'Shade - 1'!$F$9,'Shade - 1'!$D$7,Vertex!S22,Vertex!S87,Vertex!S152,Normal!S22,Normal!S87,Normal!S152)*255)</f>
        <v>76</v>
      </c>
      <c r="T22">
        <f>INT(shadex('Shade - 1'!$D$9,'Shade - 1'!$E$9,'Shade - 1'!$F$9,'Shade - 1'!$D$7,Vertex!T22,Vertex!T87,Vertex!T152,Normal!T22,Normal!T87,Normal!T152)*255)</f>
        <v>78</v>
      </c>
      <c r="U22">
        <f>INT(shadex('Shade - 1'!$D$9,'Shade - 1'!$E$9,'Shade - 1'!$F$9,'Shade - 1'!$D$7,Vertex!U22,Vertex!U87,Vertex!U152,Normal!U22,Normal!U87,Normal!U152)*255)</f>
        <v>84</v>
      </c>
      <c r="V22">
        <f>INT(shadex('Shade - 1'!$D$9,'Shade - 1'!$E$9,'Shade - 1'!$F$9,'Shade - 1'!$D$7,Vertex!V22,Vertex!V87,Vertex!V152,Normal!V22,Normal!V87,Normal!V152)*255)</f>
        <v>68</v>
      </c>
      <c r="W22">
        <f>INT(shadex('Shade - 1'!$D$9,'Shade - 1'!$E$9,'Shade - 1'!$F$9,'Shade - 1'!$D$7,Vertex!W22,Vertex!W87,Vertex!W152,Normal!W22,Normal!W87,Normal!W152)*255)</f>
        <v>60</v>
      </c>
      <c r="X22">
        <f>INT(shadex('Shade - 1'!$D$9,'Shade - 1'!$E$9,'Shade - 1'!$F$9,'Shade - 1'!$D$7,Vertex!X22,Vertex!X87,Vertex!X152,Normal!X22,Normal!X87,Normal!X152)*255)</f>
        <v>82</v>
      </c>
      <c r="Y22">
        <f>INT(shadex('Shade - 1'!$D$9,'Shade - 1'!$E$9,'Shade - 1'!$F$9,'Shade - 1'!$D$7,Vertex!Y22,Vertex!Y87,Vertex!Y152,Normal!Y22,Normal!Y87,Normal!Y152)*255)</f>
        <v>84</v>
      </c>
      <c r="Z22">
        <f>INT(shadex('Shade - 1'!$D$9,'Shade - 1'!$E$9,'Shade - 1'!$F$9,'Shade - 1'!$D$7,Vertex!Z22,Vertex!Z87,Vertex!Z152,Normal!Z22,Normal!Z87,Normal!Z152)*255)</f>
        <v>89</v>
      </c>
      <c r="AA22">
        <f>INT(shadex('Shade - 1'!$D$9,'Shade - 1'!$E$9,'Shade - 1'!$F$9,'Shade - 1'!$D$7,Vertex!AA22,Vertex!AA87,Vertex!AA152,Normal!AA22,Normal!AA87,Normal!AA152)*255)</f>
        <v>96</v>
      </c>
      <c r="AB22">
        <f>INT(shadex('Shade - 1'!$D$9,'Shade - 1'!$E$9,'Shade - 1'!$F$9,'Shade - 1'!$D$7,Vertex!AB22,Vertex!AB87,Vertex!AB152,Normal!AB22,Normal!AB87,Normal!AB152)*255)</f>
        <v>97</v>
      </c>
      <c r="AC22">
        <f>INT(shadex('Shade - 1'!$D$9,'Shade - 1'!$E$9,'Shade - 1'!$F$9,'Shade - 1'!$D$7,Vertex!AC22,Vertex!AC87,Vertex!AC152,Normal!AC22,Normal!AC87,Normal!AC152)*255)</f>
        <v>86</v>
      </c>
      <c r="AD22">
        <f>INT(shadex('Shade - 1'!$D$9,'Shade - 1'!$E$9,'Shade - 1'!$F$9,'Shade - 1'!$D$7,Vertex!AD22,Vertex!AD87,Vertex!AD152,Normal!AD22,Normal!AD87,Normal!AD152)*255)</f>
        <v>72</v>
      </c>
      <c r="AE22">
        <f>INT(shadex('Shade - 1'!$D$9,'Shade - 1'!$E$9,'Shade - 1'!$F$9,'Shade - 1'!$D$7,Vertex!AE22,Vertex!AE87,Vertex!AE152,Normal!AE22,Normal!AE87,Normal!AE152)*255)</f>
        <v>90</v>
      </c>
      <c r="AF22">
        <f>INT(shadex('Shade - 1'!$D$9,'Shade - 1'!$E$9,'Shade - 1'!$F$9,'Shade - 1'!$D$7,Vertex!AF22,Vertex!AF87,Vertex!AF152,Normal!AF22,Normal!AF87,Normal!AF152)*255)</f>
        <v>96</v>
      </c>
      <c r="AG22">
        <f>INT(shadex('Shade - 1'!$D$9,'Shade - 1'!$E$9,'Shade - 1'!$F$9,'Shade - 1'!$D$7,Vertex!AG22,Vertex!AG87,Vertex!AG152,Normal!AG22,Normal!AG87,Normal!AG152)*255)</f>
        <v>98</v>
      </c>
      <c r="AH22">
        <f>INT(shadex('Shade - 1'!$D$9,'Shade - 1'!$E$9,'Shade - 1'!$F$9,'Shade - 1'!$D$7,Vertex!AH22,Vertex!AH87,Vertex!AH152,Normal!AH22,Normal!AH87,Normal!AH152)*255)</f>
        <v>98</v>
      </c>
      <c r="AI22" s="4">
        <f>INT(shadex('Shade - 1'!$D$9,'Shade - 1'!$E$9,'Shade - 1'!$F$9,'Shade - 1'!$D$7,Vertex!AI22,Vertex!AI87,Vertex!AI152,Normal!AI22,Normal!AI87,Normal!AI152)*255)</f>
        <v>99</v>
      </c>
      <c r="AJ22" s="4">
        <f>INT(shadex('Shade - 1'!$D$9,'Shade - 1'!$E$9,'Shade - 1'!$F$9,'Shade - 1'!$D$7,Vertex!AJ22,Vertex!AJ87,Vertex!AJ152,Normal!AJ22,Normal!AJ87,Normal!AJ152)*255)</f>
        <v>100</v>
      </c>
      <c r="AK22" s="4">
        <f>INT(shadex('Shade - 1'!$D$9,'Shade - 1'!$E$9,'Shade - 1'!$F$9,'Shade - 1'!$D$7,Vertex!AK22,Vertex!AK87,Vertex!AK152,Normal!AK22,Normal!AK87,Normal!AK152)*255)</f>
        <v>97</v>
      </c>
      <c r="AL22" s="4">
        <f>INT(shadex('Shade - 1'!$D$9,'Shade - 1'!$E$9,'Shade - 1'!$F$9,'Shade - 1'!$D$7,Vertex!AL22,Vertex!AL87,Vertex!AL152,Normal!AL22,Normal!AL87,Normal!AL152)*255)</f>
        <v>97</v>
      </c>
      <c r="AM22" s="4">
        <f>INT(shadex('Shade - 1'!$D$9,'Shade - 1'!$E$9,'Shade - 1'!$F$9,'Shade - 1'!$D$7,Vertex!AM22,Vertex!AM87,Vertex!AM152,Normal!AM22,Normal!AM87,Normal!AM152)*255)</f>
        <v>99</v>
      </c>
      <c r="AN22" s="4">
        <f>INT(shadex('Shade - 1'!$D$9,'Shade - 1'!$E$9,'Shade - 1'!$F$9,'Shade - 1'!$D$7,Vertex!AN22,Vertex!AN87,Vertex!AN152,Normal!AN22,Normal!AN87,Normal!AN152)*255)</f>
        <v>93</v>
      </c>
      <c r="AO22" s="4">
        <f>INT(shadex('Shade - 1'!$D$9,'Shade - 1'!$E$9,'Shade - 1'!$F$9,'Shade - 1'!$D$7,Vertex!AO22,Vertex!AO87,Vertex!AO152,Normal!AO22,Normal!AO87,Normal!AO152)*255)</f>
        <v>94</v>
      </c>
      <c r="AP22" s="4">
        <f>INT(shadex('Shade - 1'!$D$9,'Shade - 1'!$E$9,'Shade - 1'!$F$9,'Shade - 1'!$D$7,Vertex!AP22,Vertex!AP87,Vertex!AP152,Normal!AP22,Normal!AP87,Normal!AP152)*255)</f>
        <v>97</v>
      </c>
      <c r="AQ22" s="4">
        <f>INT(shadex('Shade - 1'!$D$9,'Shade - 1'!$E$9,'Shade - 1'!$F$9,'Shade - 1'!$D$7,Vertex!AQ22,Vertex!AQ87,Vertex!AQ152,Normal!AQ22,Normal!AQ87,Normal!AQ152)*255)</f>
        <v>96</v>
      </c>
      <c r="AR22" s="4">
        <f>INT(shadex('Shade - 1'!$D$9,'Shade - 1'!$E$9,'Shade - 1'!$F$9,'Shade - 1'!$D$7,Vertex!AR22,Vertex!AR87,Vertex!AR152,Normal!AR22,Normal!AR87,Normal!AR152)*255)</f>
        <v>90</v>
      </c>
      <c r="AS22" s="4">
        <f>INT(shadex('Shade - 1'!$D$9,'Shade - 1'!$E$9,'Shade - 1'!$F$9,'Shade - 1'!$D$7,Vertex!AS22,Vertex!AS87,Vertex!AS152,Normal!AS22,Normal!AS87,Normal!AS152)*255)</f>
        <v>99</v>
      </c>
      <c r="AT22" s="4">
        <f>INT(shadex('Shade - 1'!$D$9,'Shade - 1'!$E$9,'Shade - 1'!$F$9,'Shade - 1'!$D$7,Vertex!AT22,Vertex!AT87,Vertex!AT152,Normal!AT22,Normal!AT87,Normal!AT152)*255)</f>
        <v>99</v>
      </c>
      <c r="AU22" s="4">
        <f>INT(shadex('Shade - 1'!$D$9,'Shade - 1'!$E$9,'Shade - 1'!$F$9,'Shade - 1'!$D$7,Vertex!AU22,Vertex!AU87,Vertex!AU152,Normal!AU22,Normal!AU87,Normal!AU152)*255)</f>
        <v>99</v>
      </c>
      <c r="AV22" s="4">
        <f>INT(shadex('Shade - 1'!$D$9,'Shade - 1'!$E$9,'Shade - 1'!$F$9,'Shade - 1'!$D$7,Vertex!AV22,Vertex!AV87,Vertex!AV152,Normal!AV22,Normal!AV87,Normal!AV152)*255)</f>
        <v>96</v>
      </c>
      <c r="AW22" s="4">
        <f>INT(shadex('Shade - 1'!$D$9,'Shade - 1'!$E$9,'Shade - 1'!$F$9,'Shade - 1'!$D$7,Vertex!AW22,Vertex!AW87,Vertex!AW152,Normal!AW22,Normal!AW87,Normal!AW152)*255)</f>
        <v>99</v>
      </c>
      <c r="AX22" s="4">
        <f>INT(shadex('Shade - 1'!$D$9,'Shade - 1'!$E$9,'Shade - 1'!$F$9,'Shade - 1'!$D$7,Vertex!AX22,Vertex!AX87,Vertex!AX152,Normal!AX22,Normal!AX87,Normal!AX152)*255)</f>
        <v>98</v>
      </c>
      <c r="AY22" s="4">
        <f>INT(shadex('Shade - 1'!$D$9,'Shade - 1'!$E$9,'Shade - 1'!$F$9,'Shade - 1'!$D$7,Vertex!AY22,Vertex!AY87,Vertex!AY152,Normal!AY22,Normal!AY87,Normal!AY152)*255)</f>
        <v>92</v>
      </c>
      <c r="AZ22" s="4">
        <f>INT(shadex('Shade - 1'!$D$9,'Shade - 1'!$E$9,'Shade - 1'!$F$9,'Shade - 1'!$D$7,Vertex!AZ22,Vertex!AZ87,Vertex!AZ152,Normal!AZ22,Normal!AZ87,Normal!AZ152)*255)</f>
        <v>88</v>
      </c>
      <c r="BA22" s="4">
        <f>INT(shadex('Shade - 1'!$D$9,'Shade - 1'!$E$9,'Shade - 1'!$F$9,'Shade - 1'!$D$7,Vertex!BA22,Vertex!BA87,Vertex!BA152,Normal!BA22,Normal!BA87,Normal!BA152)*255)</f>
        <v>86</v>
      </c>
      <c r="BB22" s="4">
        <f>INT(shadex('Shade - 1'!$D$9,'Shade - 1'!$E$9,'Shade - 1'!$F$9,'Shade - 1'!$D$7,Vertex!BB22,Vertex!BB87,Vertex!BB152,Normal!BB22,Normal!BB87,Normal!BB152)*255)</f>
        <v>75</v>
      </c>
      <c r="BC22" s="4">
        <f>INT(shadex('Shade - 1'!$D$9,'Shade - 1'!$E$9,'Shade - 1'!$F$9,'Shade - 1'!$D$7,Vertex!BC22,Vertex!BC87,Vertex!BC152,Normal!BC22,Normal!BC87,Normal!BC152)*255)</f>
        <v>77</v>
      </c>
      <c r="BD22" s="4">
        <f>INT(shadex('Shade - 1'!$D$9,'Shade - 1'!$E$9,'Shade - 1'!$F$9,'Shade - 1'!$D$7,Vertex!BD22,Vertex!BD87,Vertex!BD152,Normal!BD22,Normal!BD87,Normal!BD152)*255)</f>
        <v>88</v>
      </c>
      <c r="BE22" s="4">
        <f>INT(shadex('Shade - 1'!$D$9,'Shade - 1'!$E$9,'Shade - 1'!$F$9,'Shade - 1'!$D$7,Vertex!BE22,Vertex!BE87,Vertex!BE152,Normal!BE22,Normal!BE87,Normal!BE152)*255)</f>
        <v>90</v>
      </c>
      <c r="BF22" s="4">
        <f>INT(shadex('Shade - 1'!$D$9,'Shade - 1'!$E$9,'Shade - 1'!$F$9,'Shade - 1'!$D$7,Vertex!BF22,Vertex!BF87,Vertex!BF152,Normal!BF22,Normal!BF87,Normal!BF152)*255)</f>
        <v>84</v>
      </c>
      <c r="BG22" s="4">
        <f>INT(shadex('Shade - 1'!$D$9,'Shade - 1'!$E$9,'Shade - 1'!$F$9,'Shade - 1'!$D$7,Vertex!BG22,Vertex!BG87,Vertex!BG152,Normal!BG22,Normal!BG87,Normal!BG152)*255)</f>
        <v>96</v>
      </c>
      <c r="BH22" s="4">
        <f>INT(shadex('Shade - 1'!$D$9,'Shade - 1'!$E$9,'Shade - 1'!$F$9,'Shade - 1'!$D$7,Vertex!BH22,Vertex!BH87,Vertex!BH152,Normal!BH22,Normal!BH87,Normal!BH152)*255)</f>
        <v>97</v>
      </c>
      <c r="BI22" s="4">
        <f>INT(shadex('Shade - 1'!$D$9,'Shade - 1'!$E$9,'Shade - 1'!$F$9,'Shade - 1'!$D$7,Vertex!BI22,Vertex!BI87,Vertex!BI152,Normal!BI22,Normal!BI87,Normal!BI152)*255)</f>
        <v>88</v>
      </c>
      <c r="BJ22" s="4">
        <f>INT(shadex('Shade - 1'!$D$9,'Shade - 1'!$E$9,'Shade - 1'!$F$9,'Shade - 1'!$D$7,Vertex!BJ22,Vertex!BJ87,Vertex!BJ152,Normal!BJ22,Normal!BJ87,Normal!BJ152)*255)</f>
        <v>95</v>
      </c>
      <c r="BK22" s="4">
        <f>INT(shadex('Shade - 1'!$D$9,'Shade - 1'!$E$9,'Shade - 1'!$F$9,'Shade - 1'!$D$7,Vertex!BK22,Vertex!BK87,Vertex!BK152,Normal!BK22,Normal!BK87,Normal!BK152)*255)</f>
        <v>96</v>
      </c>
      <c r="BL22" s="4">
        <f>INT(shadex('Shade - 1'!$D$9,'Shade - 1'!$E$9,'Shade - 1'!$F$9,'Shade - 1'!$D$7,Vertex!BL22,Vertex!BL87,Vertex!BL152,Normal!BL22,Normal!BL87,Normal!BL152)*255)</f>
        <v>94</v>
      </c>
    </row>
    <row r="23" spans="1:64" x14ac:dyDescent="0.25">
      <c r="A23">
        <f>INT(shadex('Shade - 1'!$D$9,'Shade - 1'!$E$9,'Shade - 1'!$F$9,'Shade - 1'!$D$7,Vertex!A23,Vertex!A88,Vertex!A153,Normal!A23,Normal!A88,Normal!A153)*255)</f>
        <v>60</v>
      </c>
      <c r="B23">
        <f>INT(shadex('Shade - 1'!$D$9,'Shade - 1'!$E$9,'Shade - 1'!$F$9,'Shade - 1'!$D$7,Vertex!B23,Vertex!B88,Vertex!B153,Normal!B23,Normal!B88,Normal!B153)*255)</f>
        <v>60</v>
      </c>
      <c r="C23">
        <f>INT(shadex('Shade - 1'!$D$9,'Shade - 1'!$E$9,'Shade - 1'!$F$9,'Shade - 1'!$D$7,Vertex!C23,Vertex!C88,Vertex!C153,Normal!C23,Normal!C88,Normal!C153)*255)</f>
        <v>43</v>
      </c>
      <c r="D23">
        <f>INT(shadex('Shade - 1'!$D$9,'Shade - 1'!$E$9,'Shade - 1'!$F$9,'Shade - 1'!$D$7,Vertex!D23,Vertex!D88,Vertex!D153,Normal!D23,Normal!D88,Normal!D153)*255)</f>
        <v>29</v>
      </c>
      <c r="E23">
        <f>INT(shadex('Shade - 1'!$D$9,'Shade - 1'!$E$9,'Shade - 1'!$F$9,'Shade - 1'!$D$7,Vertex!E23,Vertex!E88,Vertex!E153,Normal!E23,Normal!E88,Normal!E153)*255)</f>
        <v>48</v>
      </c>
      <c r="F23">
        <f>INT(shadex('Shade - 1'!$D$9,'Shade - 1'!$E$9,'Shade - 1'!$F$9,'Shade - 1'!$D$7,Vertex!F23,Vertex!F88,Vertex!F153,Normal!F23,Normal!F88,Normal!F153)*255)</f>
        <v>63</v>
      </c>
      <c r="G23">
        <f>INT(shadex('Shade - 1'!$D$9,'Shade - 1'!$E$9,'Shade - 1'!$F$9,'Shade - 1'!$D$7,Vertex!G23,Vertex!G88,Vertex!G153,Normal!G23,Normal!G88,Normal!G153)*255)</f>
        <v>47</v>
      </c>
      <c r="H23">
        <f>INT(shadex('Shade - 1'!$D$9,'Shade - 1'!$E$9,'Shade - 1'!$F$9,'Shade - 1'!$D$7,Vertex!H23,Vertex!H88,Vertex!H153,Normal!H23,Normal!H88,Normal!H153)*255)</f>
        <v>27</v>
      </c>
      <c r="I23">
        <f>INT(shadex('Shade - 1'!$D$9,'Shade - 1'!$E$9,'Shade - 1'!$F$9,'Shade - 1'!$D$7,Vertex!I23,Vertex!I88,Vertex!I153,Normal!I23,Normal!I88,Normal!I153)*255)</f>
        <v>32</v>
      </c>
      <c r="J23">
        <f>INT(shadex('Shade - 1'!$D$9,'Shade - 1'!$E$9,'Shade - 1'!$F$9,'Shade - 1'!$D$7,Vertex!J23,Vertex!J88,Vertex!J153,Normal!J23,Normal!J88,Normal!J153)*255)</f>
        <v>45</v>
      </c>
      <c r="K23">
        <f>INT(shadex('Shade - 1'!$D$9,'Shade - 1'!$E$9,'Shade - 1'!$F$9,'Shade - 1'!$D$7,Vertex!K23,Vertex!K88,Vertex!K153,Normal!K23,Normal!K88,Normal!K153)*255)</f>
        <v>76</v>
      </c>
      <c r="L23">
        <f>INT(shadex('Shade - 1'!$D$9,'Shade - 1'!$E$9,'Shade - 1'!$F$9,'Shade - 1'!$D$7,Vertex!L23,Vertex!L88,Vertex!L153,Normal!L23,Normal!L88,Normal!L153)*255)</f>
        <v>84</v>
      </c>
      <c r="M23">
        <f>INT(shadex('Shade - 1'!$D$9,'Shade - 1'!$E$9,'Shade - 1'!$F$9,'Shade - 1'!$D$7,Vertex!M23,Vertex!M88,Vertex!M153,Normal!M23,Normal!M88,Normal!M153)*255)</f>
        <v>76</v>
      </c>
      <c r="N23">
        <f>INT(shadex('Shade - 1'!$D$9,'Shade - 1'!$E$9,'Shade - 1'!$F$9,'Shade - 1'!$D$7,Vertex!N23,Vertex!N88,Vertex!N153,Normal!N23,Normal!N88,Normal!N153)*255)</f>
        <v>77</v>
      </c>
      <c r="O23">
        <f>INT(shadex('Shade - 1'!$D$9,'Shade - 1'!$E$9,'Shade - 1'!$F$9,'Shade - 1'!$D$7,Vertex!O23,Vertex!O88,Vertex!O153,Normal!O23,Normal!O88,Normal!O153)*255)</f>
        <v>76</v>
      </c>
      <c r="P23">
        <f>INT(shadex('Shade - 1'!$D$9,'Shade - 1'!$E$9,'Shade - 1'!$F$9,'Shade - 1'!$D$7,Vertex!P23,Vertex!P88,Vertex!P153,Normal!P23,Normal!P88,Normal!P153)*255)</f>
        <v>83</v>
      </c>
      <c r="Q23">
        <f>INT(shadex('Shade - 1'!$D$9,'Shade - 1'!$E$9,'Shade - 1'!$F$9,'Shade - 1'!$D$7,Vertex!Q23,Vertex!Q88,Vertex!Q153,Normal!Q23,Normal!Q88,Normal!Q153)*255)</f>
        <v>89</v>
      </c>
      <c r="R23">
        <f>INT(shadex('Shade - 1'!$D$9,'Shade - 1'!$E$9,'Shade - 1'!$F$9,'Shade - 1'!$D$7,Vertex!R23,Vertex!R88,Vertex!R153,Normal!R23,Normal!R88,Normal!R153)*255)</f>
        <v>78</v>
      </c>
      <c r="S23">
        <f>INT(shadex('Shade - 1'!$D$9,'Shade - 1'!$E$9,'Shade - 1'!$F$9,'Shade - 1'!$D$7,Vertex!S23,Vertex!S88,Vertex!S153,Normal!S23,Normal!S88,Normal!S153)*255)</f>
        <v>64</v>
      </c>
      <c r="T23">
        <f>INT(shadex('Shade - 1'!$D$9,'Shade - 1'!$E$9,'Shade - 1'!$F$9,'Shade - 1'!$D$7,Vertex!T23,Vertex!T88,Vertex!T153,Normal!T23,Normal!T88,Normal!T153)*255)</f>
        <v>64</v>
      </c>
      <c r="U23">
        <f>INT(shadex('Shade - 1'!$D$9,'Shade - 1'!$E$9,'Shade - 1'!$F$9,'Shade - 1'!$D$7,Vertex!U23,Vertex!U88,Vertex!U153,Normal!U23,Normal!U88,Normal!U153)*255)</f>
        <v>89</v>
      </c>
      <c r="V23">
        <f>INT(shadex('Shade - 1'!$D$9,'Shade - 1'!$E$9,'Shade - 1'!$F$9,'Shade - 1'!$D$7,Vertex!V23,Vertex!V88,Vertex!V153,Normal!V23,Normal!V88,Normal!V153)*255)</f>
        <v>96</v>
      </c>
      <c r="W23">
        <f>INT(shadex('Shade - 1'!$D$9,'Shade - 1'!$E$9,'Shade - 1'!$F$9,'Shade - 1'!$D$7,Vertex!W23,Vertex!W88,Vertex!W153,Normal!W23,Normal!W88,Normal!W153)*255)</f>
        <v>76</v>
      </c>
      <c r="X23">
        <f>INT(shadex('Shade - 1'!$D$9,'Shade - 1'!$E$9,'Shade - 1'!$F$9,'Shade - 1'!$D$7,Vertex!X23,Vertex!X88,Vertex!X153,Normal!X23,Normal!X88,Normal!X153)*255)</f>
        <v>70</v>
      </c>
      <c r="Y23">
        <f>INT(shadex('Shade - 1'!$D$9,'Shade - 1'!$E$9,'Shade - 1'!$F$9,'Shade - 1'!$D$7,Vertex!Y23,Vertex!Y88,Vertex!Y153,Normal!Y23,Normal!Y88,Normal!Y153)*255)</f>
        <v>75</v>
      </c>
      <c r="Z23">
        <f>INT(shadex('Shade - 1'!$D$9,'Shade - 1'!$E$9,'Shade - 1'!$F$9,'Shade - 1'!$D$7,Vertex!Z23,Vertex!Z88,Vertex!Z153,Normal!Z23,Normal!Z88,Normal!Z153)*255)</f>
        <v>83</v>
      </c>
      <c r="AA23">
        <f>INT(shadex('Shade - 1'!$D$9,'Shade - 1'!$E$9,'Shade - 1'!$F$9,'Shade - 1'!$D$7,Vertex!AA23,Vertex!AA88,Vertex!AA153,Normal!AA23,Normal!AA88,Normal!AA153)*255)</f>
        <v>91</v>
      </c>
      <c r="AB23">
        <f>INT(shadex('Shade - 1'!$D$9,'Shade - 1'!$E$9,'Shade - 1'!$F$9,'Shade - 1'!$D$7,Vertex!AB23,Vertex!AB88,Vertex!AB153,Normal!AB23,Normal!AB88,Normal!AB153)*255)</f>
        <v>99</v>
      </c>
      <c r="AC23">
        <f>INT(shadex('Shade - 1'!$D$9,'Shade - 1'!$E$9,'Shade - 1'!$F$9,'Shade - 1'!$D$7,Vertex!AC23,Vertex!AC88,Vertex!AC153,Normal!AC23,Normal!AC88,Normal!AC153)*255)</f>
        <v>98</v>
      </c>
      <c r="AD23">
        <f>INT(shadex('Shade - 1'!$D$9,'Shade - 1'!$E$9,'Shade - 1'!$F$9,'Shade - 1'!$D$7,Vertex!AD23,Vertex!AD88,Vertex!AD153,Normal!AD23,Normal!AD88,Normal!AD153)*255)</f>
        <v>81</v>
      </c>
      <c r="AE23">
        <f>INT(shadex('Shade - 1'!$D$9,'Shade - 1'!$E$9,'Shade - 1'!$F$9,'Shade - 1'!$D$7,Vertex!AE23,Vertex!AE88,Vertex!AE153,Normal!AE23,Normal!AE88,Normal!AE153)*255)</f>
        <v>91</v>
      </c>
      <c r="AF23">
        <f>INT(shadex('Shade - 1'!$D$9,'Shade - 1'!$E$9,'Shade - 1'!$F$9,'Shade - 1'!$D$7,Vertex!AF23,Vertex!AF88,Vertex!AF153,Normal!AF23,Normal!AF88,Normal!AF153)*255)</f>
        <v>94</v>
      </c>
      <c r="AG23">
        <f>INT(shadex('Shade - 1'!$D$9,'Shade - 1'!$E$9,'Shade - 1'!$F$9,'Shade - 1'!$D$7,Vertex!AG23,Vertex!AG88,Vertex!AG153,Normal!AG23,Normal!AG88,Normal!AG153)*255)</f>
        <v>99</v>
      </c>
      <c r="AH23">
        <f>INT(shadex('Shade - 1'!$D$9,'Shade - 1'!$E$9,'Shade - 1'!$F$9,'Shade - 1'!$D$7,Vertex!AH23,Vertex!AH88,Vertex!AH153,Normal!AH23,Normal!AH88,Normal!AH153)*255)</f>
        <v>97</v>
      </c>
      <c r="AI23" s="4">
        <f>INT(shadex('Shade - 1'!$D$9,'Shade - 1'!$E$9,'Shade - 1'!$F$9,'Shade - 1'!$D$7,Vertex!AI23,Vertex!AI88,Vertex!AI153,Normal!AI23,Normal!AI88,Normal!AI153)*255)</f>
        <v>99</v>
      </c>
      <c r="AJ23" s="4">
        <f>INT(shadex('Shade - 1'!$D$9,'Shade - 1'!$E$9,'Shade - 1'!$F$9,'Shade - 1'!$D$7,Vertex!AJ23,Vertex!AJ88,Vertex!AJ153,Normal!AJ23,Normal!AJ88,Normal!AJ153)*255)</f>
        <v>100</v>
      </c>
      <c r="AK23" s="4">
        <f>INT(shadex('Shade - 1'!$D$9,'Shade - 1'!$E$9,'Shade - 1'!$F$9,'Shade - 1'!$D$7,Vertex!AK23,Vertex!AK88,Vertex!AK153,Normal!AK23,Normal!AK88,Normal!AK153)*255)</f>
        <v>97</v>
      </c>
      <c r="AL23" s="4">
        <f>INT(shadex('Shade - 1'!$D$9,'Shade - 1'!$E$9,'Shade - 1'!$F$9,'Shade - 1'!$D$7,Vertex!AL23,Vertex!AL88,Vertex!AL153,Normal!AL23,Normal!AL88,Normal!AL153)*255)</f>
        <v>97</v>
      </c>
      <c r="AM23" s="4">
        <f>INT(shadex('Shade - 1'!$D$9,'Shade - 1'!$E$9,'Shade - 1'!$F$9,'Shade - 1'!$D$7,Vertex!AM23,Vertex!AM88,Vertex!AM153,Normal!AM23,Normal!AM88,Normal!AM153)*255)</f>
        <v>96</v>
      </c>
      <c r="AN23" s="4">
        <f>INT(shadex('Shade - 1'!$D$9,'Shade - 1'!$E$9,'Shade - 1'!$F$9,'Shade - 1'!$D$7,Vertex!AN23,Vertex!AN88,Vertex!AN153,Normal!AN23,Normal!AN88,Normal!AN153)*255)</f>
        <v>93</v>
      </c>
      <c r="AO23" s="4">
        <f>INT(shadex('Shade - 1'!$D$9,'Shade - 1'!$E$9,'Shade - 1'!$F$9,'Shade - 1'!$D$7,Vertex!AO23,Vertex!AO88,Vertex!AO153,Normal!AO23,Normal!AO88,Normal!AO153)*255)</f>
        <v>99</v>
      </c>
      <c r="AP23" s="4">
        <f>INT(shadex('Shade - 1'!$D$9,'Shade - 1'!$E$9,'Shade - 1'!$F$9,'Shade - 1'!$D$7,Vertex!AP23,Vertex!AP88,Vertex!AP153,Normal!AP23,Normal!AP88,Normal!AP153)*255)</f>
        <v>98</v>
      </c>
      <c r="AQ23" s="4">
        <f>INT(shadex('Shade - 1'!$D$9,'Shade - 1'!$E$9,'Shade - 1'!$F$9,'Shade - 1'!$D$7,Vertex!AQ23,Vertex!AQ88,Vertex!AQ153,Normal!AQ23,Normal!AQ88,Normal!AQ153)*255)</f>
        <v>94</v>
      </c>
      <c r="AR23" s="4">
        <f>INT(shadex('Shade - 1'!$D$9,'Shade - 1'!$E$9,'Shade - 1'!$F$9,'Shade - 1'!$D$7,Vertex!AR23,Vertex!AR88,Vertex!AR153,Normal!AR23,Normal!AR88,Normal!AR153)*255)</f>
        <v>96</v>
      </c>
      <c r="AS23" s="4">
        <f>INT(shadex('Shade - 1'!$D$9,'Shade - 1'!$E$9,'Shade - 1'!$F$9,'Shade - 1'!$D$7,Vertex!AS23,Vertex!AS88,Vertex!AS153,Normal!AS23,Normal!AS88,Normal!AS153)*255)</f>
        <v>99</v>
      </c>
      <c r="AT23" s="4">
        <f>INT(shadex('Shade - 1'!$D$9,'Shade - 1'!$E$9,'Shade - 1'!$F$9,'Shade - 1'!$D$7,Vertex!AT23,Vertex!AT88,Vertex!AT153,Normal!AT23,Normal!AT88,Normal!AT153)*255)</f>
        <v>99</v>
      </c>
      <c r="AU23" s="4">
        <f>INT(shadex('Shade - 1'!$D$9,'Shade - 1'!$E$9,'Shade - 1'!$F$9,'Shade - 1'!$D$7,Vertex!AU23,Vertex!AU88,Vertex!AU153,Normal!AU23,Normal!AU88,Normal!AU153)*255)</f>
        <v>98</v>
      </c>
      <c r="AV23" s="4">
        <f>INT(shadex('Shade - 1'!$D$9,'Shade - 1'!$E$9,'Shade - 1'!$F$9,'Shade - 1'!$D$7,Vertex!AV23,Vertex!AV88,Vertex!AV153,Normal!AV23,Normal!AV88,Normal!AV153)*255)</f>
        <v>98</v>
      </c>
      <c r="AW23" s="4">
        <f>INT(shadex('Shade - 1'!$D$9,'Shade - 1'!$E$9,'Shade - 1'!$F$9,'Shade - 1'!$D$7,Vertex!AW23,Vertex!AW88,Vertex!AW153,Normal!AW23,Normal!AW88,Normal!AW153)*255)</f>
        <v>100</v>
      </c>
      <c r="AX23" s="4">
        <f>INT(shadex('Shade - 1'!$D$9,'Shade - 1'!$E$9,'Shade - 1'!$F$9,'Shade - 1'!$D$7,Vertex!AX23,Vertex!AX88,Vertex!AX153,Normal!AX23,Normal!AX88,Normal!AX153)*255)</f>
        <v>98</v>
      </c>
      <c r="AY23" s="4">
        <f>INT(shadex('Shade - 1'!$D$9,'Shade - 1'!$E$9,'Shade - 1'!$F$9,'Shade - 1'!$D$7,Vertex!AY23,Vertex!AY88,Vertex!AY153,Normal!AY23,Normal!AY88,Normal!AY153)*255)</f>
        <v>91</v>
      </c>
      <c r="AZ23" s="4">
        <f>INT(shadex('Shade - 1'!$D$9,'Shade - 1'!$E$9,'Shade - 1'!$F$9,'Shade - 1'!$D$7,Vertex!AZ23,Vertex!AZ88,Vertex!AZ153,Normal!AZ23,Normal!AZ88,Normal!AZ153)*255)</f>
        <v>92</v>
      </c>
      <c r="BA23" s="4">
        <f>INT(shadex('Shade - 1'!$D$9,'Shade - 1'!$E$9,'Shade - 1'!$F$9,'Shade - 1'!$D$7,Vertex!BA23,Vertex!BA88,Vertex!BA153,Normal!BA23,Normal!BA88,Normal!BA153)*255)</f>
        <v>87</v>
      </c>
      <c r="BB23" s="4">
        <f>INT(shadex('Shade - 1'!$D$9,'Shade - 1'!$E$9,'Shade - 1'!$F$9,'Shade - 1'!$D$7,Vertex!BB23,Vertex!BB88,Vertex!BB153,Normal!BB23,Normal!BB88,Normal!BB153)*255)</f>
        <v>77</v>
      </c>
      <c r="BC23" s="4">
        <f>INT(shadex('Shade - 1'!$D$9,'Shade - 1'!$E$9,'Shade - 1'!$F$9,'Shade - 1'!$D$7,Vertex!BC23,Vertex!BC88,Vertex!BC153,Normal!BC23,Normal!BC88,Normal!BC153)*255)</f>
        <v>82</v>
      </c>
      <c r="BD23" s="4">
        <f>INT(shadex('Shade - 1'!$D$9,'Shade - 1'!$E$9,'Shade - 1'!$F$9,'Shade - 1'!$D$7,Vertex!BD23,Vertex!BD88,Vertex!BD153,Normal!BD23,Normal!BD88,Normal!BD153)*255)</f>
        <v>88</v>
      </c>
      <c r="BE23" s="4">
        <f>INT(shadex('Shade - 1'!$D$9,'Shade - 1'!$E$9,'Shade - 1'!$F$9,'Shade - 1'!$D$7,Vertex!BE23,Vertex!BE88,Vertex!BE153,Normal!BE23,Normal!BE88,Normal!BE153)*255)</f>
        <v>89</v>
      </c>
      <c r="BF23" s="4">
        <f>INT(shadex('Shade - 1'!$D$9,'Shade - 1'!$E$9,'Shade - 1'!$F$9,'Shade - 1'!$D$7,Vertex!BF23,Vertex!BF88,Vertex!BF153,Normal!BF23,Normal!BF88,Normal!BF153)*255)</f>
        <v>91</v>
      </c>
      <c r="BG23" s="4">
        <f>INT(shadex('Shade - 1'!$D$9,'Shade - 1'!$E$9,'Shade - 1'!$F$9,'Shade - 1'!$D$7,Vertex!BG23,Vertex!BG88,Vertex!BG153,Normal!BG23,Normal!BG88,Normal!BG153)*255)</f>
        <v>98</v>
      </c>
      <c r="BH23" s="4">
        <f>INT(shadex('Shade - 1'!$D$9,'Shade - 1'!$E$9,'Shade - 1'!$F$9,'Shade - 1'!$D$7,Vertex!BH23,Vertex!BH88,Vertex!BH153,Normal!BH23,Normal!BH88,Normal!BH153)*255)</f>
        <v>99</v>
      </c>
      <c r="BI23" s="4">
        <f>INT(shadex('Shade - 1'!$D$9,'Shade - 1'!$E$9,'Shade - 1'!$F$9,'Shade - 1'!$D$7,Vertex!BI23,Vertex!BI88,Vertex!BI153,Normal!BI23,Normal!BI88,Normal!BI153)*255)</f>
        <v>98</v>
      </c>
      <c r="BJ23" s="4">
        <f>INT(shadex('Shade - 1'!$D$9,'Shade - 1'!$E$9,'Shade - 1'!$F$9,'Shade - 1'!$D$7,Vertex!BJ23,Vertex!BJ88,Vertex!BJ153,Normal!BJ23,Normal!BJ88,Normal!BJ153)*255)</f>
        <v>95</v>
      </c>
      <c r="BK23" s="4">
        <f>INT(shadex('Shade - 1'!$D$9,'Shade - 1'!$E$9,'Shade - 1'!$F$9,'Shade - 1'!$D$7,Vertex!BK23,Vertex!BK88,Vertex!BK153,Normal!BK23,Normal!BK88,Normal!BK153)*255)</f>
        <v>98</v>
      </c>
      <c r="BL23" s="4">
        <f>INT(shadex('Shade - 1'!$D$9,'Shade - 1'!$E$9,'Shade - 1'!$F$9,'Shade - 1'!$D$7,Vertex!BL23,Vertex!BL88,Vertex!BL153,Normal!BL23,Normal!BL88,Normal!BL153)*255)</f>
        <v>96</v>
      </c>
    </row>
    <row r="24" spans="1:64" x14ac:dyDescent="0.25">
      <c r="A24">
        <f>INT(shadex('Shade - 1'!$D$9,'Shade - 1'!$E$9,'Shade - 1'!$F$9,'Shade - 1'!$D$7,Vertex!A24,Vertex!A89,Vertex!A154,Normal!A24,Normal!A89,Normal!A154)*255)</f>
        <v>51</v>
      </c>
      <c r="B24">
        <f>INT(shadex('Shade - 1'!$D$9,'Shade - 1'!$E$9,'Shade - 1'!$F$9,'Shade - 1'!$D$7,Vertex!B24,Vertex!B89,Vertex!B154,Normal!B24,Normal!B89,Normal!B154)*255)</f>
        <v>60</v>
      </c>
      <c r="C24">
        <f>INT(shadex('Shade - 1'!$D$9,'Shade - 1'!$E$9,'Shade - 1'!$F$9,'Shade - 1'!$D$7,Vertex!C24,Vertex!C89,Vertex!C154,Normal!C24,Normal!C89,Normal!C154)*255)</f>
        <v>57</v>
      </c>
      <c r="D24">
        <f>INT(shadex('Shade - 1'!$D$9,'Shade - 1'!$E$9,'Shade - 1'!$F$9,'Shade - 1'!$D$7,Vertex!D24,Vertex!D89,Vertex!D154,Normal!D24,Normal!D89,Normal!D154)*255)</f>
        <v>40</v>
      </c>
      <c r="E24">
        <f>INT(shadex('Shade - 1'!$D$9,'Shade - 1'!$E$9,'Shade - 1'!$F$9,'Shade - 1'!$D$7,Vertex!E24,Vertex!E89,Vertex!E154,Normal!E24,Normal!E89,Normal!E154)*255)</f>
        <v>53</v>
      </c>
      <c r="F24">
        <f>INT(shadex('Shade - 1'!$D$9,'Shade - 1'!$E$9,'Shade - 1'!$F$9,'Shade - 1'!$D$7,Vertex!F24,Vertex!F89,Vertex!F154,Normal!F24,Normal!F89,Normal!F154)*255)</f>
        <v>58</v>
      </c>
      <c r="G24">
        <f>INT(shadex('Shade - 1'!$D$9,'Shade - 1'!$E$9,'Shade - 1'!$F$9,'Shade - 1'!$D$7,Vertex!G24,Vertex!G89,Vertex!G154,Normal!G24,Normal!G89,Normal!G154)*255)</f>
        <v>46</v>
      </c>
      <c r="H24">
        <f>INT(shadex('Shade - 1'!$D$9,'Shade - 1'!$E$9,'Shade - 1'!$F$9,'Shade - 1'!$D$7,Vertex!H24,Vertex!H89,Vertex!H154,Normal!H24,Normal!H89,Normal!H154)*255)</f>
        <v>0</v>
      </c>
      <c r="I24">
        <f>INT(shadex('Shade - 1'!$D$9,'Shade - 1'!$E$9,'Shade - 1'!$F$9,'Shade - 1'!$D$7,Vertex!I24,Vertex!I89,Vertex!I154,Normal!I24,Normal!I89,Normal!I154)*255)</f>
        <v>25</v>
      </c>
      <c r="J24">
        <f>INT(shadex('Shade - 1'!$D$9,'Shade - 1'!$E$9,'Shade - 1'!$F$9,'Shade - 1'!$D$7,Vertex!J24,Vertex!J89,Vertex!J154,Normal!J24,Normal!J89,Normal!J154)*255)</f>
        <v>37</v>
      </c>
      <c r="K24">
        <f>INT(shadex('Shade - 1'!$D$9,'Shade - 1'!$E$9,'Shade - 1'!$F$9,'Shade - 1'!$D$7,Vertex!K24,Vertex!K89,Vertex!K154,Normal!K24,Normal!K89,Normal!K154)*255)</f>
        <v>58</v>
      </c>
      <c r="L24">
        <f>INT(shadex('Shade - 1'!$D$9,'Shade - 1'!$E$9,'Shade - 1'!$F$9,'Shade - 1'!$D$7,Vertex!L24,Vertex!L89,Vertex!L154,Normal!L24,Normal!L89,Normal!L154)*255)</f>
        <v>69</v>
      </c>
      <c r="M24">
        <f>INT(shadex('Shade - 1'!$D$9,'Shade - 1'!$E$9,'Shade - 1'!$F$9,'Shade - 1'!$D$7,Vertex!M24,Vertex!M89,Vertex!M154,Normal!M24,Normal!M89,Normal!M154)*255)</f>
        <v>71</v>
      </c>
      <c r="N24">
        <f>INT(shadex('Shade - 1'!$D$9,'Shade - 1'!$E$9,'Shade - 1'!$F$9,'Shade - 1'!$D$7,Vertex!N24,Vertex!N89,Vertex!N154,Normal!N24,Normal!N89,Normal!N154)*255)</f>
        <v>77</v>
      </c>
      <c r="O24">
        <f>INT(shadex('Shade - 1'!$D$9,'Shade - 1'!$E$9,'Shade - 1'!$F$9,'Shade - 1'!$D$7,Vertex!O24,Vertex!O89,Vertex!O154,Normal!O24,Normal!O89,Normal!O154)*255)</f>
        <v>61</v>
      </c>
      <c r="P24">
        <f>INT(shadex('Shade - 1'!$D$9,'Shade - 1'!$E$9,'Shade - 1'!$F$9,'Shade - 1'!$D$7,Vertex!P24,Vertex!P89,Vertex!P154,Normal!P24,Normal!P89,Normal!P154)*255)</f>
        <v>75</v>
      </c>
      <c r="Q24">
        <f>INT(shadex('Shade - 1'!$D$9,'Shade - 1'!$E$9,'Shade - 1'!$F$9,'Shade - 1'!$D$7,Vertex!Q24,Vertex!Q89,Vertex!Q154,Normal!Q24,Normal!Q89,Normal!Q154)*255)</f>
        <v>76</v>
      </c>
      <c r="R24">
        <f>INT(shadex('Shade - 1'!$D$9,'Shade - 1'!$E$9,'Shade - 1'!$F$9,'Shade - 1'!$D$7,Vertex!R24,Vertex!R89,Vertex!R154,Normal!R24,Normal!R89,Normal!R154)*255)</f>
        <v>67</v>
      </c>
      <c r="S24">
        <f>INT(shadex('Shade - 1'!$D$9,'Shade - 1'!$E$9,'Shade - 1'!$F$9,'Shade - 1'!$D$7,Vertex!S24,Vertex!S89,Vertex!S154,Normal!S24,Normal!S89,Normal!S154)*255)</f>
        <v>65</v>
      </c>
      <c r="T24">
        <f>INT(shadex('Shade - 1'!$D$9,'Shade - 1'!$E$9,'Shade - 1'!$F$9,'Shade - 1'!$D$7,Vertex!T24,Vertex!T89,Vertex!T154,Normal!T24,Normal!T89,Normal!T154)*255)</f>
        <v>63</v>
      </c>
      <c r="U24">
        <f>INT(shadex('Shade - 1'!$D$9,'Shade - 1'!$E$9,'Shade - 1'!$F$9,'Shade - 1'!$D$7,Vertex!U24,Vertex!U89,Vertex!U154,Normal!U24,Normal!U89,Normal!U154)*255)</f>
        <v>98</v>
      </c>
      <c r="V24">
        <f>INT(shadex('Shade - 1'!$D$9,'Shade - 1'!$E$9,'Shade - 1'!$F$9,'Shade - 1'!$D$7,Vertex!V24,Vertex!V89,Vertex!V154,Normal!V24,Normal!V89,Normal!V154)*255)</f>
        <v>98</v>
      </c>
      <c r="W24">
        <f>INT(shadex('Shade - 1'!$D$9,'Shade - 1'!$E$9,'Shade - 1'!$F$9,'Shade - 1'!$D$7,Vertex!W24,Vertex!W89,Vertex!W154,Normal!W24,Normal!W89,Normal!W154)*255)</f>
        <v>87</v>
      </c>
      <c r="X24">
        <f>INT(shadex('Shade - 1'!$D$9,'Shade - 1'!$E$9,'Shade - 1'!$F$9,'Shade - 1'!$D$7,Vertex!X24,Vertex!X89,Vertex!X154,Normal!X24,Normal!X89,Normal!X154)*255)</f>
        <v>71</v>
      </c>
      <c r="Y24">
        <f>INT(shadex('Shade - 1'!$D$9,'Shade - 1'!$E$9,'Shade - 1'!$F$9,'Shade - 1'!$D$7,Vertex!Y24,Vertex!Y89,Vertex!Y154,Normal!Y24,Normal!Y89,Normal!Y154)*255)</f>
        <v>66</v>
      </c>
      <c r="Z24">
        <f>INT(shadex('Shade - 1'!$D$9,'Shade - 1'!$E$9,'Shade - 1'!$F$9,'Shade - 1'!$D$7,Vertex!Z24,Vertex!Z89,Vertex!Z154,Normal!Z24,Normal!Z89,Normal!Z154)*255)</f>
        <v>87</v>
      </c>
      <c r="AA24">
        <f>INT(shadex('Shade - 1'!$D$9,'Shade - 1'!$E$9,'Shade - 1'!$F$9,'Shade - 1'!$D$7,Vertex!AA24,Vertex!AA89,Vertex!AA154,Normal!AA24,Normal!AA89,Normal!AA154)*255)</f>
        <v>92</v>
      </c>
      <c r="AB24">
        <f>INT(shadex('Shade - 1'!$D$9,'Shade - 1'!$E$9,'Shade - 1'!$F$9,'Shade - 1'!$D$7,Vertex!AB24,Vertex!AB89,Vertex!AB154,Normal!AB24,Normal!AB89,Normal!AB154)*255)</f>
        <v>95</v>
      </c>
      <c r="AC24">
        <f>INT(shadex('Shade - 1'!$D$9,'Shade - 1'!$E$9,'Shade - 1'!$F$9,'Shade - 1'!$D$7,Vertex!AC24,Vertex!AC89,Vertex!AC154,Normal!AC24,Normal!AC89,Normal!AC154)*255)</f>
        <v>99</v>
      </c>
      <c r="AD24">
        <f>INT(shadex('Shade - 1'!$D$9,'Shade - 1'!$E$9,'Shade - 1'!$F$9,'Shade - 1'!$D$7,Vertex!AD24,Vertex!AD89,Vertex!AD154,Normal!AD24,Normal!AD89,Normal!AD154)*255)</f>
        <v>94</v>
      </c>
      <c r="AE24">
        <f>INT(shadex('Shade - 1'!$D$9,'Shade - 1'!$E$9,'Shade - 1'!$F$9,'Shade - 1'!$D$7,Vertex!AE24,Vertex!AE89,Vertex!AE154,Normal!AE24,Normal!AE89,Normal!AE154)*255)</f>
        <v>84</v>
      </c>
      <c r="AF24">
        <f>INT(shadex('Shade - 1'!$D$9,'Shade - 1'!$E$9,'Shade - 1'!$F$9,'Shade - 1'!$D$7,Vertex!AF24,Vertex!AF89,Vertex!AF154,Normal!AF24,Normal!AF89,Normal!AF154)*255)</f>
        <v>85</v>
      </c>
      <c r="AG24">
        <f>INT(shadex('Shade - 1'!$D$9,'Shade - 1'!$E$9,'Shade - 1'!$F$9,'Shade - 1'!$D$7,Vertex!AG24,Vertex!AG89,Vertex!AG154,Normal!AG24,Normal!AG89,Normal!AG154)*255)</f>
        <v>100</v>
      </c>
      <c r="AH24">
        <f>INT(shadex('Shade - 1'!$D$9,'Shade - 1'!$E$9,'Shade - 1'!$F$9,'Shade - 1'!$D$7,Vertex!AH24,Vertex!AH89,Vertex!AH154,Normal!AH24,Normal!AH89,Normal!AH154)*255)</f>
        <v>98</v>
      </c>
      <c r="AI24" s="4">
        <f>INT(shadex('Shade - 1'!$D$9,'Shade - 1'!$E$9,'Shade - 1'!$F$9,'Shade - 1'!$D$7,Vertex!AI24,Vertex!AI89,Vertex!AI154,Normal!AI24,Normal!AI89,Normal!AI154)*255)</f>
        <v>99</v>
      </c>
      <c r="AJ24" s="4">
        <f>INT(shadex('Shade - 1'!$D$9,'Shade - 1'!$E$9,'Shade - 1'!$F$9,'Shade - 1'!$D$7,Vertex!AJ24,Vertex!AJ89,Vertex!AJ154,Normal!AJ24,Normal!AJ89,Normal!AJ154)*255)</f>
        <v>100</v>
      </c>
      <c r="AK24" s="4">
        <f>INT(shadex('Shade - 1'!$D$9,'Shade - 1'!$E$9,'Shade - 1'!$F$9,'Shade - 1'!$D$7,Vertex!AK24,Vertex!AK89,Vertex!AK154,Normal!AK24,Normal!AK89,Normal!AK154)*255)</f>
        <v>99</v>
      </c>
      <c r="AL24" s="4">
        <f>INT(shadex('Shade - 1'!$D$9,'Shade - 1'!$E$9,'Shade - 1'!$F$9,'Shade - 1'!$D$7,Vertex!AL24,Vertex!AL89,Vertex!AL154,Normal!AL24,Normal!AL89,Normal!AL154)*255)</f>
        <v>97</v>
      </c>
      <c r="AM24" s="4">
        <f>INT(shadex('Shade - 1'!$D$9,'Shade - 1'!$E$9,'Shade - 1'!$F$9,'Shade - 1'!$D$7,Vertex!AM24,Vertex!AM89,Vertex!AM154,Normal!AM24,Normal!AM89,Normal!AM154)*255)</f>
        <v>97</v>
      </c>
      <c r="AN24" s="4">
        <f>INT(shadex('Shade - 1'!$D$9,'Shade - 1'!$E$9,'Shade - 1'!$F$9,'Shade - 1'!$D$7,Vertex!AN24,Vertex!AN89,Vertex!AN154,Normal!AN24,Normal!AN89,Normal!AN154)*255)</f>
        <v>98</v>
      </c>
      <c r="AO24" s="4">
        <f>INT(shadex('Shade - 1'!$D$9,'Shade - 1'!$E$9,'Shade - 1'!$F$9,'Shade - 1'!$D$7,Vertex!AO24,Vertex!AO89,Vertex!AO154,Normal!AO24,Normal!AO89,Normal!AO154)*255)</f>
        <v>98</v>
      </c>
      <c r="AP24" s="4">
        <f>INT(shadex('Shade - 1'!$D$9,'Shade - 1'!$E$9,'Shade - 1'!$F$9,'Shade - 1'!$D$7,Vertex!AP24,Vertex!AP89,Vertex!AP154,Normal!AP24,Normal!AP89,Normal!AP154)*255)</f>
        <v>97</v>
      </c>
      <c r="AQ24" s="4">
        <f>INT(shadex('Shade - 1'!$D$9,'Shade - 1'!$E$9,'Shade - 1'!$F$9,'Shade - 1'!$D$7,Vertex!AQ24,Vertex!AQ89,Vertex!AQ154,Normal!AQ24,Normal!AQ89,Normal!AQ154)*255)</f>
        <v>98</v>
      </c>
      <c r="AR24" s="4">
        <f>INT(shadex('Shade - 1'!$D$9,'Shade - 1'!$E$9,'Shade - 1'!$F$9,'Shade - 1'!$D$7,Vertex!AR24,Vertex!AR89,Vertex!AR154,Normal!AR24,Normal!AR89,Normal!AR154)*255)</f>
        <v>98</v>
      </c>
      <c r="AS24" s="4">
        <f>INT(shadex('Shade - 1'!$D$9,'Shade - 1'!$E$9,'Shade - 1'!$F$9,'Shade - 1'!$D$7,Vertex!AS24,Vertex!AS89,Vertex!AS154,Normal!AS24,Normal!AS89,Normal!AS154)*255)</f>
        <v>98</v>
      </c>
      <c r="AT24" s="4">
        <f>INT(shadex('Shade - 1'!$D$9,'Shade - 1'!$E$9,'Shade - 1'!$F$9,'Shade - 1'!$D$7,Vertex!AT24,Vertex!AT89,Vertex!AT154,Normal!AT24,Normal!AT89,Normal!AT154)*255)</f>
        <v>99</v>
      </c>
      <c r="AU24" s="4">
        <f>INT(shadex('Shade - 1'!$D$9,'Shade - 1'!$E$9,'Shade - 1'!$F$9,'Shade - 1'!$D$7,Vertex!AU24,Vertex!AU89,Vertex!AU154,Normal!AU24,Normal!AU89,Normal!AU154)*255)</f>
        <v>98</v>
      </c>
      <c r="AV24" s="4">
        <f>INT(shadex('Shade - 1'!$D$9,'Shade - 1'!$E$9,'Shade - 1'!$F$9,'Shade - 1'!$D$7,Vertex!AV24,Vertex!AV89,Vertex!AV154,Normal!AV24,Normal!AV89,Normal!AV154)*255)</f>
        <v>97</v>
      </c>
      <c r="AW24" s="4">
        <f>INT(shadex('Shade - 1'!$D$9,'Shade - 1'!$E$9,'Shade - 1'!$F$9,'Shade - 1'!$D$7,Vertex!AW24,Vertex!AW89,Vertex!AW154,Normal!AW24,Normal!AW89,Normal!AW154)*255)</f>
        <v>100</v>
      </c>
      <c r="AX24" s="4">
        <f>INT(shadex('Shade - 1'!$D$9,'Shade - 1'!$E$9,'Shade - 1'!$F$9,'Shade - 1'!$D$7,Vertex!AX24,Vertex!AX89,Vertex!AX154,Normal!AX24,Normal!AX89,Normal!AX154)*255)</f>
        <v>85</v>
      </c>
      <c r="AY24" s="4">
        <f>INT(shadex('Shade - 1'!$D$9,'Shade - 1'!$E$9,'Shade - 1'!$F$9,'Shade - 1'!$D$7,Vertex!AY24,Vertex!AY89,Vertex!AY154,Normal!AY24,Normal!AY89,Normal!AY154)*255)</f>
        <v>85</v>
      </c>
      <c r="AZ24" s="4">
        <f>INT(shadex('Shade - 1'!$D$9,'Shade - 1'!$E$9,'Shade - 1'!$F$9,'Shade - 1'!$D$7,Vertex!AZ24,Vertex!AZ89,Vertex!AZ154,Normal!AZ24,Normal!AZ89,Normal!AZ154)*255)</f>
        <v>87</v>
      </c>
      <c r="BA24" s="4">
        <f>INT(shadex('Shade - 1'!$D$9,'Shade - 1'!$E$9,'Shade - 1'!$F$9,'Shade - 1'!$D$7,Vertex!BA24,Vertex!BA89,Vertex!BA154,Normal!BA24,Normal!BA89,Normal!BA154)*255)</f>
        <v>83</v>
      </c>
      <c r="BB24" s="4">
        <f>INT(shadex('Shade - 1'!$D$9,'Shade - 1'!$E$9,'Shade - 1'!$F$9,'Shade - 1'!$D$7,Vertex!BB24,Vertex!BB89,Vertex!BB154,Normal!BB24,Normal!BB89,Normal!BB154)*255)</f>
        <v>77</v>
      </c>
      <c r="BC24" s="4">
        <f>INT(shadex('Shade - 1'!$D$9,'Shade - 1'!$E$9,'Shade - 1'!$F$9,'Shade - 1'!$D$7,Vertex!BC24,Vertex!BC89,Vertex!BC154,Normal!BC24,Normal!BC89,Normal!BC154)*255)</f>
        <v>66</v>
      </c>
      <c r="BD24" s="4">
        <f>INT(shadex('Shade - 1'!$D$9,'Shade - 1'!$E$9,'Shade - 1'!$F$9,'Shade - 1'!$D$7,Vertex!BD24,Vertex!BD89,Vertex!BD154,Normal!BD24,Normal!BD89,Normal!BD154)*255)</f>
        <v>73</v>
      </c>
      <c r="BE24" s="4">
        <f>INT(shadex('Shade - 1'!$D$9,'Shade - 1'!$E$9,'Shade - 1'!$F$9,'Shade - 1'!$D$7,Vertex!BE24,Vertex!BE89,Vertex!BE154,Normal!BE24,Normal!BE89,Normal!BE154)*255)</f>
        <v>84</v>
      </c>
      <c r="BF24" s="4">
        <f>INT(shadex('Shade - 1'!$D$9,'Shade - 1'!$E$9,'Shade - 1'!$F$9,'Shade - 1'!$D$7,Vertex!BF24,Vertex!BF89,Vertex!BF154,Normal!BF24,Normal!BF89,Normal!BF154)*255)</f>
        <v>87</v>
      </c>
      <c r="BG24" s="4">
        <f>INT(shadex('Shade - 1'!$D$9,'Shade - 1'!$E$9,'Shade - 1'!$F$9,'Shade - 1'!$D$7,Vertex!BG24,Vertex!BG89,Vertex!BG154,Normal!BG24,Normal!BG89,Normal!BG154)*255)</f>
        <v>89</v>
      </c>
      <c r="BH24" s="4">
        <f>INT(shadex('Shade - 1'!$D$9,'Shade - 1'!$E$9,'Shade - 1'!$F$9,'Shade - 1'!$D$7,Vertex!BH24,Vertex!BH89,Vertex!BH154,Normal!BH24,Normal!BH89,Normal!BH154)*255)</f>
        <v>96</v>
      </c>
      <c r="BI24" s="4">
        <f>INT(shadex('Shade - 1'!$D$9,'Shade - 1'!$E$9,'Shade - 1'!$F$9,'Shade - 1'!$D$7,Vertex!BI24,Vertex!BI89,Vertex!BI154,Normal!BI24,Normal!BI89,Normal!BI154)*255)</f>
        <v>99</v>
      </c>
      <c r="BJ24" s="4">
        <f>INT(shadex('Shade - 1'!$D$9,'Shade - 1'!$E$9,'Shade - 1'!$F$9,'Shade - 1'!$D$7,Vertex!BJ24,Vertex!BJ89,Vertex!BJ154,Normal!BJ24,Normal!BJ89,Normal!BJ154)*255)</f>
        <v>95</v>
      </c>
      <c r="BK24" s="4">
        <f>INT(shadex('Shade - 1'!$D$9,'Shade - 1'!$E$9,'Shade - 1'!$F$9,'Shade - 1'!$D$7,Vertex!BK24,Vertex!BK89,Vertex!BK154,Normal!BK24,Normal!BK89,Normal!BK154)*255)</f>
        <v>87</v>
      </c>
      <c r="BL24" s="4">
        <f>INT(shadex('Shade - 1'!$D$9,'Shade - 1'!$E$9,'Shade - 1'!$F$9,'Shade - 1'!$D$7,Vertex!BL24,Vertex!BL89,Vertex!BL154,Normal!BL24,Normal!BL89,Normal!BL154)*255)</f>
        <v>86</v>
      </c>
    </row>
    <row r="25" spans="1:64" x14ac:dyDescent="0.25">
      <c r="A25">
        <f>INT(shadex('Shade - 1'!$D$9,'Shade - 1'!$E$9,'Shade - 1'!$F$9,'Shade - 1'!$D$7,Vertex!A25,Vertex!A90,Vertex!A155,Normal!A25,Normal!A90,Normal!A155)*255)</f>
        <v>66</v>
      </c>
      <c r="B25">
        <f>INT(shadex('Shade - 1'!$D$9,'Shade - 1'!$E$9,'Shade - 1'!$F$9,'Shade - 1'!$D$7,Vertex!B25,Vertex!B90,Vertex!B155,Normal!B25,Normal!B90,Normal!B155)*255)</f>
        <v>68</v>
      </c>
      <c r="C25">
        <f>INT(shadex('Shade - 1'!$D$9,'Shade - 1'!$E$9,'Shade - 1'!$F$9,'Shade - 1'!$D$7,Vertex!C25,Vertex!C90,Vertex!C155,Normal!C25,Normal!C90,Normal!C155)*255)</f>
        <v>61</v>
      </c>
      <c r="D25">
        <f>INT(shadex('Shade - 1'!$D$9,'Shade - 1'!$E$9,'Shade - 1'!$F$9,'Shade - 1'!$D$7,Vertex!D25,Vertex!D90,Vertex!D155,Normal!D25,Normal!D90,Normal!D155)*255)</f>
        <v>59</v>
      </c>
      <c r="E25">
        <f>INT(shadex('Shade - 1'!$D$9,'Shade - 1'!$E$9,'Shade - 1'!$F$9,'Shade - 1'!$D$7,Vertex!E25,Vertex!E90,Vertex!E155,Normal!E25,Normal!E90,Normal!E155)*255)</f>
        <v>74</v>
      </c>
      <c r="F25">
        <f>INT(shadex('Shade - 1'!$D$9,'Shade - 1'!$E$9,'Shade - 1'!$F$9,'Shade - 1'!$D$7,Vertex!F25,Vertex!F90,Vertex!F155,Normal!F25,Normal!F90,Normal!F155)*255)</f>
        <v>72</v>
      </c>
      <c r="G25">
        <f>INT(shadex('Shade - 1'!$D$9,'Shade - 1'!$E$9,'Shade - 1'!$F$9,'Shade - 1'!$D$7,Vertex!G25,Vertex!G90,Vertex!G155,Normal!G25,Normal!G90,Normal!G155)*255)</f>
        <v>57</v>
      </c>
      <c r="H25">
        <f>INT(shadex('Shade - 1'!$D$9,'Shade - 1'!$E$9,'Shade - 1'!$F$9,'Shade - 1'!$D$7,Vertex!H25,Vertex!H90,Vertex!H155,Normal!H25,Normal!H90,Normal!H155)*255)</f>
        <v>0</v>
      </c>
      <c r="I25">
        <f>INT(shadex('Shade - 1'!$D$9,'Shade - 1'!$E$9,'Shade - 1'!$F$9,'Shade - 1'!$D$7,Vertex!I25,Vertex!I90,Vertex!I155,Normal!I25,Normal!I90,Normal!I155)*255)</f>
        <v>28</v>
      </c>
      <c r="J25">
        <f>INT(shadex('Shade - 1'!$D$9,'Shade - 1'!$E$9,'Shade - 1'!$F$9,'Shade - 1'!$D$7,Vertex!J25,Vertex!J90,Vertex!J155,Normal!J25,Normal!J90,Normal!J155)*255)</f>
        <v>37</v>
      </c>
      <c r="K25">
        <f>INT(shadex('Shade - 1'!$D$9,'Shade - 1'!$E$9,'Shade - 1'!$F$9,'Shade - 1'!$D$7,Vertex!K25,Vertex!K90,Vertex!K155,Normal!K25,Normal!K90,Normal!K155)*255)</f>
        <v>54</v>
      </c>
      <c r="L25">
        <f>INT(shadex('Shade - 1'!$D$9,'Shade - 1'!$E$9,'Shade - 1'!$F$9,'Shade - 1'!$D$7,Vertex!L25,Vertex!L90,Vertex!L155,Normal!L25,Normal!L90,Normal!L155)*255)</f>
        <v>58</v>
      </c>
      <c r="M25">
        <f>INT(shadex('Shade - 1'!$D$9,'Shade - 1'!$E$9,'Shade - 1'!$F$9,'Shade - 1'!$D$7,Vertex!M25,Vertex!M90,Vertex!M155,Normal!M25,Normal!M90,Normal!M155)*255)</f>
        <v>53</v>
      </c>
      <c r="N25">
        <f>INT(shadex('Shade - 1'!$D$9,'Shade - 1'!$E$9,'Shade - 1'!$F$9,'Shade - 1'!$D$7,Vertex!N25,Vertex!N90,Vertex!N155,Normal!N25,Normal!N90,Normal!N155)*255)</f>
        <v>61</v>
      </c>
      <c r="O25">
        <f>INT(shadex('Shade - 1'!$D$9,'Shade - 1'!$E$9,'Shade - 1'!$F$9,'Shade - 1'!$D$7,Vertex!O25,Vertex!O90,Vertex!O155,Normal!O25,Normal!O90,Normal!O155)*255)</f>
        <v>40</v>
      </c>
      <c r="P25">
        <f>INT(shadex('Shade - 1'!$D$9,'Shade - 1'!$E$9,'Shade - 1'!$F$9,'Shade - 1'!$D$7,Vertex!P25,Vertex!P90,Vertex!P155,Normal!P25,Normal!P90,Normal!P155)*255)</f>
        <v>46</v>
      </c>
      <c r="Q25">
        <f>INT(shadex('Shade - 1'!$D$9,'Shade - 1'!$E$9,'Shade - 1'!$F$9,'Shade - 1'!$D$7,Vertex!Q25,Vertex!Q90,Vertex!Q155,Normal!Q25,Normal!Q90,Normal!Q155)*255)</f>
        <v>70</v>
      </c>
      <c r="R25">
        <f>INT(shadex('Shade - 1'!$D$9,'Shade - 1'!$E$9,'Shade - 1'!$F$9,'Shade - 1'!$D$7,Vertex!R25,Vertex!R90,Vertex!R155,Normal!R25,Normal!R90,Normal!R155)*255)</f>
        <v>77</v>
      </c>
      <c r="S25">
        <f>INT(shadex('Shade - 1'!$D$9,'Shade - 1'!$E$9,'Shade - 1'!$F$9,'Shade - 1'!$D$7,Vertex!S25,Vertex!S90,Vertex!S155,Normal!S25,Normal!S90,Normal!S155)*255)</f>
        <v>68</v>
      </c>
      <c r="T25">
        <f>INT(shadex('Shade - 1'!$D$9,'Shade - 1'!$E$9,'Shade - 1'!$F$9,'Shade - 1'!$D$7,Vertex!T25,Vertex!T90,Vertex!T155,Normal!T25,Normal!T90,Normal!T155)*255)</f>
        <v>53</v>
      </c>
      <c r="U25">
        <f>INT(shadex('Shade - 1'!$D$9,'Shade - 1'!$E$9,'Shade - 1'!$F$9,'Shade - 1'!$D$7,Vertex!U25,Vertex!U90,Vertex!U155,Normal!U25,Normal!U90,Normal!U155)*255)</f>
        <v>78</v>
      </c>
      <c r="V25">
        <f>INT(shadex('Shade - 1'!$D$9,'Shade - 1'!$E$9,'Shade - 1'!$F$9,'Shade - 1'!$D$7,Vertex!V25,Vertex!V90,Vertex!V155,Normal!V25,Normal!V90,Normal!V155)*255)</f>
        <v>90</v>
      </c>
      <c r="W25">
        <f>INT(shadex('Shade - 1'!$D$9,'Shade - 1'!$E$9,'Shade - 1'!$F$9,'Shade - 1'!$D$7,Vertex!W25,Vertex!W90,Vertex!W155,Normal!W25,Normal!W90,Normal!W155)*255)</f>
        <v>93</v>
      </c>
      <c r="X25">
        <f>INT(shadex('Shade - 1'!$D$9,'Shade - 1'!$E$9,'Shade - 1'!$F$9,'Shade - 1'!$D$7,Vertex!X25,Vertex!X90,Vertex!X155,Normal!X25,Normal!X90,Normal!X155)*255)</f>
        <v>83</v>
      </c>
      <c r="Y25">
        <f>INT(shadex('Shade - 1'!$D$9,'Shade - 1'!$E$9,'Shade - 1'!$F$9,'Shade - 1'!$D$7,Vertex!Y25,Vertex!Y90,Vertex!Y155,Normal!Y25,Normal!Y90,Normal!Y155)*255)</f>
        <v>57</v>
      </c>
      <c r="Z25">
        <f>INT(shadex('Shade - 1'!$D$9,'Shade - 1'!$E$9,'Shade - 1'!$F$9,'Shade - 1'!$D$7,Vertex!Z25,Vertex!Z90,Vertex!Z155,Normal!Z25,Normal!Z90,Normal!Z155)*255)</f>
        <v>65</v>
      </c>
      <c r="AA25">
        <f>INT(shadex('Shade - 1'!$D$9,'Shade - 1'!$E$9,'Shade - 1'!$F$9,'Shade - 1'!$D$7,Vertex!AA25,Vertex!AA90,Vertex!AA155,Normal!AA25,Normal!AA90,Normal!AA155)*255)</f>
        <v>79</v>
      </c>
      <c r="AB25">
        <f>INT(shadex('Shade - 1'!$D$9,'Shade - 1'!$E$9,'Shade - 1'!$F$9,'Shade - 1'!$D$7,Vertex!AB25,Vertex!AB90,Vertex!AB155,Normal!AB25,Normal!AB90,Normal!AB155)*255)</f>
        <v>80</v>
      </c>
      <c r="AC25">
        <f>INT(shadex('Shade - 1'!$D$9,'Shade - 1'!$E$9,'Shade - 1'!$F$9,'Shade - 1'!$D$7,Vertex!AC25,Vertex!AC90,Vertex!AC155,Normal!AC25,Normal!AC90,Normal!AC155)*255)</f>
        <v>95</v>
      </c>
      <c r="AD25">
        <f>INT(shadex('Shade - 1'!$D$9,'Shade - 1'!$E$9,'Shade - 1'!$F$9,'Shade - 1'!$D$7,Vertex!AD25,Vertex!AD90,Vertex!AD155,Normal!AD25,Normal!AD90,Normal!AD155)*255)</f>
        <v>97</v>
      </c>
      <c r="AE25">
        <f>INT(shadex('Shade - 1'!$D$9,'Shade - 1'!$E$9,'Shade - 1'!$F$9,'Shade - 1'!$D$7,Vertex!AE25,Vertex!AE90,Vertex!AE155,Normal!AE25,Normal!AE90,Normal!AE155)*255)</f>
        <v>85</v>
      </c>
      <c r="AF25">
        <f>INT(shadex('Shade - 1'!$D$9,'Shade - 1'!$E$9,'Shade - 1'!$F$9,'Shade - 1'!$D$7,Vertex!AF25,Vertex!AF90,Vertex!AF155,Normal!AF25,Normal!AF90,Normal!AF155)*255)</f>
        <v>81</v>
      </c>
      <c r="AG25">
        <f>INT(shadex('Shade - 1'!$D$9,'Shade - 1'!$E$9,'Shade - 1'!$F$9,'Shade - 1'!$D$7,Vertex!AG25,Vertex!AG90,Vertex!AG155,Normal!AG25,Normal!AG90,Normal!AG155)*255)</f>
        <v>95</v>
      </c>
      <c r="AH25">
        <f>INT(shadex('Shade - 1'!$D$9,'Shade - 1'!$E$9,'Shade - 1'!$F$9,'Shade - 1'!$D$7,Vertex!AH25,Vertex!AH90,Vertex!AH155,Normal!AH25,Normal!AH90,Normal!AH155)*255)</f>
        <v>99</v>
      </c>
      <c r="AI25" s="4">
        <f>INT(shadex('Shade - 1'!$D$9,'Shade - 1'!$E$9,'Shade - 1'!$F$9,'Shade - 1'!$D$7,Vertex!AI25,Vertex!AI90,Vertex!AI155,Normal!AI25,Normal!AI90,Normal!AI155)*255)</f>
        <v>99</v>
      </c>
      <c r="AJ25" s="4">
        <f>INT(shadex('Shade - 1'!$D$9,'Shade - 1'!$E$9,'Shade - 1'!$F$9,'Shade - 1'!$D$7,Vertex!AJ25,Vertex!AJ90,Vertex!AJ155,Normal!AJ25,Normal!AJ90,Normal!AJ155)*255)</f>
        <v>99</v>
      </c>
      <c r="AK25" s="4">
        <f>INT(shadex('Shade - 1'!$D$9,'Shade - 1'!$E$9,'Shade - 1'!$F$9,'Shade - 1'!$D$7,Vertex!AK25,Vertex!AK90,Vertex!AK155,Normal!AK25,Normal!AK90,Normal!AK155)*255)</f>
        <v>99</v>
      </c>
      <c r="AL25" s="4">
        <f>INT(shadex('Shade - 1'!$D$9,'Shade - 1'!$E$9,'Shade - 1'!$F$9,'Shade - 1'!$D$7,Vertex!AL25,Vertex!AL90,Vertex!AL155,Normal!AL25,Normal!AL90,Normal!AL155)*255)</f>
        <v>100</v>
      </c>
      <c r="AM25" s="4">
        <f>INT(shadex('Shade - 1'!$D$9,'Shade - 1'!$E$9,'Shade - 1'!$F$9,'Shade - 1'!$D$7,Vertex!AM25,Vertex!AM90,Vertex!AM155,Normal!AM25,Normal!AM90,Normal!AM155)*255)</f>
        <v>98</v>
      </c>
      <c r="AN25" s="4">
        <f>INT(shadex('Shade - 1'!$D$9,'Shade - 1'!$E$9,'Shade - 1'!$F$9,'Shade - 1'!$D$7,Vertex!AN25,Vertex!AN90,Vertex!AN155,Normal!AN25,Normal!AN90,Normal!AN155)*255)</f>
        <v>96</v>
      </c>
      <c r="AO25" s="4">
        <f>INT(shadex('Shade - 1'!$D$9,'Shade - 1'!$E$9,'Shade - 1'!$F$9,'Shade - 1'!$D$7,Vertex!AO25,Vertex!AO90,Vertex!AO155,Normal!AO25,Normal!AO90,Normal!AO155)*255)</f>
        <v>97</v>
      </c>
      <c r="AP25" s="4">
        <f>INT(shadex('Shade - 1'!$D$9,'Shade - 1'!$E$9,'Shade - 1'!$F$9,'Shade - 1'!$D$7,Vertex!AP25,Vertex!AP90,Vertex!AP155,Normal!AP25,Normal!AP90,Normal!AP155)*255)</f>
        <v>98</v>
      </c>
      <c r="AQ25" s="4">
        <f>INT(shadex('Shade - 1'!$D$9,'Shade - 1'!$E$9,'Shade - 1'!$F$9,'Shade - 1'!$D$7,Vertex!AQ25,Vertex!AQ90,Vertex!AQ155,Normal!AQ25,Normal!AQ90,Normal!AQ155)*255)</f>
        <v>99</v>
      </c>
      <c r="AR25" s="4">
        <f>INT(shadex('Shade - 1'!$D$9,'Shade - 1'!$E$9,'Shade - 1'!$F$9,'Shade - 1'!$D$7,Vertex!AR25,Vertex!AR90,Vertex!AR155,Normal!AR25,Normal!AR90,Normal!AR155)*255)</f>
        <v>96</v>
      </c>
      <c r="AS25" s="4">
        <f>INT(shadex('Shade - 1'!$D$9,'Shade - 1'!$E$9,'Shade - 1'!$F$9,'Shade - 1'!$D$7,Vertex!AS25,Vertex!AS90,Vertex!AS155,Normal!AS25,Normal!AS90,Normal!AS155)*255)</f>
        <v>95</v>
      </c>
      <c r="AT25" s="4">
        <f>INT(shadex('Shade - 1'!$D$9,'Shade - 1'!$E$9,'Shade - 1'!$F$9,'Shade - 1'!$D$7,Vertex!AT25,Vertex!AT90,Vertex!AT155,Normal!AT25,Normal!AT90,Normal!AT155)*255)</f>
        <v>97</v>
      </c>
      <c r="AU25" s="4">
        <f>INT(shadex('Shade - 1'!$D$9,'Shade - 1'!$E$9,'Shade - 1'!$F$9,'Shade - 1'!$D$7,Vertex!AU25,Vertex!AU90,Vertex!AU155,Normal!AU25,Normal!AU90,Normal!AU155)*255)</f>
        <v>99</v>
      </c>
      <c r="AV25" s="4">
        <f>INT(shadex('Shade - 1'!$D$9,'Shade - 1'!$E$9,'Shade - 1'!$F$9,'Shade - 1'!$D$7,Vertex!AV25,Vertex!AV90,Vertex!AV155,Normal!AV25,Normal!AV90,Normal!AV155)*255)</f>
        <v>97</v>
      </c>
      <c r="AW25" s="4">
        <f>INT(shadex('Shade - 1'!$D$9,'Shade - 1'!$E$9,'Shade - 1'!$F$9,'Shade - 1'!$D$7,Vertex!AW25,Vertex!AW90,Vertex!AW155,Normal!AW25,Normal!AW90,Normal!AW155)*255)</f>
        <v>96</v>
      </c>
      <c r="AX25" s="4">
        <f>INT(shadex('Shade - 1'!$D$9,'Shade - 1'!$E$9,'Shade - 1'!$F$9,'Shade - 1'!$D$7,Vertex!AX25,Vertex!AX90,Vertex!AX155,Normal!AX25,Normal!AX90,Normal!AX155)*255)</f>
        <v>64</v>
      </c>
      <c r="AY25" s="4">
        <f>INT(shadex('Shade - 1'!$D$9,'Shade - 1'!$E$9,'Shade - 1'!$F$9,'Shade - 1'!$D$7,Vertex!AY25,Vertex!AY90,Vertex!AY155,Normal!AY25,Normal!AY90,Normal!AY155)*255)</f>
        <v>84</v>
      </c>
      <c r="AZ25" s="4">
        <f>INT(shadex('Shade - 1'!$D$9,'Shade - 1'!$E$9,'Shade - 1'!$F$9,'Shade - 1'!$D$7,Vertex!AZ25,Vertex!AZ90,Vertex!AZ155,Normal!AZ25,Normal!AZ90,Normal!AZ155)*255)</f>
        <v>86</v>
      </c>
      <c r="BA25" s="4">
        <f>INT(shadex('Shade - 1'!$D$9,'Shade - 1'!$E$9,'Shade - 1'!$F$9,'Shade - 1'!$D$7,Vertex!BA25,Vertex!BA90,Vertex!BA155,Normal!BA25,Normal!BA90,Normal!BA155)*255)</f>
        <v>76</v>
      </c>
      <c r="BB25" s="4">
        <f>INT(shadex('Shade - 1'!$D$9,'Shade - 1'!$E$9,'Shade - 1'!$F$9,'Shade - 1'!$D$7,Vertex!BB25,Vertex!BB90,Vertex!BB155,Normal!BB25,Normal!BB90,Normal!BB155)*255)</f>
        <v>70</v>
      </c>
      <c r="BC25" s="4">
        <f>INT(shadex('Shade - 1'!$D$9,'Shade - 1'!$E$9,'Shade - 1'!$F$9,'Shade - 1'!$D$7,Vertex!BC25,Vertex!BC90,Vertex!BC155,Normal!BC25,Normal!BC90,Normal!BC155)*255)</f>
        <v>62</v>
      </c>
      <c r="BD25" s="4">
        <f>INT(shadex('Shade - 1'!$D$9,'Shade - 1'!$E$9,'Shade - 1'!$F$9,'Shade - 1'!$D$7,Vertex!BD25,Vertex!BD90,Vertex!BD155,Normal!BD25,Normal!BD90,Normal!BD155)*255)</f>
        <v>79</v>
      </c>
      <c r="BE25" s="4">
        <f>INT(shadex('Shade - 1'!$D$9,'Shade - 1'!$E$9,'Shade - 1'!$F$9,'Shade - 1'!$D$7,Vertex!BE25,Vertex!BE90,Vertex!BE155,Normal!BE25,Normal!BE90,Normal!BE155)*255)</f>
        <v>94</v>
      </c>
      <c r="BF25" s="4">
        <f>INT(shadex('Shade - 1'!$D$9,'Shade - 1'!$E$9,'Shade - 1'!$F$9,'Shade - 1'!$D$7,Vertex!BF25,Vertex!BF90,Vertex!BF155,Normal!BF25,Normal!BF90,Normal!BF155)*255)</f>
        <v>93</v>
      </c>
      <c r="BG25" s="4">
        <f>INT(shadex('Shade - 1'!$D$9,'Shade - 1'!$E$9,'Shade - 1'!$F$9,'Shade - 1'!$D$7,Vertex!BG25,Vertex!BG90,Vertex!BG155,Normal!BG25,Normal!BG90,Normal!BG155)*255)</f>
        <v>95</v>
      </c>
      <c r="BH25" s="4">
        <f>INT(shadex('Shade - 1'!$D$9,'Shade - 1'!$E$9,'Shade - 1'!$F$9,'Shade - 1'!$D$7,Vertex!BH25,Vertex!BH90,Vertex!BH155,Normal!BH25,Normal!BH90,Normal!BH155)*255)</f>
        <v>98</v>
      </c>
      <c r="BI25" s="4">
        <f>INT(shadex('Shade - 1'!$D$9,'Shade - 1'!$E$9,'Shade - 1'!$F$9,'Shade - 1'!$D$7,Vertex!BI25,Vertex!BI90,Vertex!BI155,Normal!BI25,Normal!BI90,Normal!BI155)*255)</f>
        <v>99</v>
      </c>
      <c r="BJ25" s="4">
        <f>INT(shadex('Shade - 1'!$D$9,'Shade - 1'!$E$9,'Shade - 1'!$F$9,'Shade - 1'!$D$7,Vertex!BJ25,Vertex!BJ90,Vertex!BJ155,Normal!BJ25,Normal!BJ90,Normal!BJ155)*255)</f>
        <v>96</v>
      </c>
      <c r="BK25" s="4">
        <f>INT(shadex('Shade - 1'!$D$9,'Shade - 1'!$E$9,'Shade - 1'!$F$9,'Shade - 1'!$D$7,Vertex!BK25,Vertex!BK90,Vertex!BK155,Normal!BK25,Normal!BK90,Normal!BK155)*255)</f>
        <v>91</v>
      </c>
      <c r="BL25" s="4">
        <f>INT(shadex('Shade - 1'!$D$9,'Shade - 1'!$E$9,'Shade - 1'!$F$9,'Shade - 1'!$D$7,Vertex!BL25,Vertex!BL90,Vertex!BL155,Normal!BL25,Normal!BL90,Normal!BL155)*255)</f>
        <v>95</v>
      </c>
    </row>
    <row r="26" spans="1:64" x14ac:dyDescent="0.25">
      <c r="A26">
        <f>INT(shadex('Shade - 1'!$D$9,'Shade - 1'!$E$9,'Shade - 1'!$F$9,'Shade - 1'!$D$7,Vertex!A26,Vertex!A91,Vertex!A156,Normal!A26,Normal!A91,Normal!A156)*255)</f>
        <v>69</v>
      </c>
      <c r="B26">
        <f>INT(shadex('Shade - 1'!$D$9,'Shade - 1'!$E$9,'Shade - 1'!$F$9,'Shade - 1'!$D$7,Vertex!B26,Vertex!B91,Vertex!B156,Normal!B26,Normal!B91,Normal!B156)*255)</f>
        <v>59</v>
      </c>
      <c r="C26">
        <f>INT(shadex('Shade - 1'!$D$9,'Shade - 1'!$E$9,'Shade - 1'!$F$9,'Shade - 1'!$D$7,Vertex!C26,Vertex!C91,Vertex!C156,Normal!C26,Normal!C91,Normal!C156)*255)</f>
        <v>45</v>
      </c>
      <c r="D26">
        <f>INT(shadex('Shade - 1'!$D$9,'Shade - 1'!$E$9,'Shade - 1'!$F$9,'Shade - 1'!$D$7,Vertex!D26,Vertex!D91,Vertex!D156,Normal!D26,Normal!D91,Normal!D156)*255)</f>
        <v>49</v>
      </c>
      <c r="E26">
        <f>INT(shadex('Shade - 1'!$D$9,'Shade - 1'!$E$9,'Shade - 1'!$F$9,'Shade - 1'!$D$7,Vertex!E26,Vertex!E91,Vertex!E156,Normal!E26,Normal!E91,Normal!E156)*255)</f>
        <v>69</v>
      </c>
      <c r="F26">
        <f>INT(shadex('Shade - 1'!$D$9,'Shade - 1'!$E$9,'Shade - 1'!$F$9,'Shade - 1'!$D$7,Vertex!F26,Vertex!F91,Vertex!F156,Normal!F26,Normal!F91,Normal!F156)*255)</f>
        <v>75</v>
      </c>
      <c r="G26">
        <f>INT(shadex('Shade - 1'!$D$9,'Shade - 1'!$E$9,'Shade - 1'!$F$9,'Shade - 1'!$D$7,Vertex!G26,Vertex!G91,Vertex!G156,Normal!G26,Normal!G91,Normal!G156)*255)</f>
        <v>58</v>
      </c>
      <c r="H26">
        <f>INT(shadex('Shade - 1'!$D$9,'Shade - 1'!$E$9,'Shade - 1'!$F$9,'Shade - 1'!$D$7,Vertex!H26,Vertex!H91,Vertex!H156,Normal!H26,Normal!H91,Normal!H156)*255)</f>
        <v>29</v>
      </c>
      <c r="I26">
        <f>INT(shadex('Shade - 1'!$D$9,'Shade - 1'!$E$9,'Shade - 1'!$F$9,'Shade - 1'!$D$7,Vertex!I26,Vertex!I91,Vertex!I156,Normal!I26,Normal!I91,Normal!I156)*255)</f>
        <v>25</v>
      </c>
      <c r="J26">
        <f>INT(shadex('Shade - 1'!$D$9,'Shade - 1'!$E$9,'Shade - 1'!$F$9,'Shade - 1'!$D$7,Vertex!J26,Vertex!J91,Vertex!J156,Normal!J26,Normal!J91,Normal!J156)*255)</f>
        <v>28</v>
      </c>
      <c r="K26">
        <f>INT(shadex('Shade - 1'!$D$9,'Shade - 1'!$E$9,'Shade - 1'!$F$9,'Shade - 1'!$D$7,Vertex!K26,Vertex!K91,Vertex!K156,Normal!K26,Normal!K91,Normal!K156)*255)</f>
        <v>40</v>
      </c>
      <c r="L26">
        <f>INT(shadex('Shade - 1'!$D$9,'Shade - 1'!$E$9,'Shade - 1'!$F$9,'Shade - 1'!$D$7,Vertex!L26,Vertex!L91,Vertex!L156,Normal!L26,Normal!L91,Normal!L156)*255)</f>
        <v>46</v>
      </c>
      <c r="M26">
        <f>INT(shadex('Shade - 1'!$D$9,'Shade - 1'!$E$9,'Shade - 1'!$F$9,'Shade - 1'!$D$7,Vertex!M26,Vertex!M91,Vertex!M156,Normal!M26,Normal!M91,Normal!M156)*255)</f>
        <v>42</v>
      </c>
      <c r="N26">
        <f>INT(shadex('Shade - 1'!$D$9,'Shade - 1'!$E$9,'Shade - 1'!$F$9,'Shade - 1'!$D$7,Vertex!N26,Vertex!N91,Vertex!N156,Normal!N26,Normal!N91,Normal!N156)*255)</f>
        <v>50</v>
      </c>
      <c r="O26">
        <f>INT(shadex('Shade - 1'!$D$9,'Shade - 1'!$E$9,'Shade - 1'!$F$9,'Shade - 1'!$D$7,Vertex!O26,Vertex!O91,Vertex!O156,Normal!O26,Normal!O91,Normal!O156)*255)</f>
        <v>31</v>
      </c>
      <c r="P26">
        <f>INT(shadex('Shade - 1'!$D$9,'Shade - 1'!$E$9,'Shade - 1'!$F$9,'Shade - 1'!$D$7,Vertex!P26,Vertex!P91,Vertex!P156,Normal!P26,Normal!P91,Normal!P156)*255)</f>
        <v>0</v>
      </c>
      <c r="Q26">
        <f>INT(shadex('Shade - 1'!$D$9,'Shade - 1'!$E$9,'Shade - 1'!$F$9,'Shade - 1'!$D$7,Vertex!Q26,Vertex!Q91,Vertex!Q156,Normal!Q26,Normal!Q91,Normal!Q156)*255)</f>
        <v>34</v>
      </c>
      <c r="R26">
        <f>INT(shadex('Shade - 1'!$D$9,'Shade - 1'!$E$9,'Shade - 1'!$F$9,'Shade - 1'!$D$7,Vertex!R26,Vertex!R91,Vertex!R156,Normal!R26,Normal!R91,Normal!R156)*255)</f>
        <v>45</v>
      </c>
      <c r="S26">
        <f>INT(shadex('Shade - 1'!$D$9,'Shade - 1'!$E$9,'Shade - 1'!$F$9,'Shade - 1'!$D$7,Vertex!S26,Vertex!S91,Vertex!S156,Normal!S26,Normal!S91,Normal!S156)*255)</f>
        <v>53</v>
      </c>
      <c r="T26">
        <f>INT(shadex('Shade - 1'!$D$9,'Shade - 1'!$E$9,'Shade - 1'!$F$9,'Shade - 1'!$D$7,Vertex!T26,Vertex!T91,Vertex!T156,Normal!T26,Normal!T91,Normal!T156)*255)</f>
        <v>42</v>
      </c>
      <c r="U26">
        <f>INT(shadex('Shade - 1'!$D$9,'Shade - 1'!$E$9,'Shade - 1'!$F$9,'Shade - 1'!$D$7,Vertex!U26,Vertex!U91,Vertex!U156,Normal!U26,Normal!U91,Normal!U156)*255)</f>
        <v>51</v>
      </c>
      <c r="V26">
        <f>INT(shadex('Shade - 1'!$D$9,'Shade - 1'!$E$9,'Shade - 1'!$F$9,'Shade - 1'!$D$7,Vertex!V26,Vertex!V91,Vertex!V156,Normal!V26,Normal!V91,Normal!V156)*255)</f>
        <v>79</v>
      </c>
      <c r="W26">
        <f>INT(shadex('Shade - 1'!$D$9,'Shade - 1'!$E$9,'Shade - 1'!$F$9,'Shade - 1'!$D$7,Vertex!W26,Vertex!W91,Vertex!W156,Normal!W26,Normal!W91,Normal!W156)*255)</f>
        <v>93</v>
      </c>
      <c r="X26">
        <f>INT(shadex('Shade - 1'!$D$9,'Shade - 1'!$E$9,'Shade - 1'!$F$9,'Shade - 1'!$D$7,Vertex!X26,Vertex!X91,Vertex!X156,Normal!X26,Normal!X91,Normal!X156)*255)</f>
        <v>85</v>
      </c>
      <c r="Y26">
        <f>INT(shadex('Shade - 1'!$D$9,'Shade - 1'!$E$9,'Shade - 1'!$F$9,'Shade - 1'!$D$7,Vertex!Y26,Vertex!Y91,Vertex!Y156,Normal!Y26,Normal!Y91,Normal!Y156)*255)</f>
        <v>58</v>
      </c>
      <c r="Z26">
        <f>INT(shadex('Shade - 1'!$D$9,'Shade - 1'!$E$9,'Shade - 1'!$F$9,'Shade - 1'!$D$7,Vertex!Z26,Vertex!Z91,Vertex!Z156,Normal!Z26,Normal!Z91,Normal!Z156)*255)</f>
        <v>50</v>
      </c>
      <c r="AA26">
        <f>INT(shadex('Shade - 1'!$D$9,'Shade - 1'!$E$9,'Shade - 1'!$F$9,'Shade - 1'!$D$7,Vertex!AA26,Vertex!AA91,Vertex!AA156,Normal!AA26,Normal!AA91,Normal!AA156)*255)</f>
        <v>50</v>
      </c>
      <c r="AB26">
        <f>INT(shadex('Shade - 1'!$D$9,'Shade - 1'!$E$9,'Shade - 1'!$F$9,'Shade - 1'!$D$7,Vertex!AB26,Vertex!AB91,Vertex!AB156,Normal!AB26,Normal!AB91,Normal!AB156)*255)</f>
        <v>51</v>
      </c>
      <c r="AC26">
        <f>INT(shadex('Shade - 1'!$D$9,'Shade - 1'!$E$9,'Shade - 1'!$F$9,'Shade - 1'!$D$7,Vertex!AC26,Vertex!AC91,Vertex!AC156,Normal!AC26,Normal!AC91,Normal!AC156)*255)</f>
        <v>85</v>
      </c>
      <c r="AD26">
        <f>INT(shadex('Shade - 1'!$D$9,'Shade - 1'!$E$9,'Shade - 1'!$F$9,'Shade - 1'!$D$7,Vertex!AD26,Vertex!AD91,Vertex!AD156,Normal!AD26,Normal!AD91,Normal!AD156)*255)</f>
        <v>96</v>
      </c>
      <c r="AE26">
        <f>INT(shadex('Shade - 1'!$D$9,'Shade - 1'!$E$9,'Shade - 1'!$F$9,'Shade - 1'!$D$7,Vertex!AE26,Vertex!AE91,Vertex!AE156,Normal!AE26,Normal!AE91,Normal!AE156)*255)</f>
        <v>90</v>
      </c>
      <c r="AF26">
        <f>INT(shadex('Shade - 1'!$D$9,'Shade - 1'!$E$9,'Shade - 1'!$F$9,'Shade - 1'!$D$7,Vertex!AF26,Vertex!AF91,Vertex!AF156,Normal!AF26,Normal!AF91,Normal!AF156)*255)</f>
        <v>81</v>
      </c>
      <c r="AG26">
        <f>INT(shadex('Shade - 1'!$D$9,'Shade - 1'!$E$9,'Shade - 1'!$F$9,'Shade - 1'!$D$7,Vertex!AG26,Vertex!AG91,Vertex!AG156,Normal!AG26,Normal!AG91,Normal!AG156)*255)</f>
        <v>76</v>
      </c>
      <c r="AH26">
        <f>INT(shadex('Shade - 1'!$D$9,'Shade - 1'!$E$9,'Shade - 1'!$F$9,'Shade - 1'!$D$7,Vertex!AH26,Vertex!AH91,Vertex!AH156,Normal!AH26,Normal!AH91,Normal!AH156)*255)</f>
        <v>79</v>
      </c>
      <c r="AI26" s="4">
        <f>INT(shadex('Shade - 1'!$D$9,'Shade - 1'!$E$9,'Shade - 1'!$F$9,'Shade - 1'!$D$7,Vertex!AI26,Vertex!AI91,Vertex!AI156,Normal!AI26,Normal!AI91,Normal!AI156)*255)</f>
        <v>89</v>
      </c>
      <c r="AJ26" s="4">
        <f>INT(shadex('Shade - 1'!$D$9,'Shade - 1'!$E$9,'Shade - 1'!$F$9,'Shade - 1'!$D$7,Vertex!AJ26,Vertex!AJ91,Vertex!AJ156,Normal!AJ26,Normal!AJ91,Normal!AJ156)*255)</f>
        <v>92</v>
      </c>
      <c r="AK26" s="4">
        <f>INT(shadex('Shade - 1'!$D$9,'Shade - 1'!$E$9,'Shade - 1'!$F$9,'Shade - 1'!$D$7,Vertex!AK26,Vertex!AK91,Vertex!AK156,Normal!AK26,Normal!AK91,Normal!AK156)*255)</f>
        <v>93</v>
      </c>
      <c r="AL26" s="4">
        <f>INT(shadex('Shade - 1'!$D$9,'Shade - 1'!$E$9,'Shade - 1'!$F$9,'Shade - 1'!$D$7,Vertex!AL26,Vertex!AL91,Vertex!AL156,Normal!AL26,Normal!AL91,Normal!AL156)*255)</f>
        <v>97</v>
      </c>
      <c r="AM26" s="4">
        <f>INT(shadex('Shade - 1'!$D$9,'Shade - 1'!$E$9,'Shade - 1'!$F$9,'Shade - 1'!$D$7,Vertex!AM26,Vertex!AM91,Vertex!AM156,Normal!AM26,Normal!AM91,Normal!AM156)*255)</f>
        <v>97</v>
      </c>
      <c r="AN26" s="4">
        <f>INT(shadex('Shade - 1'!$D$9,'Shade - 1'!$E$9,'Shade - 1'!$F$9,'Shade - 1'!$D$7,Vertex!AN26,Vertex!AN91,Vertex!AN156,Normal!AN26,Normal!AN91,Normal!AN156)*255)</f>
        <v>96</v>
      </c>
      <c r="AO26" s="4">
        <f>INT(shadex('Shade - 1'!$D$9,'Shade - 1'!$E$9,'Shade - 1'!$F$9,'Shade - 1'!$D$7,Vertex!AO26,Vertex!AO91,Vertex!AO156,Normal!AO26,Normal!AO91,Normal!AO156)*255)</f>
        <v>94</v>
      </c>
      <c r="AP26" s="4">
        <f>INT(shadex('Shade - 1'!$D$9,'Shade - 1'!$E$9,'Shade - 1'!$F$9,'Shade - 1'!$D$7,Vertex!AP26,Vertex!AP91,Vertex!AP156,Normal!AP26,Normal!AP91,Normal!AP156)*255)</f>
        <v>97</v>
      </c>
      <c r="AQ26" s="4">
        <f>INT(shadex('Shade - 1'!$D$9,'Shade - 1'!$E$9,'Shade - 1'!$F$9,'Shade - 1'!$D$7,Vertex!AQ26,Vertex!AQ91,Vertex!AQ156,Normal!AQ26,Normal!AQ91,Normal!AQ156)*255)</f>
        <v>99</v>
      </c>
      <c r="AR26" s="4">
        <f>INT(shadex('Shade - 1'!$D$9,'Shade - 1'!$E$9,'Shade - 1'!$F$9,'Shade - 1'!$D$7,Vertex!AR26,Vertex!AR91,Vertex!AR156,Normal!AR26,Normal!AR91,Normal!AR156)*255)</f>
        <v>96</v>
      </c>
      <c r="AS26" s="4">
        <f>INT(shadex('Shade - 1'!$D$9,'Shade - 1'!$E$9,'Shade - 1'!$F$9,'Shade - 1'!$D$7,Vertex!AS26,Vertex!AS91,Vertex!AS156,Normal!AS26,Normal!AS91,Normal!AS156)*255)</f>
        <v>88</v>
      </c>
      <c r="AT26" s="4">
        <f>INT(shadex('Shade - 1'!$D$9,'Shade - 1'!$E$9,'Shade - 1'!$F$9,'Shade - 1'!$D$7,Vertex!AT26,Vertex!AT91,Vertex!AT156,Normal!AT26,Normal!AT91,Normal!AT156)*255)</f>
        <v>93</v>
      </c>
      <c r="AU26" s="4">
        <f>INT(shadex('Shade - 1'!$D$9,'Shade - 1'!$E$9,'Shade - 1'!$F$9,'Shade - 1'!$D$7,Vertex!AU26,Vertex!AU91,Vertex!AU156,Normal!AU26,Normal!AU91,Normal!AU156)*255)</f>
        <v>99</v>
      </c>
      <c r="AV26" s="4">
        <f>INT(shadex('Shade - 1'!$D$9,'Shade - 1'!$E$9,'Shade - 1'!$F$9,'Shade - 1'!$D$7,Vertex!AV26,Vertex!AV91,Vertex!AV156,Normal!AV26,Normal!AV91,Normal!AV156)*255)</f>
        <v>96</v>
      </c>
      <c r="AW26" s="4">
        <f>INT(shadex('Shade - 1'!$D$9,'Shade - 1'!$E$9,'Shade - 1'!$F$9,'Shade - 1'!$D$7,Vertex!AW26,Vertex!AW91,Vertex!AW156,Normal!AW26,Normal!AW91,Normal!AW156)*255)</f>
        <v>75</v>
      </c>
      <c r="AX26" s="4">
        <f>INT(shadex('Shade - 1'!$D$9,'Shade - 1'!$E$9,'Shade - 1'!$F$9,'Shade - 1'!$D$7,Vertex!AX26,Vertex!AX91,Vertex!AX156,Normal!AX26,Normal!AX91,Normal!AX156)*255)</f>
        <v>66</v>
      </c>
      <c r="AY26" s="4">
        <f>INT(shadex('Shade - 1'!$D$9,'Shade - 1'!$E$9,'Shade - 1'!$F$9,'Shade - 1'!$D$7,Vertex!AY26,Vertex!AY91,Vertex!AY156,Normal!AY26,Normal!AY91,Normal!AY156)*255)</f>
        <v>87</v>
      </c>
      <c r="AZ26" s="4">
        <f>INT(shadex('Shade - 1'!$D$9,'Shade - 1'!$E$9,'Shade - 1'!$F$9,'Shade - 1'!$D$7,Vertex!AZ26,Vertex!AZ91,Vertex!AZ156,Normal!AZ26,Normal!AZ91,Normal!AZ156)*255)</f>
        <v>81</v>
      </c>
      <c r="BA26" s="4">
        <f>INT(shadex('Shade - 1'!$D$9,'Shade - 1'!$E$9,'Shade - 1'!$F$9,'Shade - 1'!$D$7,Vertex!BA26,Vertex!BA91,Vertex!BA156,Normal!BA26,Normal!BA91,Normal!BA156)*255)</f>
        <v>58</v>
      </c>
      <c r="BB26" s="4">
        <f>INT(shadex('Shade - 1'!$D$9,'Shade - 1'!$E$9,'Shade - 1'!$F$9,'Shade - 1'!$D$7,Vertex!BB26,Vertex!BB91,Vertex!BB156,Normal!BB26,Normal!BB91,Normal!BB156)*255)</f>
        <v>63</v>
      </c>
      <c r="BC26" s="4">
        <f>INT(shadex('Shade - 1'!$D$9,'Shade - 1'!$E$9,'Shade - 1'!$F$9,'Shade - 1'!$D$7,Vertex!BC26,Vertex!BC91,Vertex!BC156,Normal!BC26,Normal!BC91,Normal!BC156)*255)</f>
        <v>71</v>
      </c>
      <c r="BD26" s="4">
        <f>INT(shadex('Shade - 1'!$D$9,'Shade - 1'!$E$9,'Shade - 1'!$F$9,'Shade - 1'!$D$7,Vertex!BD26,Vertex!BD91,Vertex!BD156,Normal!BD26,Normal!BD91,Normal!BD156)*255)</f>
        <v>87</v>
      </c>
      <c r="BE26" s="4">
        <f>INT(shadex('Shade - 1'!$D$9,'Shade - 1'!$E$9,'Shade - 1'!$F$9,'Shade - 1'!$D$7,Vertex!BE26,Vertex!BE91,Vertex!BE156,Normal!BE26,Normal!BE91,Normal!BE156)*255)</f>
        <v>96</v>
      </c>
      <c r="BF26" s="4">
        <f>INT(shadex('Shade - 1'!$D$9,'Shade - 1'!$E$9,'Shade - 1'!$F$9,'Shade - 1'!$D$7,Vertex!BF26,Vertex!BF91,Vertex!BF156,Normal!BF26,Normal!BF91,Normal!BF156)*255)</f>
        <v>95</v>
      </c>
      <c r="BG26" s="4">
        <f>INT(shadex('Shade - 1'!$D$9,'Shade - 1'!$E$9,'Shade - 1'!$F$9,'Shade - 1'!$D$7,Vertex!BG26,Vertex!BG91,Vertex!BG156,Normal!BG26,Normal!BG91,Normal!BG156)*255)</f>
        <v>98</v>
      </c>
      <c r="BH26" s="4">
        <f>INT(shadex('Shade - 1'!$D$9,'Shade - 1'!$E$9,'Shade - 1'!$F$9,'Shade - 1'!$D$7,Vertex!BH26,Vertex!BH91,Vertex!BH156,Normal!BH26,Normal!BH91,Normal!BH156)*255)</f>
        <v>98</v>
      </c>
      <c r="BI26" s="4">
        <f>INT(shadex('Shade - 1'!$D$9,'Shade - 1'!$E$9,'Shade - 1'!$F$9,'Shade - 1'!$D$7,Vertex!BI26,Vertex!BI91,Vertex!BI156,Normal!BI26,Normal!BI91,Normal!BI156)*255)</f>
        <v>98</v>
      </c>
      <c r="BJ26" s="4">
        <f>INT(shadex('Shade - 1'!$D$9,'Shade - 1'!$E$9,'Shade - 1'!$F$9,'Shade - 1'!$D$7,Vertex!BJ26,Vertex!BJ91,Vertex!BJ156,Normal!BJ26,Normal!BJ91,Normal!BJ156)*255)</f>
        <v>97</v>
      </c>
      <c r="BK26" s="4">
        <f>INT(shadex('Shade - 1'!$D$9,'Shade - 1'!$E$9,'Shade - 1'!$F$9,'Shade - 1'!$D$7,Vertex!BK26,Vertex!BK91,Vertex!BK156,Normal!BK26,Normal!BK91,Normal!BK156)*255)</f>
        <v>97</v>
      </c>
      <c r="BL26" s="4">
        <f>INT(shadex('Shade - 1'!$D$9,'Shade - 1'!$E$9,'Shade - 1'!$F$9,'Shade - 1'!$D$7,Vertex!BL26,Vertex!BL91,Vertex!BL156,Normal!BL26,Normal!BL91,Normal!BL156)*255)</f>
        <v>94</v>
      </c>
    </row>
    <row r="27" spans="1:64" x14ac:dyDescent="0.25">
      <c r="A27">
        <f>INT(shadex('Shade - 1'!$D$9,'Shade - 1'!$E$9,'Shade - 1'!$F$9,'Shade - 1'!$D$7,Vertex!A27,Vertex!A92,Vertex!A157,Normal!A27,Normal!A92,Normal!A157)*255)</f>
        <v>68</v>
      </c>
      <c r="B27">
        <f>INT(shadex('Shade - 1'!$D$9,'Shade - 1'!$E$9,'Shade - 1'!$F$9,'Shade - 1'!$D$7,Vertex!B27,Vertex!B92,Vertex!B157,Normal!B27,Normal!B92,Normal!B157)*255)</f>
        <v>51</v>
      </c>
      <c r="C27">
        <f>INT(shadex('Shade - 1'!$D$9,'Shade - 1'!$E$9,'Shade - 1'!$F$9,'Shade - 1'!$D$7,Vertex!C27,Vertex!C92,Vertex!C157,Normal!C27,Normal!C92,Normal!C157)*255)</f>
        <v>39</v>
      </c>
      <c r="D27">
        <f>INT(shadex('Shade - 1'!$D$9,'Shade - 1'!$E$9,'Shade - 1'!$F$9,'Shade - 1'!$D$7,Vertex!D27,Vertex!D92,Vertex!D157,Normal!D27,Normal!D92,Normal!D157)*255)</f>
        <v>46</v>
      </c>
      <c r="E27">
        <f>INT(shadex('Shade - 1'!$D$9,'Shade - 1'!$E$9,'Shade - 1'!$F$9,'Shade - 1'!$D$7,Vertex!E27,Vertex!E92,Vertex!E157,Normal!E27,Normal!E92,Normal!E157)*255)</f>
        <v>59</v>
      </c>
      <c r="F27">
        <f>INT(shadex('Shade - 1'!$D$9,'Shade - 1'!$E$9,'Shade - 1'!$F$9,'Shade - 1'!$D$7,Vertex!F27,Vertex!F92,Vertex!F157,Normal!F27,Normal!F92,Normal!F157)*255)</f>
        <v>72</v>
      </c>
      <c r="G27">
        <f>INT(shadex('Shade - 1'!$D$9,'Shade - 1'!$E$9,'Shade - 1'!$F$9,'Shade - 1'!$D$7,Vertex!G27,Vertex!G92,Vertex!G157,Normal!G27,Normal!G92,Normal!G157)*255)</f>
        <v>66</v>
      </c>
      <c r="H27">
        <f>INT(shadex('Shade - 1'!$D$9,'Shade - 1'!$E$9,'Shade - 1'!$F$9,'Shade - 1'!$D$7,Vertex!H27,Vertex!H92,Vertex!H157,Normal!H27,Normal!H92,Normal!H157)*255)</f>
        <v>46</v>
      </c>
      <c r="I27">
        <f>INT(shadex('Shade - 1'!$D$9,'Shade - 1'!$E$9,'Shade - 1'!$F$9,'Shade - 1'!$D$7,Vertex!I27,Vertex!I92,Vertex!I157,Normal!I27,Normal!I92,Normal!I157)*255)</f>
        <v>25</v>
      </c>
      <c r="J27">
        <f>INT(shadex('Shade - 1'!$D$9,'Shade - 1'!$E$9,'Shade - 1'!$F$9,'Shade - 1'!$D$7,Vertex!J27,Vertex!J92,Vertex!J157,Normal!J27,Normal!J92,Normal!J157)*255)</f>
        <v>0</v>
      </c>
      <c r="K27">
        <f>INT(shadex('Shade - 1'!$D$9,'Shade - 1'!$E$9,'Shade - 1'!$F$9,'Shade - 1'!$D$7,Vertex!K27,Vertex!K92,Vertex!K157,Normal!K27,Normal!K92,Normal!K157)*255)</f>
        <v>30</v>
      </c>
      <c r="L27">
        <f>INT(shadex('Shade - 1'!$D$9,'Shade - 1'!$E$9,'Shade - 1'!$F$9,'Shade - 1'!$D$7,Vertex!L27,Vertex!L92,Vertex!L157,Normal!L27,Normal!L92,Normal!L157)*255)</f>
        <v>37</v>
      </c>
      <c r="M27">
        <f>INT(shadex('Shade - 1'!$D$9,'Shade - 1'!$E$9,'Shade - 1'!$F$9,'Shade - 1'!$D$7,Vertex!M27,Vertex!M92,Vertex!M157,Normal!M27,Normal!M92,Normal!M157)*255)</f>
        <v>39</v>
      </c>
      <c r="N27">
        <f>INT(shadex('Shade - 1'!$D$9,'Shade - 1'!$E$9,'Shade - 1'!$F$9,'Shade - 1'!$D$7,Vertex!N27,Vertex!N92,Vertex!N157,Normal!N27,Normal!N92,Normal!N157)*255)</f>
        <v>55</v>
      </c>
      <c r="O27">
        <f>INT(shadex('Shade - 1'!$D$9,'Shade - 1'!$E$9,'Shade - 1'!$F$9,'Shade - 1'!$D$7,Vertex!O27,Vertex!O92,Vertex!O157,Normal!O27,Normal!O92,Normal!O157)*255)</f>
        <v>47</v>
      </c>
      <c r="P27">
        <f>INT(shadex('Shade - 1'!$D$9,'Shade - 1'!$E$9,'Shade - 1'!$F$9,'Shade - 1'!$D$7,Vertex!P27,Vertex!P92,Vertex!P157,Normal!P27,Normal!P92,Normal!P157)*255)</f>
        <v>44</v>
      </c>
      <c r="Q27">
        <f>INT(shadex('Shade - 1'!$D$9,'Shade - 1'!$E$9,'Shade - 1'!$F$9,'Shade - 1'!$D$7,Vertex!Q27,Vertex!Q92,Vertex!Q157,Normal!Q27,Normal!Q92,Normal!Q157)*255)</f>
        <v>48</v>
      </c>
      <c r="R27">
        <f>INT(shadex('Shade - 1'!$D$9,'Shade - 1'!$E$9,'Shade - 1'!$F$9,'Shade - 1'!$D$7,Vertex!R27,Vertex!R92,Vertex!R157,Normal!R27,Normal!R92,Normal!R157)*255)</f>
        <v>55</v>
      </c>
      <c r="S27">
        <f>INT(shadex('Shade - 1'!$D$9,'Shade - 1'!$E$9,'Shade - 1'!$F$9,'Shade - 1'!$D$7,Vertex!S27,Vertex!S92,Vertex!S157,Normal!S27,Normal!S92,Normal!S157)*255)</f>
        <v>74</v>
      </c>
      <c r="T27">
        <f>INT(shadex('Shade - 1'!$D$9,'Shade - 1'!$E$9,'Shade - 1'!$F$9,'Shade - 1'!$D$7,Vertex!T27,Vertex!T92,Vertex!T157,Normal!T27,Normal!T92,Normal!T157)*255)</f>
        <v>73</v>
      </c>
      <c r="U27">
        <f>INT(shadex('Shade - 1'!$D$9,'Shade - 1'!$E$9,'Shade - 1'!$F$9,'Shade - 1'!$D$7,Vertex!U27,Vertex!U92,Vertex!U157,Normal!U27,Normal!U92,Normal!U157)*255)</f>
        <v>67</v>
      </c>
      <c r="V27">
        <f>INT(shadex('Shade - 1'!$D$9,'Shade - 1'!$E$9,'Shade - 1'!$F$9,'Shade - 1'!$D$7,Vertex!V27,Vertex!V92,Vertex!V157,Normal!V27,Normal!V92,Normal!V157)*255)</f>
        <v>66</v>
      </c>
      <c r="W27">
        <f>INT(shadex('Shade - 1'!$D$9,'Shade - 1'!$E$9,'Shade - 1'!$F$9,'Shade - 1'!$D$7,Vertex!W27,Vertex!W92,Vertex!W157,Normal!W27,Normal!W92,Normal!W157)*255)</f>
        <v>79</v>
      </c>
      <c r="X27">
        <f>INT(shadex('Shade - 1'!$D$9,'Shade - 1'!$E$9,'Shade - 1'!$F$9,'Shade - 1'!$D$7,Vertex!X27,Vertex!X92,Vertex!X157,Normal!X27,Normal!X92,Normal!X157)*255)</f>
        <v>82</v>
      </c>
      <c r="Y27">
        <f>INT(shadex('Shade - 1'!$D$9,'Shade - 1'!$E$9,'Shade - 1'!$F$9,'Shade - 1'!$D$7,Vertex!Y27,Vertex!Y92,Vertex!Y157,Normal!Y27,Normal!Y92,Normal!Y157)*255)</f>
        <v>72</v>
      </c>
      <c r="Z27">
        <f>INT(shadex('Shade - 1'!$D$9,'Shade - 1'!$E$9,'Shade - 1'!$F$9,'Shade - 1'!$D$7,Vertex!Z27,Vertex!Z92,Vertex!Z157,Normal!Z27,Normal!Z92,Normal!Z157)*255)</f>
        <v>71</v>
      </c>
      <c r="AA27">
        <f>INT(shadex('Shade - 1'!$D$9,'Shade - 1'!$E$9,'Shade - 1'!$F$9,'Shade - 1'!$D$7,Vertex!AA27,Vertex!AA92,Vertex!AA157,Normal!AA27,Normal!AA92,Normal!AA157)*255)</f>
        <v>59</v>
      </c>
      <c r="AB27">
        <f>INT(shadex('Shade - 1'!$D$9,'Shade - 1'!$E$9,'Shade - 1'!$F$9,'Shade - 1'!$D$7,Vertex!AB27,Vertex!AB92,Vertex!AB157,Normal!AB27,Normal!AB92,Normal!AB157)*255)</f>
        <v>37</v>
      </c>
      <c r="AC27">
        <f>INT(shadex('Shade - 1'!$D$9,'Shade - 1'!$E$9,'Shade - 1'!$F$9,'Shade - 1'!$D$7,Vertex!AC27,Vertex!AC92,Vertex!AC157,Normal!AC27,Normal!AC92,Normal!AC157)*255)</f>
        <v>70</v>
      </c>
      <c r="AD27">
        <f>INT(shadex('Shade - 1'!$D$9,'Shade - 1'!$E$9,'Shade - 1'!$F$9,'Shade - 1'!$D$7,Vertex!AD27,Vertex!AD92,Vertex!AD157,Normal!AD27,Normal!AD92,Normal!AD157)*255)</f>
        <v>84</v>
      </c>
      <c r="AE27">
        <f>INT(shadex('Shade - 1'!$D$9,'Shade - 1'!$E$9,'Shade - 1'!$F$9,'Shade - 1'!$D$7,Vertex!AE27,Vertex!AE92,Vertex!AE157,Normal!AE27,Normal!AE92,Normal!AE157)*255)</f>
        <v>86</v>
      </c>
      <c r="AF27">
        <f>INT(shadex('Shade - 1'!$D$9,'Shade - 1'!$E$9,'Shade - 1'!$F$9,'Shade - 1'!$D$7,Vertex!AF27,Vertex!AF92,Vertex!AF157,Normal!AF27,Normal!AF92,Normal!AF157)*255)</f>
        <v>87</v>
      </c>
      <c r="AG27">
        <f>INT(shadex('Shade - 1'!$D$9,'Shade - 1'!$E$9,'Shade - 1'!$F$9,'Shade - 1'!$D$7,Vertex!AG27,Vertex!AG92,Vertex!AG157,Normal!AG27,Normal!AG92,Normal!AG157)*255)</f>
        <v>85</v>
      </c>
      <c r="AH27">
        <f>INT(shadex('Shade - 1'!$D$9,'Shade - 1'!$E$9,'Shade - 1'!$F$9,'Shade - 1'!$D$7,Vertex!AH27,Vertex!AH92,Vertex!AH157,Normal!AH27,Normal!AH92,Normal!AH157)*255)</f>
        <v>87</v>
      </c>
      <c r="AI27" s="4">
        <f>INT(shadex('Shade - 1'!$D$9,'Shade - 1'!$E$9,'Shade - 1'!$F$9,'Shade - 1'!$D$7,Vertex!AI27,Vertex!AI92,Vertex!AI157,Normal!AI27,Normal!AI92,Normal!AI157)*255)</f>
        <v>93</v>
      </c>
      <c r="AJ27" s="4">
        <f>INT(shadex('Shade - 1'!$D$9,'Shade - 1'!$E$9,'Shade - 1'!$F$9,'Shade - 1'!$D$7,Vertex!AJ27,Vertex!AJ92,Vertex!AJ157,Normal!AJ27,Normal!AJ92,Normal!AJ157)*255)</f>
        <v>95</v>
      </c>
      <c r="AK27" s="4">
        <f>INT(shadex('Shade - 1'!$D$9,'Shade - 1'!$E$9,'Shade - 1'!$F$9,'Shade - 1'!$D$7,Vertex!AK27,Vertex!AK92,Vertex!AK157,Normal!AK27,Normal!AK92,Normal!AK157)*255)</f>
        <v>95</v>
      </c>
      <c r="AL27" s="4">
        <f>INT(shadex('Shade - 1'!$D$9,'Shade - 1'!$E$9,'Shade - 1'!$F$9,'Shade - 1'!$D$7,Vertex!AL27,Vertex!AL92,Vertex!AL157,Normal!AL27,Normal!AL92,Normal!AL157)*255)</f>
        <v>93</v>
      </c>
      <c r="AM27" s="4">
        <f>INT(shadex('Shade - 1'!$D$9,'Shade - 1'!$E$9,'Shade - 1'!$F$9,'Shade - 1'!$D$7,Vertex!AM27,Vertex!AM92,Vertex!AM157,Normal!AM27,Normal!AM92,Normal!AM157)*255)</f>
        <v>94</v>
      </c>
      <c r="AN27" s="4">
        <f>INT(shadex('Shade - 1'!$D$9,'Shade - 1'!$E$9,'Shade - 1'!$F$9,'Shade - 1'!$D$7,Vertex!AN27,Vertex!AN92,Vertex!AN157,Normal!AN27,Normal!AN92,Normal!AN157)*255)</f>
        <v>95</v>
      </c>
      <c r="AO27" s="4">
        <f>INT(shadex('Shade - 1'!$D$9,'Shade - 1'!$E$9,'Shade - 1'!$F$9,'Shade - 1'!$D$7,Vertex!AO27,Vertex!AO92,Vertex!AO157,Normal!AO27,Normal!AO92,Normal!AO157)*255)</f>
        <v>96</v>
      </c>
      <c r="AP27" s="4">
        <f>INT(shadex('Shade - 1'!$D$9,'Shade - 1'!$E$9,'Shade - 1'!$F$9,'Shade - 1'!$D$7,Vertex!AP27,Vertex!AP92,Vertex!AP157,Normal!AP27,Normal!AP92,Normal!AP157)*255)</f>
        <v>98</v>
      </c>
      <c r="AQ27" s="4">
        <f>INT(shadex('Shade - 1'!$D$9,'Shade - 1'!$E$9,'Shade - 1'!$F$9,'Shade - 1'!$D$7,Vertex!AQ27,Vertex!AQ92,Vertex!AQ157,Normal!AQ27,Normal!AQ92,Normal!AQ157)*255)</f>
        <v>97</v>
      </c>
      <c r="AR27" s="4">
        <f>INT(shadex('Shade - 1'!$D$9,'Shade - 1'!$E$9,'Shade - 1'!$F$9,'Shade - 1'!$D$7,Vertex!AR27,Vertex!AR92,Vertex!AR157,Normal!AR27,Normal!AR92,Normal!AR157)*255)</f>
        <v>99</v>
      </c>
      <c r="AS27" s="4">
        <f>INT(shadex('Shade - 1'!$D$9,'Shade - 1'!$E$9,'Shade - 1'!$F$9,'Shade - 1'!$D$7,Vertex!AS27,Vertex!AS92,Vertex!AS157,Normal!AS27,Normal!AS92,Normal!AS157)*255)</f>
        <v>99</v>
      </c>
      <c r="AT27" s="4">
        <f>INT(shadex('Shade - 1'!$D$9,'Shade - 1'!$E$9,'Shade - 1'!$F$9,'Shade - 1'!$D$7,Vertex!AT27,Vertex!AT92,Vertex!AT157,Normal!AT27,Normal!AT92,Normal!AT157)*255)</f>
        <v>97</v>
      </c>
      <c r="AU27" s="4">
        <f>INT(shadex('Shade - 1'!$D$9,'Shade - 1'!$E$9,'Shade - 1'!$F$9,'Shade - 1'!$D$7,Vertex!AU27,Vertex!AU92,Vertex!AU157,Normal!AU27,Normal!AU92,Normal!AU157)*255)</f>
        <v>94</v>
      </c>
      <c r="AV27" s="4">
        <f>INT(shadex('Shade - 1'!$D$9,'Shade - 1'!$E$9,'Shade - 1'!$F$9,'Shade - 1'!$D$7,Vertex!AV27,Vertex!AV92,Vertex!AV157,Normal!AV27,Normal!AV92,Normal!AV157)*255)</f>
        <v>90</v>
      </c>
      <c r="AW27" s="4">
        <f>INT(shadex('Shade - 1'!$D$9,'Shade - 1'!$E$9,'Shade - 1'!$F$9,'Shade - 1'!$D$7,Vertex!AW27,Vertex!AW92,Vertex!AW157,Normal!AW27,Normal!AW92,Normal!AW157)*255)</f>
        <v>82</v>
      </c>
      <c r="AX27" s="4">
        <f>INT(shadex('Shade - 1'!$D$9,'Shade - 1'!$E$9,'Shade - 1'!$F$9,'Shade - 1'!$D$7,Vertex!AX27,Vertex!AX92,Vertex!AX157,Normal!AX27,Normal!AX92,Normal!AX157)*255)</f>
        <v>81</v>
      </c>
      <c r="AY27" s="4">
        <f>INT(shadex('Shade - 1'!$D$9,'Shade - 1'!$E$9,'Shade - 1'!$F$9,'Shade - 1'!$D$7,Vertex!AY27,Vertex!AY92,Vertex!AY157,Normal!AY27,Normal!AY92,Normal!AY157)*255)</f>
        <v>82</v>
      </c>
      <c r="AZ27" s="4">
        <f>INT(shadex('Shade - 1'!$D$9,'Shade - 1'!$E$9,'Shade - 1'!$F$9,'Shade - 1'!$D$7,Vertex!AZ27,Vertex!AZ92,Vertex!AZ157,Normal!AZ27,Normal!AZ92,Normal!AZ157)*255)</f>
        <v>71</v>
      </c>
      <c r="BA27" s="4">
        <f>INT(shadex('Shade - 1'!$D$9,'Shade - 1'!$E$9,'Shade - 1'!$F$9,'Shade - 1'!$D$7,Vertex!BA27,Vertex!BA92,Vertex!BA157,Normal!BA27,Normal!BA92,Normal!BA157)*255)</f>
        <v>55</v>
      </c>
      <c r="BB27" s="4">
        <f>INT(shadex('Shade - 1'!$D$9,'Shade - 1'!$E$9,'Shade - 1'!$F$9,'Shade - 1'!$D$7,Vertex!BB27,Vertex!BB92,Vertex!BB157,Normal!BB27,Normal!BB92,Normal!BB157)*255)</f>
        <v>70</v>
      </c>
      <c r="BC27" s="4">
        <f>INT(shadex('Shade - 1'!$D$9,'Shade - 1'!$E$9,'Shade - 1'!$F$9,'Shade - 1'!$D$7,Vertex!BC27,Vertex!BC92,Vertex!BC157,Normal!BC27,Normal!BC92,Normal!BC157)*255)</f>
        <v>83</v>
      </c>
      <c r="BD27" s="4">
        <f>INT(shadex('Shade - 1'!$D$9,'Shade - 1'!$E$9,'Shade - 1'!$F$9,'Shade - 1'!$D$7,Vertex!BD27,Vertex!BD92,Vertex!BD157,Normal!BD27,Normal!BD92,Normal!BD157)*255)</f>
        <v>91</v>
      </c>
      <c r="BE27" s="4">
        <f>INT(shadex('Shade - 1'!$D$9,'Shade - 1'!$E$9,'Shade - 1'!$F$9,'Shade - 1'!$D$7,Vertex!BE27,Vertex!BE92,Vertex!BE157,Normal!BE27,Normal!BE92,Normal!BE157)*255)</f>
        <v>93</v>
      </c>
      <c r="BF27" s="4">
        <f>INT(shadex('Shade - 1'!$D$9,'Shade - 1'!$E$9,'Shade - 1'!$F$9,'Shade - 1'!$D$7,Vertex!BF27,Vertex!BF92,Vertex!BF157,Normal!BF27,Normal!BF92,Normal!BF157)*255)</f>
        <v>93</v>
      </c>
      <c r="BG27" s="4">
        <f>INT(shadex('Shade - 1'!$D$9,'Shade - 1'!$E$9,'Shade - 1'!$F$9,'Shade - 1'!$D$7,Vertex!BG27,Vertex!BG92,Vertex!BG157,Normal!BG27,Normal!BG92,Normal!BG157)*255)</f>
        <v>97</v>
      </c>
      <c r="BH27" s="4">
        <f>INT(shadex('Shade - 1'!$D$9,'Shade - 1'!$E$9,'Shade - 1'!$F$9,'Shade - 1'!$D$7,Vertex!BH27,Vertex!BH92,Vertex!BH157,Normal!BH27,Normal!BH92,Normal!BH157)*255)</f>
        <v>97</v>
      </c>
      <c r="BI27" s="4">
        <f>INT(shadex('Shade - 1'!$D$9,'Shade - 1'!$E$9,'Shade - 1'!$F$9,'Shade - 1'!$D$7,Vertex!BI27,Vertex!BI92,Vertex!BI157,Normal!BI27,Normal!BI92,Normal!BI157)*255)</f>
        <v>95</v>
      </c>
      <c r="BJ27" s="4">
        <f>INT(shadex('Shade - 1'!$D$9,'Shade - 1'!$E$9,'Shade - 1'!$F$9,'Shade - 1'!$D$7,Vertex!BJ27,Vertex!BJ92,Vertex!BJ157,Normal!BJ27,Normal!BJ92,Normal!BJ157)*255)</f>
        <v>93</v>
      </c>
      <c r="BK27" s="4">
        <f>INT(shadex('Shade - 1'!$D$9,'Shade - 1'!$E$9,'Shade - 1'!$F$9,'Shade - 1'!$D$7,Vertex!BK27,Vertex!BK92,Vertex!BK157,Normal!BK27,Normal!BK92,Normal!BK157)*255)</f>
        <v>91</v>
      </c>
      <c r="BL27" s="4">
        <f>INT(shadex('Shade - 1'!$D$9,'Shade - 1'!$E$9,'Shade - 1'!$F$9,'Shade - 1'!$D$7,Vertex!BL27,Vertex!BL92,Vertex!BL157,Normal!BL27,Normal!BL92,Normal!BL157)*255)</f>
        <v>86</v>
      </c>
    </row>
    <row r="28" spans="1:64" x14ac:dyDescent="0.25">
      <c r="A28">
        <f>INT(shadex('Shade - 1'!$D$9,'Shade - 1'!$E$9,'Shade - 1'!$F$9,'Shade - 1'!$D$7,Vertex!A28,Vertex!A93,Vertex!A158,Normal!A28,Normal!A93,Normal!A158)*255)</f>
        <v>58</v>
      </c>
      <c r="B28">
        <f>INT(shadex('Shade - 1'!$D$9,'Shade - 1'!$E$9,'Shade - 1'!$F$9,'Shade - 1'!$D$7,Vertex!B28,Vertex!B93,Vertex!B158,Normal!B28,Normal!B93,Normal!B158)*255)</f>
        <v>47</v>
      </c>
      <c r="C28">
        <f>INT(shadex('Shade - 1'!$D$9,'Shade - 1'!$E$9,'Shade - 1'!$F$9,'Shade - 1'!$D$7,Vertex!C28,Vertex!C93,Vertex!C158,Normal!C28,Normal!C93,Normal!C158)*255)</f>
        <v>38</v>
      </c>
      <c r="D28">
        <f>INT(shadex('Shade - 1'!$D$9,'Shade - 1'!$E$9,'Shade - 1'!$F$9,'Shade - 1'!$D$7,Vertex!D28,Vertex!D93,Vertex!D158,Normal!D28,Normal!D93,Normal!D158)*255)</f>
        <v>49</v>
      </c>
      <c r="E28">
        <f>INT(shadex('Shade - 1'!$D$9,'Shade - 1'!$E$9,'Shade - 1'!$F$9,'Shade - 1'!$D$7,Vertex!E28,Vertex!E93,Vertex!E158,Normal!E28,Normal!E93,Normal!E158)*255)</f>
        <v>60</v>
      </c>
      <c r="F28">
        <f>INT(shadex('Shade - 1'!$D$9,'Shade - 1'!$E$9,'Shade - 1'!$F$9,'Shade - 1'!$D$7,Vertex!F28,Vertex!F93,Vertex!F158,Normal!F28,Normal!F93,Normal!F158)*255)</f>
        <v>68</v>
      </c>
      <c r="G28">
        <f>INT(shadex('Shade - 1'!$D$9,'Shade - 1'!$E$9,'Shade - 1'!$F$9,'Shade - 1'!$D$7,Vertex!G28,Vertex!G93,Vertex!G158,Normal!G28,Normal!G93,Normal!G158)*255)</f>
        <v>82</v>
      </c>
      <c r="H28">
        <f>INT(shadex('Shade - 1'!$D$9,'Shade - 1'!$E$9,'Shade - 1'!$F$9,'Shade - 1'!$D$7,Vertex!H28,Vertex!H93,Vertex!H158,Normal!H28,Normal!H93,Normal!H158)*255)</f>
        <v>83</v>
      </c>
      <c r="I28">
        <f>INT(shadex('Shade - 1'!$D$9,'Shade - 1'!$E$9,'Shade - 1'!$F$9,'Shade - 1'!$D$7,Vertex!I28,Vertex!I93,Vertex!I158,Normal!I28,Normal!I93,Normal!I158)*255)</f>
        <v>47</v>
      </c>
      <c r="J28">
        <f>INT(shadex('Shade - 1'!$D$9,'Shade - 1'!$E$9,'Shade - 1'!$F$9,'Shade - 1'!$D$7,Vertex!J28,Vertex!J93,Vertex!J158,Normal!J28,Normal!J93,Normal!J158)*255)</f>
        <v>0</v>
      </c>
      <c r="K28">
        <f>INT(shadex('Shade - 1'!$D$9,'Shade - 1'!$E$9,'Shade - 1'!$F$9,'Shade - 1'!$D$7,Vertex!K28,Vertex!K93,Vertex!K158,Normal!K28,Normal!K93,Normal!K158)*255)</f>
        <v>25</v>
      </c>
      <c r="L28">
        <f>INT(shadex('Shade - 1'!$D$9,'Shade - 1'!$E$9,'Shade - 1'!$F$9,'Shade - 1'!$D$7,Vertex!L28,Vertex!L93,Vertex!L158,Normal!L28,Normal!L93,Normal!L158)*255)</f>
        <v>45</v>
      </c>
      <c r="M28">
        <f>INT(shadex('Shade - 1'!$D$9,'Shade - 1'!$E$9,'Shade - 1'!$F$9,'Shade - 1'!$D$7,Vertex!M28,Vertex!M93,Vertex!M158,Normal!M28,Normal!M93,Normal!M158)*255)</f>
        <v>34</v>
      </c>
      <c r="N28">
        <f>INT(shadex('Shade - 1'!$D$9,'Shade - 1'!$E$9,'Shade - 1'!$F$9,'Shade - 1'!$D$7,Vertex!N28,Vertex!N93,Vertex!N158,Normal!N28,Normal!N93,Normal!N158)*255)</f>
        <v>41</v>
      </c>
      <c r="O28">
        <f>INT(shadex('Shade - 1'!$D$9,'Shade - 1'!$E$9,'Shade - 1'!$F$9,'Shade - 1'!$D$7,Vertex!O28,Vertex!O93,Vertex!O158,Normal!O28,Normal!O93,Normal!O158)*255)</f>
        <v>60</v>
      </c>
      <c r="P28">
        <f>INT(shadex('Shade - 1'!$D$9,'Shade - 1'!$E$9,'Shade - 1'!$F$9,'Shade - 1'!$D$7,Vertex!P28,Vertex!P93,Vertex!P158,Normal!P28,Normal!P93,Normal!P158)*255)</f>
        <v>66</v>
      </c>
      <c r="Q28">
        <f>INT(shadex('Shade - 1'!$D$9,'Shade - 1'!$E$9,'Shade - 1'!$F$9,'Shade - 1'!$D$7,Vertex!Q28,Vertex!Q93,Vertex!Q158,Normal!Q28,Normal!Q93,Normal!Q158)*255)</f>
        <v>69</v>
      </c>
      <c r="R28">
        <f>INT(shadex('Shade - 1'!$D$9,'Shade - 1'!$E$9,'Shade - 1'!$F$9,'Shade - 1'!$D$7,Vertex!R28,Vertex!R93,Vertex!R158,Normal!R28,Normal!R93,Normal!R158)*255)</f>
        <v>71</v>
      </c>
      <c r="S28">
        <f>INT(shadex('Shade - 1'!$D$9,'Shade - 1'!$E$9,'Shade - 1'!$F$9,'Shade - 1'!$D$7,Vertex!S28,Vertex!S93,Vertex!S158,Normal!S28,Normal!S93,Normal!S158)*255)</f>
        <v>84</v>
      </c>
      <c r="T28">
        <f>INT(shadex('Shade - 1'!$D$9,'Shade - 1'!$E$9,'Shade - 1'!$F$9,'Shade - 1'!$D$7,Vertex!T28,Vertex!T93,Vertex!T158,Normal!T28,Normal!T93,Normal!T158)*255)</f>
        <v>88</v>
      </c>
      <c r="U28">
        <f>INT(shadex('Shade - 1'!$D$9,'Shade - 1'!$E$9,'Shade - 1'!$F$9,'Shade - 1'!$D$7,Vertex!U28,Vertex!U93,Vertex!U158,Normal!U28,Normal!U93,Normal!U158)*255)</f>
        <v>95</v>
      </c>
      <c r="V28">
        <f>INT(shadex('Shade - 1'!$D$9,'Shade - 1'!$E$9,'Shade - 1'!$F$9,'Shade - 1'!$D$7,Vertex!V28,Vertex!V93,Vertex!V158,Normal!V28,Normal!V93,Normal!V158)*255)</f>
        <v>96</v>
      </c>
      <c r="W28">
        <f>INT(shadex('Shade - 1'!$D$9,'Shade - 1'!$E$9,'Shade - 1'!$F$9,'Shade - 1'!$D$7,Vertex!W28,Vertex!W93,Vertex!W158,Normal!W28,Normal!W93,Normal!W158)*255)</f>
        <v>94</v>
      </c>
      <c r="X28">
        <f>INT(shadex('Shade - 1'!$D$9,'Shade - 1'!$E$9,'Shade - 1'!$F$9,'Shade - 1'!$D$7,Vertex!X28,Vertex!X93,Vertex!X158,Normal!X28,Normal!X93,Normal!X158)*255)</f>
        <v>95</v>
      </c>
      <c r="Y28">
        <f>INT(shadex('Shade - 1'!$D$9,'Shade - 1'!$E$9,'Shade - 1'!$F$9,'Shade - 1'!$D$7,Vertex!Y28,Vertex!Y93,Vertex!Y158,Normal!Y28,Normal!Y93,Normal!Y158)*255)</f>
        <v>88</v>
      </c>
      <c r="Z28">
        <f>INT(shadex('Shade - 1'!$D$9,'Shade - 1'!$E$9,'Shade - 1'!$F$9,'Shade - 1'!$D$7,Vertex!Z28,Vertex!Z93,Vertex!Z158,Normal!Z28,Normal!Z93,Normal!Z158)*255)</f>
        <v>80</v>
      </c>
      <c r="AA28">
        <f>INT(shadex('Shade - 1'!$D$9,'Shade - 1'!$E$9,'Shade - 1'!$F$9,'Shade - 1'!$D$7,Vertex!AA28,Vertex!AA93,Vertex!AA158,Normal!AA28,Normal!AA93,Normal!AA158)*255)</f>
        <v>66</v>
      </c>
      <c r="AB28">
        <f>INT(shadex('Shade - 1'!$D$9,'Shade - 1'!$E$9,'Shade - 1'!$F$9,'Shade - 1'!$D$7,Vertex!AB28,Vertex!AB93,Vertex!AB158,Normal!AB28,Normal!AB93,Normal!AB158)*255)</f>
        <v>42</v>
      </c>
      <c r="AC28">
        <f>INT(shadex('Shade - 1'!$D$9,'Shade - 1'!$E$9,'Shade - 1'!$F$9,'Shade - 1'!$D$7,Vertex!AC28,Vertex!AC93,Vertex!AC158,Normal!AC28,Normal!AC93,Normal!AC158)*255)</f>
        <v>67</v>
      </c>
      <c r="AD28">
        <f>INT(shadex('Shade - 1'!$D$9,'Shade - 1'!$E$9,'Shade - 1'!$F$9,'Shade - 1'!$D$7,Vertex!AD28,Vertex!AD93,Vertex!AD158,Normal!AD28,Normal!AD93,Normal!AD158)*255)</f>
        <v>78</v>
      </c>
      <c r="AE28">
        <f>INT(shadex('Shade - 1'!$D$9,'Shade - 1'!$E$9,'Shade - 1'!$F$9,'Shade - 1'!$D$7,Vertex!AE28,Vertex!AE93,Vertex!AE158,Normal!AE28,Normal!AE93,Normal!AE158)*255)</f>
        <v>84</v>
      </c>
      <c r="AF28">
        <f>INT(shadex('Shade - 1'!$D$9,'Shade - 1'!$E$9,'Shade - 1'!$F$9,'Shade - 1'!$D$7,Vertex!AF28,Vertex!AF93,Vertex!AF158,Normal!AF28,Normal!AF93,Normal!AF158)*255)</f>
        <v>95</v>
      </c>
      <c r="AG28">
        <f>INT(shadex('Shade - 1'!$D$9,'Shade - 1'!$E$9,'Shade - 1'!$F$9,'Shade - 1'!$D$7,Vertex!AG28,Vertex!AG93,Vertex!AG158,Normal!AG28,Normal!AG93,Normal!AG158)*255)</f>
        <v>97</v>
      </c>
      <c r="AH28">
        <f>INT(shadex('Shade - 1'!$D$9,'Shade - 1'!$E$9,'Shade - 1'!$F$9,'Shade - 1'!$D$7,Vertex!AH28,Vertex!AH93,Vertex!AH158,Normal!AH28,Normal!AH93,Normal!AH158)*255)</f>
        <v>97</v>
      </c>
      <c r="AI28" s="4">
        <f>INT(shadex('Shade - 1'!$D$9,'Shade - 1'!$E$9,'Shade - 1'!$F$9,'Shade - 1'!$D$7,Vertex!AI28,Vertex!AI93,Vertex!AI158,Normal!AI28,Normal!AI93,Normal!AI158)*255)</f>
        <v>96</v>
      </c>
      <c r="AJ28" s="4">
        <f>INT(shadex('Shade - 1'!$D$9,'Shade - 1'!$E$9,'Shade - 1'!$F$9,'Shade - 1'!$D$7,Vertex!AJ28,Vertex!AJ93,Vertex!AJ158,Normal!AJ28,Normal!AJ93,Normal!AJ158)*255)</f>
        <v>99</v>
      </c>
      <c r="AK28" s="4">
        <f>INT(shadex('Shade - 1'!$D$9,'Shade - 1'!$E$9,'Shade - 1'!$F$9,'Shade - 1'!$D$7,Vertex!AK28,Vertex!AK93,Vertex!AK158,Normal!AK28,Normal!AK93,Normal!AK158)*255)</f>
        <v>96</v>
      </c>
      <c r="AL28" s="4">
        <f>INT(shadex('Shade - 1'!$D$9,'Shade - 1'!$E$9,'Shade - 1'!$F$9,'Shade - 1'!$D$7,Vertex!AL28,Vertex!AL93,Vertex!AL158,Normal!AL28,Normal!AL93,Normal!AL158)*255)</f>
        <v>91</v>
      </c>
      <c r="AM28" s="4">
        <f>INT(shadex('Shade - 1'!$D$9,'Shade - 1'!$E$9,'Shade - 1'!$F$9,'Shade - 1'!$D$7,Vertex!AM28,Vertex!AM93,Vertex!AM158,Normal!AM28,Normal!AM93,Normal!AM158)*255)</f>
        <v>94</v>
      </c>
      <c r="AN28" s="4">
        <f>INT(shadex('Shade - 1'!$D$9,'Shade - 1'!$E$9,'Shade - 1'!$F$9,'Shade - 1'!$D$7,Vertex!AN28,Vertex!AN93,Vertex!AN158,Normal!AN28,Normal!AN93,Normal!AN158)*255)</f>
        <v>91</v>
      </c>
      <c r="AO28" s="4">
        <f>INT(shadex('Shade - 1'!$D$9,'Shade - 1'!$E$9,'Shade - 1'!$F$9,'Shade - 1'!$D$7,Vertex!AO28,Vertex!AO93,Vertex!AO158,Normal!AO28,Normal!AO93,Normal!AO158)*255)</f>
        <v>94</v>
      </c>
      <c r="AP28" s="4">
        <f>INT(shadex('Shade - 1'!$D$9,'Shade - 1'!$E$9,'Shade - 1'!$F$9,'Shade - 1'!$D$7,Vertex!AP28,Vertex!AP93,Vertex!AP158,Normal!AP28,Normal!AP93,Normal!AP158)*255)</f>
        <v>98</v>
      </c>
      <c r="AQ28" s="4">
        <f>INT(shadex('Shade - 1'!$D$9,'Shade - 1'!$E$9,'Shade - 1'!$F$9,'Shade - 1'!$D$7,Vertex!AQ28,Vertex!AQ93,Vertex!AQ158,Normal!AQ28,Normal!AQ93,Normal!AQ158)*255)</f>
        <v>97</v>
      </c>
      <c r="AR28" s="4">
        <f>INT(shadex('Shade - 1'!$D$9,'Shade - 1'!$E$9,'Shade - 1'!$F$9,'Shade - 1'!$D$7,Vertex!AR28,Vertex!AR93,Vertex!AR158,Normal!AR28,Normal!AR93,Normal!AR158)*255)</f>
        <v>99</v>
      </c>
      <c r="AS28" s="4">
        <f>INT(shadex('Shade - 1'!$D$9,'Shade - 1'!$E$9,'Shade - 1'!$F$9,'Shade - 1'!$D$7,Vertex!AS28,Vertex!AS93,Vertex!AS158,Normal!AS28,Normal!AS93,Normal!AS158)*255)</f>
        <v>99</v>
      </c>
      <c r="AT28" s="4">
        <f>INT(shadex('Shade - 1'!$D$9,'Shade - 1'!$E$9,'Shade - 1'!$F$9,'Shade - 1'!$D$7,Vertex!AT28,Vertex!AT93,Vertex!AT158,Normal!AT28,Normal!AT93,Normal!AT158)*255)</f>
        <v>96</v>
      </c>
      <c r="AU28" s="4">
        <f>INT(shadex('Shade - 1'!$D$9,'Shade - 1'!$E$9,'Shade - 1'!$F$9,'Shade - 1'!$D$7,Vertex!AU28,Vertex!AU93,Vertex!AU158,Normal!AU28,Normal!AU93,Normal!AU158)*255)</f>
        <v>93</v>
      </c>
      <c r="AV28" s="4">
        <f>INT(shadex('Shade - 1'!$D$9,'Shade - 1'!$E$9,'Shade - 1'!$F$9,'Shade - 1'!$D$7,Vertex!AV28,Vertex!AV93,Vertex!AV158,Normal!AV28,Normal!AV93,Normal!AV158)*255)</f>
        <v>96</v>
      </c>
      <c r="AW28" s="4">
        <f>INT(shadex('Shade - 1'!$D$9,'Shade - 1'!$E$9,'Shade - 1'!$F$9,'Shade - 1'!$D$7,Vertex!AW28,Vertex!AW93,Vertex!AW158,Normal!AW28,Normal!AW93,Normal!AW158)*255)</f>
        <v>93</v>
      </c>
      <c r="AX28" s="4">
        <f>INT(shadex('Shade - 1'!$D$9,'Shade - 1'!$E$9,'Shade - 1'!$F$9,'Shade - 1'!$D$7,Vertex!AX28,Vertex!AX93,Vertex!AX158,Normal!AX28,Normal!AX93,Normal!AX158)*255)</f>
        <v>72</v>
      </c>
      <c r="AY28" s="4">
        <f>INT(shadex('Shade - 1'!$D$9,'Shade - 1'!$E$9,'Shade - 1'!$F$9,'Shade - 1'!$D$7,Vertex!AY28,Vertex!AY93,Vertex!AY158,Normal!AY28,Normal!AY93,Normal!AY158)*255)</f>
        <v>77</v>
      </c>
      <c r="AZ28" s="4">
        <f>INT(shadex('Shade - 1'!$D$9,'Shade - 1'!$E$9,'Shade - 1'!$F$9,'Shade - 1'!$D$7,Vertex!AZ28,Vertex!AZ93,Vertex!AZ158,Normal!AZ28,Normal!AZ93,Normal!AZ158)*255)</f>
        <v>77</v>
      </c>
      <c r="BA28" s="4">
        <f>INT(shadex('Shade - 1'!$D$9,'Shade - 1'!$E$9,'Shade - 1'!$F$9,'Shade - 1'!$D$7,Vertex!BA28,Vertex!BA93,Vertex!BA158,Normal!BA28,Normal!BA93,Normal!BA158)*255)</f>
        <v>69</v>
      </c>
      <c r="BB28" s="4">
        <f>INT(shadex('Shade - 1'!$D$9,'Shade - 1'!$E$9,'Shade - 1'!$F$9,'Shade - 1'!$D$7,Vertex!BB28,Vertex!BB93,Vertex!BB158,Normal!BB28,Normal!BB93,Normal!BB158)*255)</f>
        <v>86</v>
      </c>
      <c r="BC28" s="4">
        <f>INT(shadex('Shade - 1'!$D$9,'Shade - 1'!$E$9,'Shade - 1'!$F$9,'Shade - 1'!$D$7,Vertex!BC28,Vertex!BC93,Vertex!BC158,Normal!BC28,Normal!BC93,Normal!BC158)*255)</f>
        <v>97</v>
      </c>
      <c r="BD28" s="4">
        <f>INT(shadex('Shade - 1'!$D$9,'Shade - 1'!$E$9,'Shade - 1'!$F$9,'Shade - 1'!$D$7,Vertex!BD28,Vertex!BD93,Vertex!BD158,Normal!BD28,Normal!BD93,Normal!BD158)*255)</f>
        <v>99</v>
      </c>
      <c r="BE28" s="4">
        <f>INT(shadex('Shade - 1'!$D$9,'Shade - 1'!$E$9,'Shade - 1'!$F$9,'Shade - 1'!$D$7,Vertex!BE28,Vertex!BE93,Vertex!BE158,Normal!BE28,Normal!BE93,Normal!BE158)*255)</f>
        <v>97</v>
      </c>
      <c r="BF28" s="4">
        <f>INT(shadex('Shade - 1'!$D$9,'Shade - 1'!$E$9,'Shade - 1'!$F$9,'Shade - 1'!$D$7,Vertex!BF28,Vertex!BF93,Vertex!BF158,Normal!BF28,Normal!BF93,Normal!BF158)*255)</f>
        <v>95</v>
      </c>
      <c r="BG28" s="4">
        <f>INT(shadex('Shade - 1'!$D$9,'Shade - 1'!$E$9,'Shade - 1'!$F$9,'Shade - 1'!$D$7,Vertex!BG28,Vertex!BG93,Vertex!BG158,Normal!BG28,Normal!BG93,Normal!BG158)*255)</f>
        <v>95</v>
      </c>
      <c r="BH28" s="4">
        <f>INT(shadex('Shade - 1'!$D$9,'Shade - 1'!$E$9,'Shade - 1'!$F$9,'Shade - 1'!$D$7,Vertex!BH28,Vertex!BH93,Vertex!BH158,Normal!BH28,Normal!BH93,Normal!BH158)*255)</f>
        <v>91</v>
      </c>
      <c r="BI28" s="4">
        <f>INT(shadex('Shade - 1'!$D$9,'Shade - 1'!$E$9,'Shade - 1'!$F$9,'Shade - 1'!$D$7,Vertex!BI28,Vertex!BI93,Vertex!BI158,Normal!BI28,Normal!BI93,Normal!BI158)*255)</f>
        <v>90</v>
      </c>
      <c r="BJ28" s="4">
        <f>INT(shadex('Shade - 1'!$D$9,'Shade - 1'!$E$9,'Shade - 1'!$F$9,'Shade - 1'!$D$7,Vertex!BJ28,Vertex!BJ93,Vertex!BJ158,Normal!BJ28,Normal!BJ93,Normal!BJ158)*255)</f>
        <v>86</v>
      </c>
      <c r="BK28" s="4">
        <f>INT(shadex('Shade - 1'!$D$9,'Shade - 1'!$E$9,'Shade - 1'!$F$9,'Shade - 1'!$D$7,Vertex!BK28,Vertex!BK93,Vertex!BK158,Normal!BK28,Normal!BK93,Normal!BK158)*255)</f>
        <v>82</v>
      </c>
      <c r="BL28" s="4">
        <f>INT(shadex('Shade - 1'!$D$9,'Shade - 1'!$E$9,'Shade - 1'!$F$9,'Shade - 1'!$D$7,Vertex!BL28,Vertex!BL93,Vertex!BL158,Normal!BL28,Normal!BL93,Normal!BL158)*255)</f>
        <v>83</v>
      </c>
    </row>
    <row r="29" spans="1:64" x14ac:dyDescent="0.25">
      <c r="A29">
        <f>INT(shadex('Shade - 1'!$D$9,'Shade - 1'!$E$9,'Shade - 1'!$F$9,'Shade - 1'!$D$7,Vertex!A29,Vertex!A94,Vertex!A159,Normal!A29,Normal!A94,Normal!A159)*255)</f>
        <v>68</v>
      </c>
      <c r="B29">
        <f>INT(shadex('Shade - 1'!$D$9,'Shade - 1'!$E$9,'Shade - 1'!$F$9,'Shade - 1'!$D$7,Vertex!B29,Vertex!B94,Vertex!B159,Normal!B29,Normal!B94,Normal!B159)*255)</f>
        <v>60</v>
      </c>
      <c r="C29">
        <f>INT(shadex('Shade - 1'!$D$9,'Shade - 1'!$E$9,'Shade - 1'!$F$9,'Shade - 1'!$D$7,Vertex!C29,Vertex!C94,Vertex!C159,Normal!C29,Normal!C94,Normal!C159)*255)</f>
        <v>47</v>
      </c>
      <c r="D29">
        <f>INT(shadex('Shade - 1'!$D$9,'Shade - 1'!$E$9,'Shade - 1'!$F$9,'Shade - 1'!$D$7,Vertex!D29,Vertex!D94,Vertex!D159,Normal!D29,Normal!D94,Normal!D159)*255)</f>
        <v>43</v>
      </c>
      <c r="E29">
        <f>INT(shadex('Shade - 1'!$D$9,'Shade - 1'!$E$9,'Shade - 1'!$F$9,'Shade - 1'!$D$7,Vertex!E29,Vertex!E94,Vertex!E159,Normal!E29,Normal!E94,Normal!E159)*255)</f>
        <v>56</v>
      </c>
      <c r="F29">
        <f>INT(shadex('Shade - 1'!$D$9,'Shade - 1'!$E$9,'Shade - 1'!$F$9,'Shade - 1'!$D$7,Vertex!F29,Vertex!F94,Vertex!F159,Normal!F29,Normal!F94,Normal!F159)*255)</f>
        <v>63</v>
      </c>
      <c r="G29">
        <f>INT(shadex('Shade - 1'!$D$9,'Shade - 1'!$E$9,'Shade - 1'!$F$9,'Shade - 1'!$D$7,Vertex!G29,Vertex!G94,Vertex!G159,Normal!G29,Normal!G94,Normal!G159)*255)</f>
        <v>76</v>
      </c>
      <c r="H29">
        <f>INT(shadex('Shade - 1'!$D$9,'Shade - 1'!$E$9,'Shade - 1'!$F$9,'Shade - 1'!$D$7,Vertex!H29,Vertex!H94,Vertex!H159,Normal!H29,Normal!H94,Normal!H159)*255)</f>
        <v>89</v>
      </c>
      <c r="I29">
        <f>INT(shadex('Shade - 1'!$D$9,'Shade - 1'!$E$9,'Shade - 1'!$F$9,'Shade - 1'!$D$7,Vertex!I29,Vertex!I94,Vertex!I159,Normal!I29,Normal!I94,Normal!I159)*255)</f>
        <v>78</v>
      </c>
      <c r="J29">
        <f>INT(shadex('Shade - 1'!$D$9,'Shade - 1'!$E$9,'Shade - 1'!$F$9,'Shade - 1'!$D$7,Vertex!J29,Vertex!J94,Vertex!J159,Normal!J29,Normal!J94,Normal!J159)*255)</f>
        <v>29</v>
      </c>
      <c r="K29">
        <f>INT(shadex('Shade - 1'!$D$9,'Shade - 1'!$E$9,'Shade - 1'!$F$9,'Shade - 1'!$D$7,Vertex!K29,Vertex!K94,Vertex!K159,Normal!K29,Normal!K94,Normal!K159)*255)</f>
        <v>26</v>
      </c>
      <c r="L29">
        <f>INT(shadex('Shade - 1'!$D$9,'Shade - 1'!$E$9,'Shade - 1'!$F$9,'Shade - 1'!$D$7,Vertex!L29,Vertex!L94,Vertex!L159,Normal!L29,Normal!L94,Normal!L159)*255)</f>
        <v>53</v>
      </c>
      <c r="M29">
        <f>INT(shadex('Shade - 1'!$D$9,'Shade - 1'!$E$9,'Shade - 1'!$F$9,'Shade - 1'!$D$7,Vertex!M29,Vertex!M94,Vertex!M159,Normal!M29,Normal!M94,Normal!M159)*255)</f>
        <v>40</v>
      </c>
      <c r="N29">
        <f>INT(shadex('Shade - 1'!$D$9,'Shade - 1'!$E$9,'Shade - 1'!$F$9,'Shade - 1'!$D$7,Vertex!N29,Vertex!N94,Vertex!N159,Normal!N29,Normal!N94,Normal!N159)*255)</f>
        <v>0</v>
      </c>
      <c r="O29">
        <f>INT(shadex('Shade - 1'!$D$9,'Shade - 1'!$E$9,'Shade - 1'!$F$9,'Shade - 1'!$D$7,Vertex!O29,Vertex!O94,Vertex!O159,Normal!O29,Normal!O94,Normal!O159)*255)</f>
        <v>36</v>
      </c>
      <c r="P29">
        <f>INT(shadex('Shade - 1'!$D$9,'Shade - 1'!$E$9,'Shade - 1'!$F$9,'Shade - 1'!$D$7,Vertex!P29,Vertex!P94,Vertex!P159,Normal!P29,Normal!P94,Normal!P159)*255)</f>
        <v>50</v>
      </c>
      <c r="Q29">
        <f>INT(shadex('Shade - 1'!$D$9,'Shade - 1'!$E$9,'Shade - 1'!$F$9,'Shade - 1'!$D$7,Vertex!Q29,Vertex!Q94,Vertex!Q159,Normal!Q29,Normal!Q94,Normal!Q159)*255)</f>
        <v>68</v>
      </c>
      <c r="R29">
        <f>INT(shadex('Shade - 1'!$D$9,'Shade - 1'!$E$9,'Shade - 1'!$F$9,'Shade - 1'!$D$7,Vertex!R29,Vertex!R94,Vertex!R159,Normal!R29,Normal!R94,Normal!R159)*255)</f>
        <v>71</v>
      </c>
      <c r="S29">
        <f>INT(shadex('Shade - 1'!$D$9,'Shade - 1'!$E$9,'Shade - 1'!$F$9,'Shade - 1'!$D$7,Vertex!S29,Vertex!S94,Vertex!S159,Normal!S29,Normal!S94,Normal!S159)*255)</f>
        <v>67</v>
      </c>
      <c r="T29">
        <f>INT(shadex('Shade - 1'!$D$9,'Shade - 1'!$E$9,'Shade - 1'!$F$9,'Shade - 1'!$D$7,Vertex!T29,Vertex!T94,Vertex!T159,Normal!T29,Normal!T94,Normal!T159)*255)</f>
        <v>78</v>
      </c>
      <c r="U29">
        <f>INT(shadex('Shade - 1'!$D$9,'Shade - 1'!$E$9,'Shade - 1'!$F$9,'Shade - 1'!$D$7,Vertex!U29,Vertex!U94,Vertex!U159,Normal!U29,Normal!U94,Normal!U159)*255)</f>
        <v>99</v>
      </c>
      <c r="V29">
        <f>INT(shadex('Shade - 1'!$D$9,'Shade - 1'!$E$9,'Shade - 1'!$F$9,'Shade - 1'!$D$7,Vertex!V29,Vertex!V94,Vertex!V159,Normal!V29,Normal!V94,Normal!V159)*255)</f>
        <v>99</v>
      </c>
      <c r="W29">
        <f>INT(shadex('Shade - 1'!$D$9,'Shade - 1'!$E$9,'Shade - 1'!$F$9,'Shade - 1'!$D$7,Vertex!W29,Vertex!W94,Vertex!W159,Normal!W29,Normal!W94,Normal!W159)*255)</f>
        <v>96</v>
      </c>
      <c r="X29">
        <f>INT(shadex('Shade - 1'!$D$9,'Shade - 1'!$E$9,'Shade - 1'!$F$9,'Shade - 1'!$D$7,Vertex!X29,Vertex!X94,Vertex!X159,Normal!X29,Normal!X94,Normal!X159)*255)</f>
        <v>97</v>
      </c>
      <c r="Y29">
        <f>INT(shadex('Shade - 1'!$D$9,'Shade - 1'!$E$9,'Shade - 1'!$F$9,'Shade - 1'!$D$7,Vertex!Y29,Vertex!Y94,Vertex!Y159,Normal!Y29,Normal!Y94,Normal!Y159)*255)</f>
        <v>97</v>
      </c>
      <c r="Z29">
        <f>INT(shadex('Shade - 1'!$D$9,'Shade - 1'!$E$9,'Shade - 1'!$F$9,'Shade - 1'!$D$7,Vertex!Z29,Vertex!Z94,Vertex!Z159,Normal!Z29,Normal!Z94,Normal!Z159)*255)</f>
        <v>87</v>
      </c>
      <c r="AA29">
        <f>INT(shadex('Shade - 1'!$D$9,'Shade - 1'!$E$9,'Shade - 1'!$F$9,'Shade - 1'!$D$7,Vertex!AA29,Vertex!AA94,Vertex!AA159,Normal!AA29,Normal!AA94,Normal!AA159)*255)</f>
        <v>76</v>
      </c>
      <c r="AB29">
        <f>INT(shadex('Shade - 1'!$D$9,'Shade - 1'!$E$9,'Shade - 1'!$F$9,'Shade - 1'!$D$7,Vertex!AB29,Vertex!AB94,Vertex!AB159,Normal!AB29,Normal!AB94,Normal!AB159)*255)</f>
        <v>53</v>
      </c>
      <c r="AC29">
        <f>INT(shadex('Shade - 1'!$D$9,'Shade - 1'!$E$9,'Shade - 1'!$F$9,'Shade - 1'!$D$7,Vertex!AC29,Vertex!AC94,Vertex!AC159,Normal!AC29,Normal!AC94,Normal!AC159)*255)</f>
        <v>59</v>
      </c>
      <c r="AD29">
        <f>INT(shadex('Shade - 1'!$D$9,'Shade - 1'!$E$9,'Shade - 1'!$F$9,'Shade - 1'!$D$7,Vertex!AD29,Vertex!AD94,Vertex!AD159,Normal!AD29,Normal!AD94,Normal!AD159)*255)</f>
        <v>71</v>
      </c>
      <c r="AE29">
        <f>INT(shadex('Shade - 1'!$D$9,'Shade - 1'!$E$9,'Shade - 1'!$F$9,'Shade - 1'!$D$7,Vertex!AE29,Vertex!AE94,Vertex!AE159,Normal!AE29,Normal!AE94,Normal!AE159)*255)</f>
        <v>79</v>
      </c>
      <c r="AF29">
        <f>INT(shadex('Shade - 1'!$D$9,'Shade - 1'!$E$9,'Shade - 1'!$F$9,'Shade - 1'!$D$7,Vertex!AF29,Vertex!AF94,Vertex!AF159,Normal!AF29,Normal!AF94,Normal!AF159)*255)</f>
        <v>85</v>
      </c>
      <c r="AG29">
        <f>INT(shadex('Shade - 1'!$D$9,'Shade - 1'!$E$9,'Shade - 1'!$F$9,'Shade - 1'!$D$7,Vertex!AG29,Vertex!AG94,Vertex!AG159,Normal!AG29,Normal!AG94,Normal!AG159)*255)</f>
        <v>90</v>
      </c>
      <c r="AH29">
        <f>INT(shadex('Shade - 1'!$D$9,'Shade - 1'!$E$9,'Shade - 1'!$F$9,'Shade - 1'!$D$7,Vertex!AH29,Vertex!AH94,Vertex!AH159,Normal!AH29,Normal!AH94,Normal!AH159)*255)</f>
        <v>92</v>
      </c>
      <c r="AI29" s="4">
        <f>INT(shadex('Shade - 1'!$D$9,'Shade - 1'!$E$9,'Shade - 1'!$F$9,'Shade - 1'!$D$7,Vertex!AI29,Vertex!AI94,Vertex!AI159,Normal!AI29,Normal!AI94,Normal!AI159)*255)</f>
        <v>93</v>
      </c>
      <c r="AJ29" s="4">
        <f>INT(shadex('Shade - 1'!$D$9,'Shade - 1'!$E$9,'Shade - 1'!$F$9,'Shade - 1'!$D$7,Vertex!AJ29,Vertex!AJ94,Vertex!AJ159,Normal!AJ29,Normal!AJ94,Normal!AJ159)*255)</f>
        <v>91</v>
      </c>
      <c r="AK29" s="4">
        <f>INT(shadex('Shade - 1'!$D$9,'Shade - 1'!$E$9,'Shade - 1'!$F$9,'Shade - 1'!$D$7,Vertex!AK29,Vertex!AK94,Vertex!AK159,Normal!AK29,Normal!AK94,Normal!AK159)*255)</f>
        <v>96</v>
      </c>
      <c r="AL29" s="4">
        <f>INT(shadex('Shade - 1'!$D$9,'Shade - 1'!$E$9,'Shade - 1'!$F$9,'Shade - 1'!$D$7,Vertex!AL29,Vertex!AL94,Vertex!AL159,Normal!AL29,Normal!AL94,Normal!AL159)*255)</f>
        <v>96</v>
      </c>
      <c r="AM29" s="4">
        <f>INT(shadex('Shade - 1'!$D$9,'Shade - 1'!$E$9,'Shade - 1'!$F$9,'Shade - 1'!$D$7,Vertex!AM29,Vertex!AM94,Vertex!AM159,Normal!AM29,Normal!AM94,Normal!AM159)*255)</f>
        <v>94</v>
      </c>
      <c r="AN29" s="4">
        <f>INT(shadex('Shade - 1'!$D$9,'Shade - 1'!$E$9,'Shade - 1'!$F$9,'Shade - 1'!$D$7,Vertex!AN29,Vertex!AN94,Vertex!AN159,Normal!AN29,Normal!AN94,Normal!AN159)*255)</f>
        <v>86</v>
      </c>
      <c r="AO29" s="4">
        <f>INT(shadex('Shade - 1'!$D$9,'Shade - 1'!$E$9,'Shade - 1'!$F$9,'Shade - 1'!$D$7,Vertex!AO29,Vertex!AO94,Vertex!AO159,Normal!AO29,Normal!AO94,Normal!AO159)*255)</f>
        <v>92</v>
      </c>
      <c r="AP29" s="4">
        <f>INT(shadex('Shade - 1'!$D$9,'Shade - 1'!$E$9,'Shade - 1'!$F$9,'Shade - 1'!$D$7,Vertex!AP29,Vertex!AP94,Vertex!AP159,Normal!AP29,Normal!AP94,Normal!AP159)*255)</f>
        <v>97</v>
      </c>
      <c r="AQ29" s="4">
        <f>INT(shadex('Shade - 1'!$D$9,'Shade - 1'!$E$9,'Shade - 1'!$F$9,'Shade - 1'!$D$7,Vertex!AQ29,Vertex!AQ94,Vertex!AQ159,Normal!AQ29,Normal!AQ94,Normal!AQ159)*255)</f>
        <v>94</v>
      </c>
      <c r="AR29" s="4">
        <f>INT(shadex('Shade - 1'!$D$9,'Shade - 1'!$E$9,'Shade - 1'!$F$9,'Shade - 1'!$D$7,Vertex!AR29,Vertex!AR94,Vertex!AR159,Normal!AR29,Normal!AR94,Normal!AR159)*255)</f>
        <v>96</v>
      </c>
      <c r="AS29" s="4">
        <f>INT(shadex('Shade - 1'!$D$9,'Shade - 1'!$E$9,'Shade - 1'!$F$9,'Shade - 1'!$D$7,Vertex!AS29,Vertex!AS94,Vertex!AS159,Normal!AS29,Normal!AS94,Normal!AS159)*255)</f>
        <v>99</v>
      </c>
      <c r="AT29" s="4">
        <f>INT(shadex('Shade - 1'!$D$9,'Shade - 1'!$E$9,'Shade - 1'!$F$9,'Shade - 1'!$D$7,Vertex!AT29,Vertex!AT94,Vertex!AT159,Normal!AT29,Normal!AT94,Normal!AT159)*255)</f>
        <v>96</v>
      </c>
      <c r="AU29" s="4">
        <f>INT(shadex('Shade - 1'!$D$9,'Shade - 1'!$E$9,'Shade - 1'!$F$9,'Shade - 1'!$D$7,Vertex!AU29,Vertex!AU94,Vertex!AU159,Normal!AU29,Normal!AU94,Normal!AU159)*255)</f>
        <v>91</v>
      </c>
      <c r="AV29" s="4">
        <f>INT(shadex('Shade - 1'!$D$9,'Shade - 1'!$E$9,'Shade - 1'!$F$9,'Shade - 1'!$D$7,Vertex!AV29,Vertex!AV94,Vertex!AV159,Normal!AV29,Normal!AV94,Normal!AV159)*255)</f>
        <v>93</v>
      </c>
      <c r="AW29" s="4">
        <f>INT(shadex('Shade - 1'!$D$9,'Shade - 1'!$E$9,'Shade - 1'!$F$9,'Shade - 1'!$D$7,Vertex!AW29,Vertex!AW94,Vertex!AW159,Normal!AW29,Normal!AW94,Normal!AW159)*255)</f>
        <v>84</v>
      </c>
      <c r="AX29" s="4">
        <f>INT(shadex('Shade - 1'!$D$9,'Shade - 1'!$E$9,'Shade - 1'!$F$9,'Shade - 1'!$D$7,Vertex!AX29,Vertex!AX94,Vertex!AX159,Normal!AX29,Normal!AX94,Normal!AX159)*255)</f>
        <v>61</v>
      </c>
      <c r="AY29" s="4">
        <f>INT(shadex('Shade - 1'!$D$9,'Shade - 1'!$E$9,'Shade - 1'!$F$9,'Shade - 1'!$D$7,Vertex!AY29,Vertex!AY94,Vertex!AY159,Normal!AY29,Normal!AY94,Normal!AY159)*255)</f>
        <v>72</v>
      </c>
      <c r="AZ29" s="4">
        <f>INT(shadex('Shade - 1'!$D$9,'Shade - 1'!$E$9,'Shade - 1'!$F$9,'Shade - 1'!$D$7,Vertex!AZ29,Vertex!AZ94,Vertex!AZ159,Normal!AZ29,Normal!AZ94,Normal!AZ159)*255)</f>
        <v>78</v>
      </c>
      <c r="BA29" s="4">
        <f>INT(shadex('Shade - 1'!$D$9,'Shade - 1'!$E$9,'Shade - 1'!$F$9,'Shade - 1'!$D$7,Vertex!BA29,Vertex!BA94,Vertex!BA159,Normal!BA29,Normal!BA94,Normal!BA159)*255)</f>
        <v>82</v>
      </c>
      <c r="BB29" s="4">
        <f>INT(shadex('Shade - 1'!$D$9,'Shade - 1'!$E$9,'Shade - 1'!$F$9,'Shade - 1'!$D$7,Vertex!BB29,Vertex!BB94,Vertex!BB159,Normal!BB29,Normal!BB94,Normal!BB159)*255)</f>
        <v>98</v>
      </c>
      <c r="BC29" s="4">
        <f>INT(shadex('Shade - 1'!$D$9,'Shade - 1'!$E$9,'Shade - 1'!$F$9,'Shade - 1'!$D$7,Vertex!BC29,Vertex!BC94,Vertex!BC159,Normal!BC29,Normal!BC94,Normal!BC159)*255)</f>
        <v>94</v>
      </c>
      <c r="BD29" s="4">
        <f>INT(shadex('Shade - 1'!$D$9,'Shade - 1'!$E$9,'Shade - 1'!$F$9,'Shade - 1'!$D$7,Vertex!BD29,Vertex!BD94,Vertex!BD159,Normal!BD29,Normal!BD94,Normal!BD159)*255)</f>
        <v>98</v>
      </c>
      <c r="BE29" s="4">
        <f>INT(shadex('Shade - 1'!$D$9,'Shade - 1'!$E$9,'Shade - 1'!$F$9,'Shade - 1'!$D$7,Vertex!BE29,Vertex!BE94,Vertex!BE159,Normal!BE29,Normal!BE94,Normal!BE159)*255)</f>
        <v>98</v>
      </c>
      <c r="BF29" s="4">
        <f>INT(shadex('Shade - 1'!$D$9,'Shade - 1'!$E$9,'Shade - 1'!$F$9,'Shade - 1'!$D$7,Vertex!BF29,Vertex!BF94,Vertex!BF159,Normal!BF29,Normal!BF94,Normal!BF159)*255)</f>
        <v>97</v>
      </c>
      <c r="BG29" s="4">
        <f>INT(shadex('Shade - 1'!$D$9,'Shade - 1'!$E$9,'Shade - 1'!$F$9,'Shade - 1'!$D$7,Vertex!BG29,Vertex!BG94,Vertex!BG159,Normal!BG29,Normal!BG94,Normal!BG159)*255)</f>
        <v>94</v>
      </c>
      <c r="BH29" s="4">
        <f>INT(shadex('Shade - 1'!$D$9,'Shade - 1'!$E$9,'Shade - 1'!$F$9,'Shade - 1'!$D$7,Vertex!BH29,Vertex!BH94,Vertex!BH159,Normal!BH29,Normal!BH94,Normal!BH159)*255)</f>
        <v>91</v>
      </c>
      <c r="BI29" s="4">
        <f>INT(shadex('Shade - 1'!$D$9,'Shade - 1'!$E$9,'Shade - 1'!$F$9,'Shade - 1'!$D$7,Vertex!BI29,Vertex!BI94,Vertex!BI159,Normal!BI29,Normal!BI94,Normal!BI159)*255)</f>
        <v>93</v>
      </c>
      <c r="BJ29" s="4">
        <f>INT(shadex('Shade - 1'!$D$9,'Shade - 1'!$E$9,'Shade - 1'!$F$9,'Shade - 1'!$D$7,Vertex!BJ29,Vertex!BJ94,Vertex!BJ159,Normal!BJ29,Normal!BJ94,Normal!BJ159)*255)</f>
        <v>92</v>
      </c>
      <c r="BK29" s="4">
        <f>INT(shadex('Shade - 1'!$D$9,'Shade - 1'!$E$9,'Shade - 1'!$F$9,'Shade - 1'!$D$7,Vertex!BK29,Vertex!BK94,Vertex!BK159,Normal!BK29,Normal!BK94,Normal!BK159)*255)</f>
        <v>91</v>
      </c>
      <c r="BL29" s="4">
        <f>INT(shadex('Shade - 1'!$D$9,'Shade - 1'!$E$9,'Shade - 1'!$F$9,'Shade - 1'!$D$7,Vertex!BL29,Vertex!BL94,Vertex!BL159,Normal!BL29,Normal!BL94,Normal!BL159)*255)</f>
        <v>93</v>
      </c>
    </row>
    <row r="30" spans="1:64" x14ac:dyDescent="0.25">
      <c r="A30">
        <f>INT(shadex('Shade - 1'!$D$9,'Shade - 1'!$E$9,'Shade - 1'!$F$9,'Shade - 1'!$D$7,Vertex!A30,Vertex!A95,Vertex!A160,Normal!A30,Normal!A95,Normal!A160)*255)</f>
        <v>84</v>
      </c>
      <c r="B30">
        <f>INT(shadex('Shade - 1'!$D$9,'Shade - 1'!$E$9,'Shade - 1'!$F$9,'Shade - 1'!$D$7,Vertex!B30,Vertex!B95,Vertex!B160,Normal!B30,Normal!B95,Normal!B160)*255)</f>
        <v>83</v>
      </c>
      <c r="C30">
        <f>INT(shadex('Shade - 1'!$D$9,'Shade - 1'!$E$9,'Shade - 1'!$F$9,'Shade - 1'!$D$7,Vertex!C30,Vertex!C95,Vertex!C160,Normal!C30,Normal!C95,Normal!C160)*255)</f>
        <v>72</v>
      </c>
      <c r="D30">
        <f>INT(shadex('Shade - 1'!$D$9,'Shade - 1'!$E$9,'Shade - 1'!$F$9,'Shade - 1'!$D$7,Vertex!D30,Vertex!D95,Vertex!D160,Normal!D30,Normal!D95,Normal!D160)*255)</f>
        <v>47</v>
      </c>
      <c r="E30">
        <f>INT(shadex('Shade - 1'!$D$9,'Shade - 1'!$E$9,'Shade - 1'!$F$9,'Shade - 1'!$D$7,Vertex!E30,Vertex!E95,Vertex!E160,Normal!E30,Normal!E95,Normal!E160)*255)</f>
        <v>46</v>
      </c>
      <c r="F30">
        <f>INT(shadex('Shade - 1'!$D$9,'Shade - 1'!$E$9,'Shade - 1'!$F$9,'Shade - 1'!$D$7,Vertex!F30,Vertex!F95,Vertex!F160,Normal!F30,Normal!F95,Normal!F160)*255)</f>
        <v>58</v>
      </c>
      <c r="G30">
        <f>INT(shadex('Shade - 1'!$D$9,'Shade - 1'!$E$9,'Shade - 1'!$F$9,'Shade - 1'!$D$7,Vertex!G30,Vertex!G95,Vertex!G160,Normal!G30,Normal!G95,Normal!G160)*255)</f>
        <v>68</v>
      </c>
      <c r="H30">
        <f>INT(shadex('Shade - 1'!$D$9,'Shade - 1'!$E$9,'Shade - 1'!$F$9,'Shade - 1'!$D$7,Vertex!H30,Vertex!H95,Vertex!H160,Normal!H30,Normal!H95,Normal!H160)*255)</f>
        <v>75</v>
      </c>
      <c r="I30">
        <f>INT(shadex('Shade - 1'!$D$9,'Shade - 1'!$E$9,'Shade - 1'!$F$9,'Shade - 1'!$D$7,Vertex!I30,Vertex!I95,Vertex!I160,Normal!I30,Normal!I95,Normal!I160)*255)</f>
        <v>61</v>
      </c>
      <c r="J30">
        <f>INT(shadex('Shade - 1'!$D$9,'Shade - 1'!$E$9,'Shade - 1'!$F$9,'Shade - 1'!$D$7,Vertex!J30,Vertex!J95,Vertex!J160,Normal!J30,Normal!J95,Normal!J160)*255)</f>
        <v>47</v>
      </c>
      <c r="K30">
        <f>INT(shadex('Shade - 1'!$D$9,'Shade - 1'!$E$9,'Shade - 1'!$F$9,'Shade - 1'!$D$7,Vertex!K30,Vertex!K95,Vertex!K160,Normal!K30,Normal!K95,Normal!K160)*255)</f>
        <v>34</v>
      </c>
      <c r="L30">
        <f>INT(shadex('Shade - 1'!$D$9,'Shade - 1'!$E$9,'Shade - 1'!$F$9,'Shade - 1'!$D$7,Vertex!L30,Vertex!L95,Vertex!L160,Normal!L30,Normal!L95,Normal!L160)*255)</f>
        <v>50</v>
      </c>
      <c r="M30">
        <f>INT(shadex('Shade - 1'!$D$9,'Shade - 1'!$E$9,'Shade - 1'!$F$9,'Shade - 1'!$D$7,Vertex!M30,Vertex!M95,Vertex!M160,Normal!M30,Normal!M95,Normal!M160)*255)</f>
        <v>52</v>
      </c>
      <c r="N30">
        <f>INT(shadex('Shade - 1'!$D$9,'Shade - 1'!$E$9,'Shade - 1'!$F$9,'Shade - 1'!$D$7,Vertex!N30,Vertex!N95,Vertex!N160,Normal!N30,Normal!N95,Normal!N160)*255)</f>
        <v>29</v>
      </c>
      <c r="O30">
        <f>INT(shadex('Shade - 1'!$D$9,'Shade - 1'!$E$9,'Shade - 1'!$F$9,'Shade - 1'!$D$7,Vertex!O30,Vertex!O95,Vertex!O160,Normal!O30,Normal!O95,Normal!O160)*255)</f>
        <v>0</v>
      </c>
      <c r="P30">
        <f>INT(shadex('Shade - 1'!$D$9,'Shade - 1'!$E$9,'Shade - 1'!$F$9,'Shade - 1'!$D$7,Vertex!P30,Vertex!P95,Vertex!P160,Normal!P30,Normal!P95,Normal!P160)*255)</f>
        <v>29</v>
      </c>
      <c r="Q30">
        <f>INT(shadex('Shade - 1'!$D$9,'Shade - 1'!$E$9,'Shade - 1'!$F$9,'Shade - 1'!$D$7,Vertex!Q30,Vertex!Q95,Vertex!Q160,Normal!Q30,Normal!Q95,Normal!Q160)*255)</f>
        <v>65</v>
      </c>
      <c r="R30">
        <f>INT(shadex('Shade - 1'!$D$9,'Shade - 1'!$E$9,'Shade - 1'!$F$9,'Shade - 1'!$D$7,Vertex!R30,Vertex!R95,Vertex!R160,Normal!R30,Normal!R95,Normal!R160)*255)</f>
        <v>83</v>
      </c>
      <c r="S30">
        <f>INT(shadex('Shade - 1'!$D$9,'Shade - 1'!$E$9,'Shade - 1'!$F$9,'Shade - 1'!$D$7,Vertex!S30,Vertex!S95,Vertex!S160,Normal!S30,Normal!S95,Normal!S160)*255)</f>
        <v>65</v>
      </c>
      <c r="T30">
        <f>INT(shadex('Shade - 1'!$D$9,'Shade - 1'!$E$9,'Shade - 1'!$F$9,'Shade - 1'!$D$7,Vertex!T30,Vertex!T95,Vertex!T160,Normal!T30,Normal!T95,Normal!T160)*255)</f>
        <v>64</v>
      </c>
      <c r="U30">
        <f>INT(shadex('Shade - 1'!$D$9,'Shade - 1'!$E$9,'Shade - 1'!$F$9,'Shade - 1'!$D$7,Vertex!U30,Vertex!U95,Vertex!U160,Normal!U30,Normal!U95,Normal!U160)*255)</f>
        <v>86</v>
      </c>
      <c r="V30">
        <f>INT(shadex('Shade - 1'!$D$9,'Shade - 1'!$E$9,'Shade - 1'!$F$9,'Shade - 1'!$D$7,Vertex!V30,Vertex!V95,Vertex!V160,Normal!V30,Normal!V95,Normal!V160)*255)</f>
        <v>85</v>
      </c>
      <c r="W30">
        <f>INT(shadex('Shade - 1'!$D$9,'Shade - 1'!$E$9,'Shade - 1'!$F$9,'Shade - 1'!$D$7,Vertex!W30,Vertex!W95,Vertex!W160,Normal!W30,Normal!W95,Normal!W160)*255)</f>
        <v>77</v>
      </c>
      <c r="X30">
        <f>INT(shadex('Shade - 1'!$D$9,'Shade - 1'!$E$9,'Shade - 1'!$F$9,'Shade - 1'!$D$7,Vertex!X30,Vertex!X95,Vertex!X160,Normal!X30,Normal!X95,Normal!X160)*255)</f>
        <v>79</v>
      </c>
      <c r="Y30">
        <f>INT(shadex('Shade - 1'!$D$9,'Shade - 1'!$E$9,'Shade - 1'!$F$9,'Shade - 1'!$D$7,Vertex!Y30,Vertex!Y95,Vertex!Y160,Normal!Y30,Normal!Y95,Normal!Y160)*255)</f>
        <v>90</v>
      </c>
      <c r="Z30">
        <f>INT(shadex('Shade - 1'!$D$9,'Shade - 1'!$E$9,'Shade - 1'!$F$9,'Shade - 1'!$D$7,Vertex!Z30,Vertex!Z95,Vertex!Z160,Normal!Z30,Normal!Z95,Normal!Z160)*255)</f>
        <v>88</v>
      </c>
      <c r="AA30">
        <f>INT(shadex('Shade - 1'!$D$9,'Shade - 1'!$E$9,'Shade - 1'!$F$9,'Shade - 1'!$D$7,Vertex!AA30,Vertex!AA95,Vertex!AA160,Normal!AA30,Normal!AA95,Normal!AA160)*255)</f>
        <v>87</v>
      </c>
      <c r="AB30">
        <f>INT(shadex('Shade - 1'!$D$9,'Shade - 1'!$E$9,'Shade - 1'!$F$9,'Shade - 1'!$D$7,Vertex!AB30,Vertex!AB95,Vertex!AB160,Normal!AB30,Normal!AB95,Normal!AB160)*255)</f>
        <v>83</v>
      </c>
      <c r="AC30">
        <f>INT(shadex('Shade - 1'!$D$9,'Shade - 1'!$E$9,'Shade - 1'!$F$9,'Shade - 1'!$D$7,Vertex!AC30,Vertex!AC95,Vertex!AC160,Normal!AC30,Normal!AC95,Normal!AC160)*255)</f>
        <v>77</v>
      </c>
      <c r="AD30">
        <f>INT(shadex('Shade - 1'!$D$9,'Shade - 1'!$E$9,'Shade - 1'!$F$9,'Shade - 1'!$D$7,Vertex!AD30,Vertex!AD95,Vertex!AD160,Normal!AD30,Normal!AD95,Normal!AD160)*255)</f>
        <v>63</v>
      </c>
      <c r="AE30">
        <f>INT(shadex('Shade - 1'!$D$9,'Shade - 1'!$E$9,'Shade - 1'!$F$9,'Shade - 1'!$D$7,Vertex!AE30,Vertex!AE95,Vertex!AE160,Normal!AE30,Normal!AE95,Normal!AE160)*255)</f>
        <v>57</v>
      </c>
      <c r="AF30">
        <f>INT(shadex('Shade - 1'!$D$9,'Shade - 1'!$E$9,'Shade - 1'!$F$9,'Shade - 1'!$D$7,Vertex!AF30,Vertex!AF95,Vertex!AF160,Normal!AF30,Normal!AF95,Normal!AF160)*255)</f>
        <v>65</v>
      </c>
      <c r="AG30">
        <f>INT(shadex('Shade - 1'!$D$9,'Shade - 1'!$E$9,'Shade - 1'!$F$9,'Shade - 1'!$D$7,Vertex!AG30,Vertex!AG95,Vertex!AG160,Normal!AG30,Normal!AG95,Normal!AG160)*255)</f>
        <v>83</v>
      </c>
      <c r="AH30">
        <f>INT(shadex('Shade - 1'!$D$9,'Shade - 1'!$E$9,'Shade - 1'!$F$9,'Shade - 1'!$D$7,Vertex!AH30,Vertex!AH95,Vertex!AH160,Normal!AH30,Normal!AH95,Normal!AH160)*255)</f>
        <v>94</v>
      </c>
      <c r="AI30" s="4">
        <f>INT(shadex('Shade - 1'!$D$9,'Shade - 1'!$E$9,'Shade - 1'!$F$9,'Shade - 1'!$D$7,Vertex!AI30,Vertex!AI95,Vertex!AI160,Normal!AI30,Normal!AI95,Normal!AI160)*255)</f>
        <v>92</v>
      </c>
      <c r="AJ30" s="4">
        <f>INT(shadex('Shade - 1'!$D$9,'Shade - 1'!$E$9,'Shade - 1'!$F$9,'Shade - 1'!$D$7,Vertex!AJ30,Vertex!AJ95,Vertex!AJ160,Normal!AJ30,Normal!AJ95,Normal!AJ160)*255)</f>
        <v>86</v>
      </c>
      <c r="AK30" s="4">
        <f>INT(shadex('Shade - 1'!$D$9,'Shade - 1'!$E$9,'Shade - 1'!$F$9,'Shade - 1'!$D$7,Vertex!AK30,Vertex!AK95,Vertex!AK160,Normal!AK30,Normal!AK95,Normal!AK160)*255)</f>
        <v>95</v>
      </c>
      <c r="AL30" s="4">
        <f>INT(shadex('Shade - 1'!$D$9,'Shade - 1'!$E$9,'Shade - 1'!$F$9,'Shade - 1'!$D$7,Vertex!AL30,Vertex!AL95,Vertex!AL160,Normal!AL30,Normal!AL95,Normal!AL160)*255)</f>
        <v>97</v>
      </c>
      <c r="AM30" s="4">
        <f>INT(shadex('Shade - 1'!$D$9,'Shade - 1'!$E$9,'Shade - 1'!$F$9,'Shade - 1'!$D$7,Vertex!AM30,Vertex!AM95,Vertex!AM160,Normal!AM30,Normal!AM95,Normal!AM160)*255)</f>
        <v>90</v>
      </c>
      <c r="AN30" s="4">
        <f>INT(shadex('Shade - 1'!$D$9,'Shade - 1'!$E$9,'Shade - 1'!$F$9,'Shade - 1'!$D$7,Vertex!AN30,Vertex!AN95,Vertex!AN160,Normal!AN30,Normal!AN95,Normal!AN160)*255)</f>
        <v>82</v>
      </c>
      <c r="AO30" s="4">
        <f>INT(shadex('Shade - 1'!$D$9,'Shade - 1'!$E$9,'Shade - 1'!$F$9,'Shade - 1'!$D$7,Vertex!AO30,Vertex!AO95,Vertex!AO160,Normal!AO30,Normal!AO95,Normal!AO160)*255)</f>
        <v>87</v>
      </c>
      <c r="AP30" s="4">
        <f>INT(shadex('Shade - 1'!$D$9,'Shade - 1'!$E$9,'Shade - 1'!$F$9,'Shade - 1'!$D$7,Vertex!AP30,Vertex!AP95,Vertex!AP160,Normal!AP30,Normal!AP95,Normal!AP160)*255)</f>
        <v>96</v>
      </c>
      <c r="AQ30" s="4">
        <f>INT(shadex('Shade - 1'!$D$9,'Shade - 1'!$E$9,'Shade - 1'!$F$9,'Shade - 1'!$D$7,Vertex!AQ30,Vertex!AQ95,Vertex!AQ160,Normal!AQ30,Normal!AQ95,Normal!AQ160)*255)</f>
        <v>93</v>
      </c>
      <c r="AR30" s="4">
        <f>INT(shadex('Shade - 1'!$D$9,'Shade - 1'!$E$9,'Shade - 1'!$F$9,'Shade - 1'!$D$7,Vertex!AR30,Vertex!AR95,Vertex!AR160,Normal!AR30,Normal!AR95,Normal!AR160)*255)</f>
        <v>94</v>
      </c>
      <c r="AS30" s="4">
        <f>INT(shadex('Shade - 1'!$D$9,'Shade - 1'!$E$9,'Shade - 1'!$F$9,'Shade - 1'!$D$7,Vertex!AS30,Vertex!AS95,Vertex!AS160,Normal!AS30,Normal!AS95,Normal!AS160)*255)</f>
        <v>95</v>
      </c>
      <c r="AT30" s="4">
        <f>INT(shadex('Shade - 1'!$D$9,'Shade - 1'!$E$9,'Shade - 1'!$F$9,'Shade - 1'!$D$7,Vertex!AT30,Vertex!AT95,Vertex!AT160,Normal!AT30,Normal!AT95,Normal!AT160)*255)</f>
        <v>83</v>
      </c>
      <c r="AU30" s="4">
        <f>INT(shadex('Shade - 1'!$D$9,'Shade - 1'!$E$9,'Shade - 1'!$F$9,'Shade - 1'!$D$7,Vertex!AU30,Vertex!AU95,Vertex!AU160,Normal!AU30,Normal!AU95,Normal!AU160)*255)</f>
        <v>77</v>
      </c>
      <c r="AV30" s="4">
        <f>INT(shadex('Shade - 1'!$D$9,'Shade - 1'!$E$9,'Shade - 1'!$F$9,'Shade - 1'!$D$7,Vertex!AV30,Vertex!AV95,Vertex!AV160,Normal!AV30,Normal!AV95,Normal!AV160)*255)</f>
        <v>86</v>
      </c>
      <c r="AW30" s="4">
        <f>INT(shadex('Shade - 1'!$D$9,'Shade - 1'!$E$9,'Shade - 1'!$F$9,'Shade - 1'!$D$7,Vertex!AW30,Vertex!AW95,Vertex!AW160,Normal!AW30,Normal!AW95,Normal!AW160)*255)</f>
        <v>80</v>
      </c>
      <c r="AX30" s="4">
        <f>INT(shadex('Shade - 1'!$D$9,'Shade - 1'!$E$9,'Shade - 1'!$F$9,'Shade - 1'!$D$7,Vertex!AX30,Vertex!AX95,Vertex!AX160,Normal!AX30,Normal!AX95,Normal!AX160)*255)</f>
        <v>73</v>
      </c>
      <c r="AY30" s="4">
        <f>INT(shadex('Shade - 1'!$D$9,'Shade - 1'!$E$9,'Shade - 1'!$F$9,'Shade - 1'!$D$7,Vertex!AY30,Vertex!AY95,Vertex!AY160,Normal!AY30,Normal!AY95,Normal!AY160)*255)</f>
        <v>76</v>
      </c>
      <c r="AZ30" s="4">
        <f>INT(shadex('Shade - 1'!$D$9,'Shade - 1'!$E$9,'Shade - 1'!$F$9,'Shade - 1'!$D$7,Vertex!AZ30,Vertex!AZ95,Vertex!AZ160,Normal!AZ30,Normal!AZ95,Normal!AZ160)*255)</f>
        <v>78</v>
      </c>
      <c r="BA30" s="4">
        <f>INT(shadex('Shade - 1'!$D$9,'Shade - 1'!$E$9,'Shade - 1'!$F$9,'Shade - 1'!$D$7,Vertex!BA30,Vertex!BA95,Vertex!BA160,Normal!BA30,Normal!BA95,Normal!BA160)*255)</f>
        <v>95</v>
      </c>
      <c r="BB30" s="4">
        <f>INT(shadex('Shade - 1'!$D$9,'Shade - 1'!$E$9,'Shade - 1'!$F$9,'Shade - 1'!$D$7,Vertex!BB30,Vertex!BB95,Vertex!BB160,Normal!BB30,Normal!BB95,Normal!BB160)*255)</f>
        <v>99</v>
      </c>
      <c r="BC30" s="4">
        <f>INT(shadex('Shade - 1'!$D$9,'Shade - 1'!$E$9,'Shade - 1'!$F$9,'Shade - 1'!$D$7,Vertex!BC30,Vertex!BC95,Vertex!BC160,Normal!BC30,Normal!BC95,Normal!BC160)*255)</f>
        <v>93</v>
      </c>
      <c r="BD30" s="4">
        <f>INT(shadex('Shade - 1'!$D$9,'Shade - 1'!$E$9,'Shade - 1'!$F$9,'Shade - 1'!$D$7,Vertex!BD30,Vertex!BD95,Vertex!BD160,Normal!BD30,Normal!BD95,Normal!BD160)*255)</f>
        <v>90</v>
      </c>
      <c r="BE30" s="4">
        <f>INT(shadex('Shade - 1'!$D$9,'Shade - 1'!$E$9,'Shade - 1'!$F$9,'Shade - 1'!$D$7,Vertex!BE30,Vertex!BE95,Vertex!BE160,Normal!BE30,Normal!BE95,Normal!BE160)*255)</f>
        <v>96</v>
      </c>
      <c r="BF30" s="4">
        <f>INT(shadex('Shade - 1'!$D$9,'Shade - 1'!$E$9,'Shade - 1'!$F$9,'Shade - 1'!$D$7,Vertex!BF30,Vertex!BF95,Vertex!BF160,Normal!BF30,Normal!BF95,Normal!BF160)*255)</f>
        <v>95</v>
      </c>
      <c r="BG30" s="4">
        <f>INT(shadex('Shade - 1'!$D$9,'Shade - 1'!$E$9,'Shade - 1'!$F$9,'Shade - 1'!$D$7,Vertex!BG30,Vertex!BG95,Vertex!BG160,Normal!BG30,Normal!BG95,Normal!BG160)*255)</f>
        <v>95</v>
      </c>
      <c r="BH30" s="4">
        <f>INT(shadex('Shade - 1'!$D$9,'Shade - 1'!$E$9,'Shade - 1'!$F$9,'Shade - 1'!$D$7,Vertex!BH30,Vertex!BH95,Vertex!BH160,Normal!BH30,Normal!BH95,Normal!BH160)*255)</f>
        <v>98</v>
      </c>
      <c r="BI30" s="4">
        <f>INT(shadex('Shade - 1'!$D$9,'Shade - 1'!$E$9,'Shade - 1'!$F$9,'Shade - 1'!$D$7,Vertex!BI30,Vertex!BI95,Vertex!BI160,Normal!BI30,Normal!BI95,Normal!BI160)*255)</f>
        <v>97</v>
      </c>
      <c r="BJ30" s="4">
        <f>INT(shadex('Shade - 1'!$D$9,'Shade - 1'!$E$9,'Shade - 1'!$F$9,'Shade - 1'!$D$7,Vertex!BJ30,Vertex!BJ95,Vertex!BJ160,Normal!BJ30,Normal!BJ95,Normal!BJ160)*255)</f>
        <v>93</v>
      </c>
      <c r="BK30" s="4">
        <f>INT(shadex('Shade - 1'!$D$9,'Shade - 1'!$E$9,'Shade - 1'!$F$9,'Shade - 1'!$D$7,Vertex!BK30,Vertex!BK95,Vertex!BK160,Normal!BK30,Normal!BK95,Normal!BK160)*255)</f>
        <v>95</v>
      </c>
      <c r="BL30" s="4">
        <f>INT(shadex('Shade - 1'!$D$9,'Shade - 1'!$E$9,'Shade - 1'!$F$9,'Shade - 1'!$D$7,Vertex!BL30,Vertex!BL95,Vertex!BL160,Normal!BL30,Normal!BL95,Normal!BL160)*255)</f>
        <v>97</v>
      </c>
    </row>
    <row r="31" spans="1:64" x14ac:dyDescent="0.25">
      <c r="A31">
        <f>INT(shadex('Shade - 1'!$D$9,'Shade - 1'!$E$9,'Shade - 1'!$F$9,'Shade - 1'!$D$7,Vertex!A31,Vertex!A96,Vertex!A161,Normal!A31,Normal!A96,Normal!A161)*255)</f>
        <v>96</v>
      </c>
      <c r="B31">
        <f>INT(shadex('Shade - 1'!$D$9,'Shade - 1'!$E$9,'Shade - 1'!$F$9,'Shade - 1'!$D$7,Vertex!B31,Vertex!B96,Vertex!B161,Normal!B31,Normal!B96,Normal!B161)*255)</f>
        <v>95</v>
      </c>
      <c r="C31">
        <f>INT(shadex('Shade - 1'!$D$9,'Shade - 1'!$E$9,'Shade - 1'!$F$9,'Shade - 1'!$D$7,Vertex!C31,Vertex!C96,Vertex!C161,Normal!C31,Normal!C96,Normal!C161)*255)</f>
        <v>92</v>
      </c>
      <c r="D31">
        <f>INT(shadex('Shade - 1'!$D$9,'Shade - 1'!$E$9,'Shade - 1'!$F$9,'Shade - 1'!$D$7,Vertex!D31,Vertex!D96,Vertex!D161,Normal!D31,Normal!D96,Normal!D161)*255)</f>
        <v>64</v>
      </c>
      <c r="E31">
        <f>INT(shadex('Shade - 1'!$D$9,'Shade - 1'!$E$9,'Shade - 1'!$F$9,'Shade - 1'!$D$7,Vertex!E31,Vertex!E96,Vertex!E161,Normal!E31,Normal!E96,Normal!E161)*255)</f>
        <v>50</v>
      </c>
      <c r="F31">
        <f>INT(shadex('Shade - 1'!$D$9,'Shade - 1'!$E$9,'Shade - 1'!$F$9,'Shade - 1'!$D$7,Vertex!F31,Vertex!F96,Vertex!F161,Normal!F31,Normal!F96,Normal!F161)*255)</f>
        <v>50</v>
      </c>
      <c r="G31">
        <f>INT(shadex('Shade - 1'!$D$9,'Shade - 1'!$E$9,'Shade - 1'!$F$9,'Shade - 1'!$D$7,Vertex!G31,Vertex!G96,Vertex!G161,Normal!G31,Normal!G96,Normal!G161)*255)</f>
        <v>58</v>
      </c>
      <c r="H31">
        <f>INT(shadex('Shade - 1'!$D$9,'Shade - 1'!$E$9,'Shade - 1'!$F$9,'Shade - 1'!$D$7,Vertex!H31,Vertex!H96,Vertex!H161,Normal!H31,Normal!H96,Normal!H161)*255)</f>
        <v>55</v>
      </c>
      <c r="I31">
        <f>INT(shadex('Shade - 1'!$D$9,'Shade - 1'!$E$9,'Shade - 1'!$F$9,'Shade - 1'!$D$7,Vertex!I31,Vertex!I96,Vertex!I161,Normal!I31,Normal!I96,Normal!I161)*255)</f>
        <v>33</v>
      </c>
      <c r="J31">
        <f>INT(shadex('Shade - 1'!$D$9,'Shade - 1'!$E$9,'Shade - 1'!$F$9,'Shade - 1'!$D$7,Vertex!J31,Vertex!J96,Vertex!J161,Normal!J31,Normal!J96,Normal!J161)*255)</f>
        <v>35</v>
      </c>
      <c r="K31">
        <f>INT(shadex('Shade - 1'!$D$9,'Shade - 1'!$E$9,'Shade - 1'!$F$9,'Shade - 1'!$D$7,Vertex!K31,Vertex!K96,Vertex!K161,Normal!K31,Normal!K96,Normal!K161)*255)</f>
        <v>34</v>
      </c>
      <c r="L31">
        <f>INT(shadex('Shade - 1'!$D$9,'Shade - 1'!$E$9,'Shade - 1'!$F$9,'Shade - 1'!$D$7,Vertex!L31,Vertex!L96,Vertex!L161,Normal!L31,Normal!L96,Normal!L161)*255)</f>
        <v>51</v>
      </c>
      <c r="M31">
        <f>INT(shadex('Shade - 1'!$D$9,'Shade - 1'!$E$9,'Shade - 1'!$F$9,'Shade - 1'!$D$7,Vertex!M31,Vertex!M96,Vertex!M161,Normal!M31,Normal!M96,Normal!M161)*255)</f>
        <v>51</v>
      </c>
      <c r="N31">
        <f>INT(shadex('Shade - 1'!$D$9,'Shade - 1'!$E$9,'Shade - 1'!$F$9,'Shade - 1'!$D$7,Vertex!N31,Vertex!N96,Vertex!N161,Normal!N31,Normal!N96,Normal!N161)*255)</f>
        <v>29</v>
      </c>
      <c r="O31">
        <f>INT(shadex('Shade - 1'!$D$9,'Shade - 1'!$E$9,'Shade - 1'!$F$9,'Shade - 1'!$D$7,Vertex!O31,Vertex!O96,Vertex!O161,Normal!O31,Normal!O96,Normal!O161)*255)</f>
        <v>0</v>
      </c>
      <c r="P31">
        <f>INT(shadex('Shade - 1'!$D$9,'Shade - 1'!$E$9,'Shade - 1'!$F$9,'Shade - 1'!$D$7,Vertex!P31,Vertex!P96,Vertex!P161,Normal!P31,Normal!P96,Normal!P161)*255)</f>
        <v>0</v>
      </c>
      <c r="Q31">
        <f>INT(shadex('Shade - 1'!$D$9,'Shade - 1'!$E$9,'Shade - 1'!$F$9,'Shade - 1'!$D$7,Vertex!Q31,Vertex!Q96,Vertex!Q161,Normal!Q31,Normal!Q96,Normal!Q161)*255)</f>
        <v>68</v>
      </c>
      <c r="R31">
        <f>INT(shadex('Shade - 1'!$D$9,'Shade - 1'!$E$9,'Shade - 1'!$F$9,'Shade - 1'!$D$7,Vertex!R31,Vertex!R96,Vertex!R161,Normal!R31,Normal!R96,Normal!R161)*255)</f>
        <v>90</v>
      </c>
      <c r="S31">
        <f>INT(shadex('Shade - 1'!$D$9,'Shade - 1'!$E$9,'Shade - 1'!$F$9,'Shade - 1'!$D$7,Vertex!S31,Vertex!S96,Vertex!S161,Normal!S31,Normal!S96,Normal!S161)*255)</f>
        <v>78</v>
      </c>
      <c r="T31">
        <f>INT(shadex('Shade - 1'!$D$9,'Shade - 1'!$E$9,'Shade - 1'!$F$9,'Shade - 1'!$D$7,Vertex!T31,Vertex!T96,Vertex!T161,Normal!T31,Normal!T96,Normal!T161)*255)</f>
        <v>60</v>
      </c>
      <c r="U31">
        <f>INT(shadex('Shade - 1'!$D$9,'Shade - 1'!$E$9,'Shade - 1'!$F$9,'Shade - 1'!$D$7,Vertex!U31,Vertex!U96,Vertex!U161,Normal!U31,Normal!U96,Normal!U161)*255)</f>
        <v>66</v>
      </c>
      <c r="V31">
        <f>INT(shadex('Shade - 1'!$D$9,'Shade - 1'!$E$9,'Shade - 1'!$F$9,'Shade - 1'!$D$7,Vertex!V31,Vertex!V96,Vertex!V161,Normal!V31,Normal!V96,Normal!V161)*255)</f>
        <v>75</v>
      </c>
      <c r="W31">
        <f>INT(shadex('Shade - 1'!$D$9,'Shade - 1'!$E$9,'Shade - 1'!$F$9,'Shade - 1'!$D$7,Vertex!W31,Vertex!W96,Vertex!W161,Normal!W31,Normal!W96,Normal!W161)*255)</f>
        <v>75</v>
      </c>
      <c r="X31">
        <f>INT(shadex('Shade - 1'!$D$9,'Shade - 1'!$E$9,'Shade - 1'!$F$9,'Shade - 1'!$D$7,Vertex!X31,Vertex!X96,Vertex!X161,Normal!X31,Normal!X96,Normal!X161)*255)</f>
        <v>64</v>
      </c>
      <c r="Y31">
        <f>INT(shadex('Shade - 1'!$D$9,'Shade - 1'!$E$9,'Shade - 1'!$F$9,'Shade - 1'!$D$7,Vertex!Y31,Vertex!Y96,Vertex!Y161,Normal!Y31,Normal!Y96,Normal!Y161)*255)</f>
        <v>75</v>
      </c>
      <c r="Z31">
        <f>INT(shadex('Shade - 1'!$D$9,'Shade - 1'!$E$9,'Shade - 1'!$F$9,'Shade - 1'!$D$7,Vertex!Z31,Vertex!Z96,Vertex!Z161,Normal!Z31,Normal!Z96,Normal!Z161)*255)</f>
        <v>76</v>
      </c>
      <c r="AA31">
        <f>INT(shadex('Shade - 1'!$D$9,'Shade - 1'!$E$9,'Shade - 1'!$F$9,'Shade - 1'!$D$7,Vertex!AA31,Vertex!AA96,Vertex!AA161,Normal!AA31,Normal!AA96,Normal!AA161)*255)</f>
        <v>76</v>
      </c>
      <c r="AB31">
        <f>INT(shadex('Shade - 1'!$D$9,'Shade - 1'!$E$9,'Shade - 1'!$F$9,'Shade - 1'!$D$7,Vertex!AB31,Vertex!AB96,Vertex!AB161,Normal!AB31,Normal!AB96,Normal!AB161)*255)</f>
        <v>87</v>
      </c>
      <c r="AC31">
        <f>INT(shadex('Shade - 1'!$D$9,'Shade - 1'!$E$9,'Shade - 1'!$F$9,'Shade - 1'!$D$7,Vertex!AC31,Vertex!AC96,Vertex!AC161,Normal!AC31,Normal!AC96,Normal!AC161)*255)</f>
        <v>81</v>
      </c>
      <c r="AD31">
        <f>INT(shadex('Shade - 1'!$D$9,'Shade - 1'!$E$9,'Shade - 1'!$F$9,'Shade - 1'!$D$7,Vertex!AD31,Vertex!AD96,Vertex!AD161,Normal!AD31,Normal!AD96,Normal!AD161)*255)</f>
        <v>73</v>
      </c>
      <c r="AE31">
        <f>INT(shadex('Shade - 1'!$D$9,'Shade - 1'!$E$9,'Shade - 1'!$F$9,'Shade - 1'!$D$7,Vertex!AE31,Vertex!AE96,Vertex!AE161,Normal!AE31,Normal!AE96,Normal!AE161)*255)</f>
        <v>55</v>
      </c>
      <c r="AF31">
        <f>INT(shadex('Shade - 1'!$D$9,'Shade - 1'!$E$9,'Shade - 1'!$F$9,'Shade - 1'!$D$7,Vertex!AF31,Vertex!AF96,Vertex!AF161,Normal!AF31,Normal!AF96,Normal!AF161)*255)</f>
        <v>52</v>
      </c>
      <c r="AG31">
        <f>INT(shadex('Shade - 1'!$D$9,'Shade - 1'!$E$9,'Shade - 1'!$F$9,'Shade - 1'!$D$7,Vertex!AG31,Vertex!AG96,Vertex!AG161,Normal!AG31,Normal!AG96,Normal!AG161)*255)</f>
        <v>80</v>
      </c>
      <c r="AH31">
        <f>INT(shadex('Shade - 1'!$D$9,'Shade - 1'!$E$9,'Shade - 1'!$F$9,'Shade - 1'!$D$7,Vertex!AH31,Vertex!AH96,Vertex!AH161,Normal!AH31,Normal!AH96,Normal!AH161)*255)</f>
        <v>85</v>
      </c>
      <c r="AI31" s="4">
        <f>INT(shadex('Shade - 1'!$D$9,'Shade - 1'!$E$9,'Shade - 1'!$F$9,'Shade - 1'!$D$7,Vertex!AI31,Vertex!AI96,Vertex!AI161,Normal!AI31,Normal!AI96,Normal!AI161)*255)</f>
        <v>90</v>
      </c>
      <c r="AJ31" s="4">
        <f>INT(shadex('Shade - 1'!$D$9,'Shade - 1'!$E$9,'Shade - 1'!$F$9,'Shade - 1'!$D$7,Vertex!AJ31,Vertex!AJ96,Vertex!AJ161,Normal!AJ31,Normal!AJ96,Normal!AJ161)*255)</f>
        <v>87</v>
      </c>
      <c r="AK31" s="4">
        <f>INT(shadex('Shade - 1'!$D$9,'Shade - 1'!$E$9,'Shade - 1'!$F$9,'Shade - 1'!$D$7,Vertex!AK31,Vertex!AK96,Vertex!AK161,Normal!AK31,Normal!AK96,Normal!AK161)*255)</f>
        <v>91</v>
      </c>
      <c r="AL31" s="4">
        <f>INT(shadex('Shade - 1'!$D$9,'Shade - 1'!$E$9,'Shade - 1'!$F$9,'Shade - 1'!$D$7,Vertex!AL31,Vertex!AL96,Vertex!AL161,Normal!AL31,Normal!AL96,Normal!AL161)*255)</f>
        <v>95</v>
      </c>
      <c r="AM31" s="4">
        <f>INT(shadex('Shade - 1'!$D$9,'Shade - 1'!$E$9,'Shade - 1'!$F$9,'Shade - 1'!$D$7,Vertex!AM31,Vertex!AM96,Vertex!AM161,Normal!AM31,Normal!AM96,Normal!AM161)*255)</f>
        <v>84</v>
      </c>
      <c r="AN31" s="4">
        <f>INT(shadex('Shade - 1'!$D$9,'Shade - 1'!$E$9,'Shade - 1'!$F$9,'Shade - 1'!$D$7,Vertex!AN31,Vertex!AN96,Vertex!AN161,Normal!AN31,Normal!AN96,Normal!AN161)*255)</f>
        <v>79</v>
      </c>
      <c r="AO31" s="4">
        <f>INT(shadex('Shade - 1'!$D$9,'Shade - 1'!$E$9,'Shade - 1'!$F$9,'Shade - 1'!$D$7,Vertex!AO31,Vertex!AO96,Vertex!AO161,Normal!AO31,Normal!AO96,Normal!AO161)*255)</f>
        <v>78</v>
      </c>
      <c r="AP31" s="4">
        <f>INT(shadex('Shade - 1'!$D$9,'Shade - 1'!$E$9,'Shade - 1'!$F$9,'Shade - 1'!$D$7,Vertex!AP31,Vertex!AP96,Vertex!AP161,Normal!AP31,Normal!AP96,Normal!AP161)*255)</f>
        <v>93</v>
      </c>
      <c r="AQ31" s="4">
        <f>INT(shadex('Shade - 1'!$D$9,'Shade - 1'!$E$9,'Shade - 1'!$F$9,'Shade - 1'!$D$7,Vertex!AQ31,Vertex!AQ96,Vertex!AQ161,Normal!AQ31,Normal!AQ96,Normal!AQ161)*255)</f>
        <v>99</v>
      </c>
      <c r="AR31" s="4">
        <f>INT(shadex('Shade - 1'!$D$9,'Shade - 1'!$E$9,'Shade - 1'!$F$9,'Shade - 1'!$D$7,Vertex!AR31,Vertex!AR96,Vertex!AR161,Normal!AR31,Normal!AR96,Normal!AR161)*255)</f>
        <v>97</v>
      </c>
      <c r="AS31" s="4">
        <f>INT(shadex('Shade - 1'!$D$9,'Shade - 1'!$E$9,'Shade - 1'!$F$9,'Shade - 1'!$D$7,Vertex!AS31,Vertex!AS96,Vertex!AS161,Normal!AS31,Normal!AS96,Normal!AS161)*255)</f>
        <v>96</v>
      </c>
      <c r="AT31" s="4">
        <f>INT(shadex('Shade - 1'!$D$9,'Shade - 1'!$E$9,'Shade - 1'!$F$9,'Shade - 1'!$D$7,Vertex!AT31,Vertex!AT96,Vertex!AT161,Normal!AT31,Normal!AT96,Normal!AT161)*255)</f>
        <v>76</v>
      </c>
      <c r="AU31" s="4">
        <f>INT(shadex('Shade - 1'!$D$9,'Shade - 1'!$E$9,'Shade - 1'!$F$9,'Shade - 1'!$D$7,Vertex!AU31,Vertex!AU96,Vertex!AU161,Normal!AU31,Normal!AU96,Normal!AU161)*255)</f>
        <v>78</v>
      </c>
      <c r="AV31" s="4">
        <f>INT(shadex('Shade - 1'!$D$9,'Shade - 1'!$E$9,'Shade - 1'!$F$9,'Shade - 1'!$D$7,Vertex!AV31,Vertex!AV96,Vertex!AV161,Normal!AV31,Normal!AV96,Normal!AV161)*255)</f>
        <v>89</v>
      </c>
      <c r="AW31" s="4">
        <f>INT(shadex('Shade - 1'!$D$9,'Shade - 1'!$E$9,'Shade - 1'!$F$9,'Shade - 1'!$D$7,Vertex!AW31,Vertex!AW96,Vertex!AW161,Normal!AW31,Normal!AW96,Normal!AW161)*255)</f>
        <v>82</v>
      </c>
      <c r="AX31" s="4">
        <f>INT(shadex('Shade - 1'!$D$9,'Shade - 1'!$E$9,'Shade - 1'!$F$9,'Shade - 1'!$D$7,Vertex!AX31,Vertex!AX96,Vertex!AX161,Normal!AX31,Normal!AX96,Normal!AX161)*255)</f>
        <v>74</v>
      </c>
      <c r="AY31" s="4">
        <f>INT(shadex('Shade - 1'!$D$9,'Shade - 1'!$E$9,'Shade - 1'!$F$9,'Shade - 1'!$D$7,Vertex!AY31,Vertex!AY96,Vertex!AY161,Normal!AY31,Normal!AY96,Normal!AY161)*255)</f>
        <v>81</v>
      </c>
      <c r="AZ31" s="4">
        <f>INT(shadex('Shade - 1'!$D$9,'Shade - 1'!$E$9,'Shade - 1'!$F$9,'Shade - 1'!$D$7,Vertex!AZ31,Vertex!AZ96,Vertex!AZ161,Normal!AZ31,Normal!AZ96,Normal!AZ161)*255)</f>
        <v>89</v>
      </c>
      <c r="BA31" s="4">
        <f>INT(shadex('Shade - 1'!$D$9,'Shade - 1'!$E$9,'Shade - 1'!$F$9,'Shade - 1'!$D$7,Vertex!BA31,Vertex!BA96,Vertex!BA161,Normal!BA31,Normal!BA96,Normal!BA161)*255)</f>
        <v>97</v>
      </c>
      <c r="BB31" s="4">
        <f>INT(shadex('Shade - 1'!$D$9,'Shade - 1'!$E$9,'Shade - 1'!$F$9,'Shade - 1'!$D$7,Vertex!BB31,Vertex!BB96,Vertex!BB161,Normal!BB31,Normal!BB96,Normal!BB161)*255)</f>
        <v>99</v>
      </c>
      <c r="BC31" s="4">
        <f>INT(shadex('Shade - 1'!$D$9,'Shade - 1'!$E$9,'Shade - 1'!$F$9,'Shade - 1'!$D$7,Vertex!BC31,Vertex!BC96,Vertex!BC161,Normal!BC31,Normal!BC96,Normal!BC161)*255)</f>
        <v>91</v>
      </c>
      <c r="BD31" s="4">
        <f>INT(shadex('Shade - 1'!$D$9,'Shade - 1'!$E$9,'Shade - 1'!$F$9,'Shade - 1'!$D$7,Vertex!BD31,Vertex!BD96,Vertex!BD161,Normal!BD31,Normal!BD96,Normal!BD161)*255)</f>
        <v>84</v>
      </c>
      <c r="BE31" s="4">
        <f>INT(shadex('Shade - 1'!$D$9,'Shade - 1'!$E$9,'Shade - 1'!$F$9,'Shade - 1'!$D$7,Vertex!BE31,Vertex!BE96,Vertex!BE161,Normal!BE31,Normal!BE96,Normal!BE161)*255)</f>
        <v>97</v>
      </c>
      <c r="BF31" s="4">
        <f>INT(shadex('Shade - 1'!$D$9,'Shade - 1'!$E$9,'Shade - 1'!$F$9,'Shade - 1'!$D$7,Vertex!BF31,Vertex!BF96,Vertex!BF161,Normal!BF31,Normal!BF96,Normal!BF161)*255)</f>
        <v>96</v>
      </c>
      <c r="BG31" s="4">
        <f>INT(shadex('Shade - 1'!$D$9,'Shade - 1'!$E$9,'Shade - 1'!$F$9,'Shade - 1'!$D$7,Vertex!BG31,Vertex!BG96,Vertex!BG161,Normal!BG31,Normal!BG96,Normal!BG161)*255)</f>
        <v>98</v>
      </c>
      <c r="BH31" s="4">
        <f>INT(shadex('Shade - 1'!$D$9,'Shade - 1'!$E$9,'Shade - 1'!$F$9,'Shade - 1'!$D$7,Vertex!BH31,Vertex!BH96,Vertex!BH161,Normal!BH31,Normal!BH96,Normal!BH161)*255)</f>
        <v>99</v>
      </c>
      <c r="BI31" s="4">
        <f>INT(shadex('Shade - 1'!$D$9,'Shade - 1'!$E$9,'Shade - 1'!$F$9,'Shade - 1'!$D$7,Vertex!BI31,Vertex!BI96,Vertex!BI161,Normal!BI31,Normal!BI96,Normal!BI161)*255)</f>
        <v>99</v>
      </c>
      <c r="BJ31" s="4">
        <f>INT(shadex('Shade - 1'!$D$9,'Shade - 1'!$E$9,'Shade - 1'!$F$9,'Shade - 1'!$D$7,Vertex!BJ31,Vertex!BJ96,Vertex!BJ161,Normal!BJ31,Normal!BJ96,Normal!BJ161)*255)</f>
        <v>94</v>
      </c>
      <c r="BK31" s="4">
        <f>INT(shadex('Shade - 1'!$D$9,'Shade - 1'!$E$9,'Shade - 1'!$F$9,'Shade - 1'!$D$7,Vertex!BK31,Vertex!BK96,Vertex!BK161,Normal!BK31,Normal!BK96,Normal!BK161)*255)</f>
        <v>96</v>
      </c>
      <c r="BL31" s="4">
        <f>INT(shadex('Shade - 1'!$D$9,'Shade - 1'!$E$9,'Shade - 1'!$F$9,'Shade - 1'!$D$7,Vertex!BL31,Vertex!BL96,Vertex!BL161,Normal!BL31,Normal!BL96,Normal!BL161)*255)</f>
        <v>94</v>
      </c>
    </row>
    <row r="32" spans="1:64" x14ac:dyDescent="0.25">
      <c r="A32">
        <f>INT(shadex('Shade - 1'!$D$9,'Shade - 1'!$E$9,'Shade - 1'!$F$9,'Shade - 1'!$D$7,Vertex!A32,Vertex!A97,Vertex!A162,Normal!A32,Normal!A97,Normal!A162)*255)</f>
        <v>88</v>
      </c>
      <c r="B32">
        <f>INT(shadex('Shade - 1'!$D$9,'Shade - 1'!$E$9,'Shade - 1'!$F$9,'Shade - 1'!$D$7,Vertex!B32,Vertex!B97,Vertex!B162,Normal!B32,Normal!B97,Normal!B162)*255)</f>
        <v>89</v>
      </c>
      <c r="C32">
        <f>INT(shadex('Shade - 1'!$D$9,'Shade - 1'!$E$9,'Shade - 1'!$F$9,'Shade - 1'!$D$7,Vertex!C32,Vertex!C97,Vertex!C162,Normal!C32,Normal!C97,Normal!C162)*255)</f>
        <v>90</v>
      </c>
      <c r="D32">
        <f>INT(shadex('Shade - 1'!$D$9,'Shade - 1'!$E$9,'Shade - 1'!$F$9,'Shade - 1'!$D$7,Vertex!D32,Vertex!D97,Vertex!D162,Normal!D32,Normal!D97,Normal!D162)*255)</f>
        <v>82</v>
      </c>
      <c r="E32">
        <f>INT(shadex('Shade - 1'!$D$9,'Shade - 1'!$E$9,'Shade - 1'!$F$9,'Shade - 1'!$D$7,Vertex!E32,Vertex!E97,Vertex!E162,Normal!E32,Normal!E97,Normal!E162)*255)</f>
        <v>72</v>
      </c>
      <c r="F32">
        <f>INT(shadex('Shade - 1'!$D$9,'Shade - 1'!$E$9,'Shade - 1'!$F$9,'Shade - 1'!$D$7,Vertex!F32,Vertex!F97,Vertex!F162,Normal!F32,Normal!F97,Normal!F162)*255)</f>
        <v>69</v>
      </c>
      <c r="G32">
        <f>INT(shadex('Shade - 1'!$D$9,'Shade - 1'!$E$9,'Shade - 1'!$F$9,'Shade - 1'!$D$7,Vertex!G32,Vertex!G97,Vertex!G162,Normal!G32,Normal!G97,Normal!G162)*255)</f>
        <v>66</v>
      </c>
      <c r="H32">
        <f>INT(shadex('Shade - 1'!$D$9,'Shade - 1'!$E$9,'Shade - 1'!$F$9,'Shade - 1'!$D$7,Vertex!H32,Vertex!H97,Vertex!H162,Normal!H32,Normal!H97,Normal!H162)*255)</f>
        <v>61</v>
      </c>
      <c r="I32">
        <f>INT(shadex('Shade - 1'!$D$9,'Shade - 1'!$E$9,'Shade - 1'!$F$9,'Shade - 1'!$D$7,Vertex!I32,Vertex!I97,Vertex!I162,Normal!I32,Normal!I97,Normal!I162)*255)</f>
        <v>40</v>
      </c>
      <c r="J32">
        <f>INT(shadex('Shade - 1'!$D$9,'Shade - 1'!$E$9,'Shade - 1'!$F$9,'Shade - 1'!$D$7,Vertex!J32,Vertex!J97,Vertex!J162,Normal!J32,Normal!J97,Normal!J162)*255)</f>
        <v>0</v>
      </c>
      <c r="K32">
        <f>INT(shadex('Shade - 1'!$D$9,'Shade - 1'!$E$9,'Shade - 1'!$F$9,'Shade - 1'!$D$7,Vertex!K32,Vertex!K97,Vertex!K162,Normal!K32,Normal!K97,Normal!K162)*255)</f>
        <v>26</v>
      </c>
      <c r="L32">
        <f>INT(shadex('Shade - 1'!$D$9,'Shade - 1'!$E$9,'Shade - 1'!$F$9,'Shade - 1'!$D$7,Vertex!L32,Vertex!L97,Vertex!L162,Normal!L32,Normal!L97,Normal!L162)*255)</f>
        <v>52</v>
      </c>
      <c r="M32">
        <f>INT(shadex('Shade - 1'!$D$9,'Shade - 1'!$E$9,'Shade - 1'!$F$9,'Shade - 1'!$D$7,Vertex!M32,Vertex!M97,Vertex!M162,Normal!M32,Normal!M97,Normal!M162)*255)</f>
        <v>48</v>
      </c>
      <c r="N32">
        <f>INT(shadex('Shade - 1'!$D$9,'Shade - 1'!$E$9,'Shade - 1'!$F$9,'Shade - 1'!$D$7,Vertex!N32,Vertex!N97,Vertex!N162,Normal!N32,Normal!N97,Normal!N162)*255)</f>
        <v>26</v>
      </c>
      <c r="O32">
        <f>INT(shadex('Shade - 1'!$D$9,'Shade - 1'!$E$9,'Shade - 1'!$F$9,'Shade - 1'!$D$7,Vertex!O32,Vertex!O97,Vertex!O162,Normal!O32,Normal!O97,Normal!O162)*255)</f>
        <v>0</v>
      </c>
      <c r="P32">
        <f>INT(shadex('Shade - 1'!$D$9,'Shade - 1'!$E$9,'Shade - 1'!$F$9,'Shade - 1'!$D$7,Vertex!P32,Vertex!P97,Vertex!P162,Normal!P32,Normal!P97,Normal!P162)*255)</f>
        <v>0</v>
      </c>
      <c r="Q32">
        <f>INT(shadex('Shade - 1'!$D$9,'Shade - 1'!$E$9,'Shade - 1'!$F$9,'Shade - 1'!$D$7,Vertex!Q32,Vertex!Q97,Vertex!Q162,Normal!Q32,Normal!Q97,Normal!Q162)*255)</f>
        <v>71</v>
      </c>
      <c r="R32">
        <f>INT(shadex('Shade - 1'!$D$9,'Shade - 1'!$E$9,'Shade - 1'!$F$9,'Shade - 1'!$D$7,Vertex!R32,Vertex!R97,Vertex!R162,Normal!R32,Normal!R97,Normal!R162)*255)</f>
        <v>94</v>
      </c>
      <c r="S32">
        <f>INT(shadex('Shade - 1'!$D$9,'Shade - 1'!$E$9,'Shade - 1'!$F$9,'Shade - 1'!$D$7,Vertex!S32,Vertex!S97,Vertex!S162,Normal!S32,Normal!S97,Normal!S162)*255)</f>
        <v>84</v>
      </c>
      <c r="T32">
        <f>INT(shadex('Shade - 1'!$D$9,'Shade - 1'!$E$9,'Shade - 1'!$F$9,'Shade - 1'!$D$7,Vertex!T32,Vertex!T97,Vertex!T162,Normal!T32,Normal!T97,Normal!T162)*255)</f>
        <v>75</v>
      </c>
      <c r="U32">
        <f>INT(shadex('Shade - 1'!$D$9,'Shade - 1'!$E$9,'Shade - 1'!$F$9,'Shade - 1'!$D$7,Vertex!U32,Vertex!U97,Vertex!U162,Normal!U32,Normal!U97,Normal!U162)*255)</f>
        <v>67</v>
      </c>
      <c r="V32">
        <f>INT(shadex('Shade - 1'!$D$9,'Shade - 1'!$E$9,'Shade - 1'!$F$9,'Shade - 1'!$D$7,Vertex!V32,Vertex!V97,Vertex!V162,Normal!V32,Normal!V97,Normal!V162)*255)</f>
        <v>72</v>
      </c>
      <c r="W32">
        <f>INT(shadex('Shade - 1'!$D$9,'Shade - 1'!$E$9,'Shade - 1'!$F$9,'Shade - 1'!$D$7,Vertex!W32,Vertex!W97,Vertex!W162,Normal!W32,Normal!W97,Normal!W162)*255)</f>
        <v>77</v>
      </c>
      <c r="X32">
        <f>INT(shadex('Shade - 1'!$D$9,'Shade - 1'!$E$9,'Shade - 1'!$F$9,'Shade - 1'!$D$7,Vertex!X32,Vertex!X97,Vertex!X162,Normal!X32,Normal!X97,Normal!X162)*255)</f>
        <v>65</v>
      </c>
      <c r="Y32">
        <f>INT(shadex('Shade - 1'!$D$9,'Shade - 1'!$E$9,'Shade - 1'!$F$9,'Shade - 1'!$D$7,Vertex!Y32,Vertex!Y97,Vertex!Y162,Normal!Y32,Normal!Y97,Normal!Y162)*255)</f>
        <v>71</v>
      </c>
      <c r="Z32">
        <f>INT(shadex('Shade - 1'!$D$9,'Shade - 1'!$E$9,'Shade - 1'!$F$9,'Shade - 1'!$D$7,Vertex!Z32,Vertex!Z97,Vertex!Z162,Normal!Z32,Normal!Z97,Normal!Z162)*255)</f>
        <v>72</v>
      </c>
      <c r="AA32">
        <f>INT(shadex('Shade - 1'!$D$9,'Shade - 1'!$E$9,'Shade - 1'!$F$9,'Shade - 1'!$D$7,Vertex!AA32,Vertex!AA97,Vertex!AA162,Normal!AA32,Normal!AA97,Normal!AA162)*255)</f>
        <v>74</v>
      </c>
      <c r="AB32">
        <f>INT(shadex('Shade - 1'!$D$9,'Shade - 1'!$E$9,'Shade - 1'!$F$9,'Shade - 1'!$D$7,Vertex!AB32,Vertex!AB97,Vertex!AB162,Normal!AB32,Normal!AB97,Normal!AB162)*255)</f>
        <v>75</v>
      </c>
      <c r="AC32">
        <f>INT(shadex('Shade - 1'!$D$9,'Shade - 1'!$E$9,'Shade - 1'!$F$9,'Shade - 1'!$D$7,Vertex!AC32,Vertex!AC97,Vertex!AC162,Normal!AC32,Normal!AC97,Normal!AC162)*255)</f>
        <v>68</v>
      </c>
      <c r="AD32">
        <f>INT(shadex('Shade - 1'!$D$9,'Shade - 1'!$E$9,'Shade - 1'!$F$9,'Shade - 1'!$D$7,Vertex!AD32,Vertex!AD97,Vertex!AD162,Normal!AD32,Normal!AD97,Normal!AD162)*255)</f>
        <v>75</v>
      </c>
      <c r="AE32">
        <f>INT(shadex('Shade - 1'!$D$9,'Shade - 1'!$E$9,'Shade - 1'!$F$9,'Shade - 1'!$D$7,Vertex!AE32,Vertex!AE97,Vertex!AE162,Normal!AE32,Normal!AE97,Normal!AE162)*255)</f>
        <v>72</v>
      </c>
      <c r="AF32">
        <f>INT(shadex('Shade - 1'!$D$9,'Shade - 1'!$E$9,'Shade - 1'!$F$9,'Shade - 1'!$D$7,Vertex!AF32,Vertex!AF97,Vertex!AF162,Normal!AF32,Normal!AF97,Normal!AF162)*255)</f>
        <v>52</v>
      </c>
      <c r="AG32">
        <f>INT(shadex('Shade - 1'!$D$9,'Shade - 1'!$E$9,'Shade - 1'!$F$9,'Shade - 1'!$D$7,Vertex!AG32,Vertex!AG97,Vertex!AG162,Normal!AG32,Normal!AG97,Normal!AG162)*255)</f>
        <v>74</v>
      </c>
      <c r="AH32">
        <f>INT(shadex('Shade - 1'!$D$9,'Shade - 1'!$E$9,'Shade - 1'!$F$9,'Shade - 1'!$D$7,Vertex!AH32,Vertex!AH97,Vertex!AH162,Normal!AH32,Normal!AH97,Normal!AH162)*255)</f>
        <v>78</v>
      </c>
      <c r="AI32" s="4">
        <f>INT(shadex('Shade - 1'!$D$9,'Shade - 1'!$E$9,'Shade - 1'!$F$9,'Shade - 1'!$D$7,Vertex!AI32,Vertex!AI97,Vertex!AI162,Normal!AI32,Normal!AI97,Normal!AI162)*255)</f>
        <v>87</v>
      </c>
      <c r="AJ32" s="4">
        <f>INT(shadex('Shade - 1'!$D$9,'Shade - 1'!$E$9,'Shade - 1'!$F$9,'Shade - 1'!$D$7,Vertex!AJ32,Vertex!AJ97,Vertex!AJ162,Normal!AJ32,Normal!AJ97,Normal!AJ162)*255)</f>
        <v>87</v>
      </c>
      <c r="AK32" s="4">
        <f>INT(shadex('Shade - 1'!$D$9,'Shade - 1'!$E$9,'Shade - 1'!$F$9,'Shade - 1'!$D$7,Vertex!AK32,Vertex!AK97,Vertex!AK162,Normal!AK32,Normal!AK97,Normal!AK162)*255)</f>
        <v>81</v>
      </c>
      <c r="AL32" s="4">
        <f>INT(shadex('Shade - 1'!$D$9,'Shade - 1'!$E$9,'Shade - 1'!$F$9,'Shade - 1'!$D$7,Vertex!AL32,Vertex!AL97,Vertex!AL162,Normal!AL32,Normal!AL97,Normal!AL162)*255)</f>
        <v>85</v>
      </c>
      <c r="AM32" s="4">
        <f>INT(shadex('Shade - 1'!$D$9,'Shade - 1'!$E$9,'Shade - 1'!$F$9,'Shade - 1'!$D$7,Vertex!AM32,Vertex!AM97,Vertex!AM162,Normal!AM32,Normal!AM97,Normal!AM162)*255)</f>
        <v>74</v>
      </c>
      <c r="AN32" s="4">
        <f>INT(shadex('Shade - 1'!$D$9,'Shade - 1'!$E$9,'Shade - 1'!$F$9,'Shade - 1'!$D$7,Vertex!AN32,Vertex!AN97,Vertex!AN162,Normal!AN32,Normal!AN97,Normal!AN162)*255)</f>
        <v>65</v>
      </c>
      <c r="AO32" s="4">
        <f>INT(shadex('Shade - 1'!$D$9,'Shade - 1'!$E$9,'Shade - 1'!$F$9,'Shade - 1'!$D$7,Vertex!AO32,Vertex!AO97,Vertex!AO162,Normal!AO32,Normal!AO97,Normal!AO162)*255)</f>
        <v>77</v>
      </c>
      <c r="AP32" s="4">
        <f>INT(shadex('Shade - 1'!$D$9,'Shade - 1'!$E$9,'Shade - 1'!$F$9,'Shade - 1'!$D$7,Vertex!AP32,Vertex!AP97,Vertex!AP162,Normal!AP32,Normal!AP97,Normal!AP162)*255)</f>
        <v>85</v>
      </c>
      <c r="AQ32" s="4">
        <f>INT(shadex('Shade - 1'!$D$9,'Shade - 1'!$E$9,'Shade - 1'!$F$9,'Shade - 1'!$D$7,Vertex!AQ32,Vertex!AQ97,Vertex!AQ162,Normal!AQ32,Normal!AQ97,Normal!AQ162)*255)</f>
        <v>87</v>
      </c>
      <c r="AR32" s="4">
        <f>INT(shadex('Shade - 1'!$D$9,'Shade - 1'!$E$9,'Shade - 1'!$F$9,'Shade - 1'!$D$7,Vertex!AR32,Vertex!AR97,Vertex!AR162,Normal!AR32,Normal!AR97,Normal!AR162)*255)</f>
        <v>99</v>
      </c>
      <c r="AS32" s="4">
        <f>INT(shadex('Shade - 1'!$D$9,'Shade - 1'!$E$9,'Shade - 1'!$F$9,'Shade - 1'!$D$7,Vertex!AS32,Vertex!AS97,Vertex!AS162,Normal!AS32,Normal!AS97,Normal!AS162)*255)</f>
        <v>93</v>
      </c>
      <c r="AT32" s="4">
        <f>INT(shadex('Shade - 1'!$D$9,'Shade - 1'!$E$9,'Shade - 1'!$F$9,'Shade - 1'!$D$7,Vertex!AT32,Vertex!AT97,Vertex!AT162,Normal!AT32,Normal!AT97,Normal!AT162)*255)</f>
        <v>80</v>
      </c>
      <c r="AU32" s="4">
        <f>INT(shadex('Shade - 1'!$D$9,'Shade - 1'!$E$9,'Shade - 1'!$F$9,'Shade - 1'!$D$7,Vertex!AU32,Vertex!AU97,Vertex!AU162,Normal!AU32,Normal!AU97,Normal!AU162)*255)</f>
        <v>80</v>
      </c>
      <c r="AV32" s="4">
        <f>INT(shadex('Shade - 1'!$D$9,'Shade - 1'!$E$9,'Shade - 1'!$F$9,'Shade - 1'!$D$7,Vertex!AV32,Vertex!AV97,Vertex!AV162,Normal!AV32,Normal!AV97,Normal!AV162)*255)</f>
        <v>89</v>
      </c>
      <c r="AW32" s="4">
        <f>INT(shadex('Shade - 1'!$D$9,'Shade - 1'!$E$9,'Shade - 1'!$F$9,'Shade - 1'!$D$7,Vertex!AW32,Vertex!AW97,Vertex!AW162,Normal!AW32,Normal!AW97,Normal!AW162)*255)</f>
        <v>85</v>
      </c>
      <c r="AX32" s="4">
        <f>INT(shadex('Shade - 1'!$D$9,'Shade - 1'!$E$9,'Shade - 1'!$F$9,'Shade - 1'!$D$7,Vertex!AX32,Vertex!AX97,Vertex!AX162,Normal!AX32,Normal!AX97,Normal!AX162)*255)</f>
        <v>77</v>
      </c>
      <c r="AY32" s="4">
        <f>INT(shadex('Shade - 1'!$D$9,'Shade - 1'!$E$9,'Shade - 1'!$F$9,'Shade - 1'!$D$7,Vertex!AY32,Vertex!AY97,Vertex!AY162,Normal!AY32,Normal!AY97,Normal!AY162)*255)</f>
        <v>89</v>
      </c>
      <c r="AZ32" s="4">
        <f>INT(shadex('Shade - 1'!$D$9,'Shade - 1'!$E$9,'Shade - 1'!$F$9,'Shade - 1'!$D$7,Vertex!AZ32,Vertex!AZ97,Vertex!AZ162,Normal!AZ32,Normal!AZ97,Normal!AZ162)*255)</f>
        <v>95</v>
      </c>
      <c r="BA32" s="4">
        <f>INT(shadex('Shade - 1'!$D$9,'Shade - 1'!$E$9,'Shade - 1'!$F$9,'Shade - 1'!$D$7,Vertex!BA32,Vertex!BA97,Vertex!BA162,Normal!BA32,Normal!BA97,Normal!BA162)*255)</f>
        <v>97</v>
      </c>
      <c r="BB32" s="4">
        <f>INT(shadex('Shade - 1'!$D$9,'Shade - 1'!$E$9,'Shade - 1'!$F$9,'Shade - 1'!$D$7,Vertex!BB32,Vertex!BB97,Vertex!BB162,Normal!BB32,Normal!BB97,Normal!BB162)*255)</f>
        <v>97</v>
      </c>
      <c r="BC32" s="4">
        <f>INT(shadex('Shade - 1'!$D$9,'Shade - 1'!$E$9,'Shade - 1'!$F$9,'Shade - 1'!$D$7,Vertex!BC32,Vertex!BC97,Vertex!BC162,Normal!BC32,Normal!BC97,Normal!BC162)*255)</f>
        <v>94</v>
      </c>
      <c r="BD32" s="4">
        <f>INT(shadex('Shade - 1'!$D$9,'Shade - 1'!$E$9,'Shade - 1'!$F$9,'Shade - 1'!$D$7,Vertex!BD32,Vertex!BD97,Vertex!BD162,Normal!BD32,Normal!BD97,Normal!BD162)*255)</f>
        <v>89</v>
      </c>
      <c r="BE32" s="4">
        <f>INT(shadex('Shade - 1'!$D$9,'Shade - 1'!$E$9,'Shade - 1'!$F$9,'Shade - 1'!$D$7,Vertex!BE32,Vertex!BE97,Vertex!BE162,Normal!BE32,Normal!BE97,Normal!BE162)*255)</f>
        <v>94</v>
      </c>
      <c r="BF32" s="4">
        <f>INT(shadex('Shade - 1'!$D$9,'Shade - 1'!$E$9,'Shade - 1'!$F$9,'Shade - 1'!$D$7,Vertex!BF32,Vertex!BF97,Vertex!BF162,Normal!BF32,Normal!BF97,Normal!BF162)*255)</f>
        <v>97</v>
      </c>
      <c r="BG32" s="4">
        <f>INT(shadex('Shade - 1'!$D$9,'Shade - 1'!$E$9,'Shade - 1'!$F$9,'Shade - 1'!$D$7,Vertex!BG32,Vertex!BG97,Vertex!BG162,Normal!BG32,Normal!BG97,Normal!BG162)*255)</f>
        <v>99</v>
      </c>
      <c r="BH32" s="4">
        <f>INT(shadex('Shade - 1'!$D$9,'Shade - 1'!$E$9,'Shade - 1'!$F$9,'Shade - 1'!$D$7,Vertex!BH32,Vertex!BH97,Vertex!BH162,Normal!BH32,Normal!BH97,Normal!BH162)*255)</f>
        <v>99</v>
      </c>
      <c r="BI32" s="4">
        <f>INT(shadex('Shade - 1'!$D$9,'Shade - 1'!$E$9,'Shade - 1'!$F$9,'Shade - 1'!$D$7,Vertex!BI32,Vertex!BI97,Vertex!BI162,Normal!BI32,Normal!BI97,Normal!BI162)*255)</f>
        <v>99</v>
      </c>
      <c r="BJ32" s="4">
        <f>INT(shadex('Shade - 1'!$D$9,'Shade - 1'!$E$9,'Shade - 1'!$F$9,'Shade - 1'!$D$7,Vertex!BJ32,Vertex!BJ97,Vertex!BJ162,Normal!BJ32,Normal!BJ97,Normal!BJ162)*255)</f>
        <v>95</v>
      </c>
      <c r="BK32" s="4">
        <f>INT(shadex('Shade - 1'!$D$9,'Shade - 1'!$E$9,'Shade - 1'!$F$9,'Shade - 1'!$D$7,Vertex!BK32,Vertex!BK97,Vertex!BK162,Normal!BK32,Normal!BK97,Normal!BK162)*255)</f>
        <v>95</v>
      </c>
      <c r="BL32" s="4">
        <f>INT(shadex('Shade - 1'!$D$9,'Shade - 1'!$E$9,'Shade - 1'!$F$9,'Shade - 1'!$D$7,Vertex!BL32,Vertex!BL97,Vertex!BL162,Normal!BL32,Normal!BL97,Normal!BL162)*255)</f>
        <v>98</v>
      </c>
    </row>
    <row r="33" spans="1:64" x14ac:dyDescent="0.25">
      <c r="A33">
        <f>INT(shadex('Shade - 1'!$D$9,'Shade - 1'!$E$9,'Shade - 1'!$F$9,'Shade - 1'!$D$7,Vertex!A33,Vertex!A98,Vertex!A163,Normal!A33,Normal!A98,Normal!A163)*255)</f>
        <v>83</v>
      </c>
      <c r="B33">
        <f>INT(shadex('Shade - 1'!$D$9,'Shade - 1'!$E$9,'Shade - 1'!$F$9,'Shade - 1'!$D$7,Vertex!B33,Vertex!B98,Vertex!B163,Normal!B33,Normal!B98,Normal!B163)*255)</f>
        <v>82</v>
      </c>
      <c r="C33">
        <f>INT(shadex('Shade - 1'!$D$9,'Shade - 1'!$E$9,'Shade - 1'!$F$9,'Shade - 1'!$D$7,Vertex!C33,Vertex!C98,Vertex!C163,Normal!C33,Normal!C98,Normal!C163)*255)</f>
        <v>85</v>
      </c>
      <c r="D33">
        <f>INT(shadex('Shade - 1'!$D$9,'Shade - 1'!$E$9,'Shade - 1'!$F$9,'Shade - 1'!$D$7,Vertex!D33,Vertex!D98,Vertex!D163,Normal!D33,Normal!D98,Normal!D163)*255)</f>
        <v>94</v>
      </c>
      <c r="E33">
        <f>INT(shadex('Shade - 1'!$D$9,'Shade - 1'!$E$9,'Shade - 1'!$F$9,'Shade - 1'!$D$7,Vertex!E33,Vertex!E98,Vertex!E163,Normal!E33,Normal!E98,Normal!E163)*255)</f>
        <v>92</v>
      </c>
      <c r="F33">
        <f>INT(shadex('Shade - 1'!$D$9,'Shade - 1'!$E$9,'Shade - 1'!$F$9,'Shade - 1'!$D$7,Vertex!F33,Vertex!F98,Vertex!F163,Normal!F33,Normal!F98,Normal!F163)*255)</f>
        <v>88</v>
      </c>
      <c r="G33">
        <f>INT(shadex('Shade - 1'!$D$9,'Shade - 1'!$E$9,'Shade - 1'!$F$9,'Shade - 1'!$D$7,Vertex!G33,Vertex!G98,Vertex!G163,Normal!G33,Normal!G98,Normal!G163)*255)</f>
        <v>80</v>
      </c>
      <c r="H33">
        <f>INT(shadex('Shade - 1'!$D$9,'Shade - 1'!$E$9,'Shade - 1'!$F$9,'Shade - 1'!$D$7,Vertex!H33,Vertex!H98,Vertex!H163,Normal!H33,Normal!H98,Normal!H163)*255)</f>
        <v>71</v>
      </c>
      <c r="I33">
        <f>INT(shadex('Shade - 1'!$D$9,'Shade - 1'!$E$9,'Shade - 1'!$F$9,'Shade - 1'!$D$7,Vertex!I33,Vertex!I98,Vertex!I163,Normal!I33,Normal!I98,Normal!I163)*255)</f>
        <v>69</v>
      </c>
      <c r="J33">
        <f>INT(shadex('Shade - 1'!$D$9,'Shade - 1'!$E$9,'Shade - 1'!$F$9,'Shade - 1'!$D$7,Vertex!J33,Vertex!J98,Vertex!J163,Normal!J33,Normal!J98,Normal!J163)*255)</f>
        <v>31</v>
      </c>
      <c r="K33">
        <f>INT(shadex('Shade - 1'!$D$9,'Shade - 1'!$E$9,'Shade - 1'!$F$9,'Shade - 1'!$D$7,Vertex!K33,Vertex!K98,Vertex!K163,Normal!K33,Normal!K98,Normal!K163)*255)</f>
        <v>29</v>
      </c>
      <c r="L33">
        <f>INT(shadex('Shade - 1'!$D$9,'Shade - 1'!$E$9,'Shade - 1'!$F$9,'Shade - 1'!$D$7,Vertex!L33,Vertex!L98,Vertex!L163,Normal!L33,Normal!L98,Normal!L163)*255)</f>
        <v>53</v>
      </c>
      <c r="M33">
        <f>INT(shadex('Shade - 1'!$D$9,'Shade - 1'!$E$9,'Shade - 1'!$F$9,'Shade - 1'!$D$7,Vertex!M33,Vertex!M98,Vertex!M163,Normal!M33,Normal!M98,Normal!M163)*255)</f>
        <v>45</v>
      </c>
      <c r="N33">
        <f>INT(shadex('Shade - 1'!$D$9,'Shade - 1'!$E$9,'Shade - 1'!$F$9,'Shade - 1'!$D$7,Vertex!N33,Vertex!N98,Vertex!N163,Normal!N33,Normal!N98,Normal!N163)*255)</f>
        <v>39</v>
      </c>
      <c r="O33">
        <f>INT(shadex('Shade - 1'!$D$9,'Shade - 1'!$E$9,'Shade - 1'!$F$9,'Shade - 1'!$D$7,Vertex!O33,Vertex!O98,Vertex!O163,Normal!O33,Normal!O98,Normal!O163)*255)</f>
        <v>0</v>
      </c>
      <c r="P33">
        <f>INT(shadex('Shade - 1'!$D$9,'Shade - 1'!$E$9,'Shade - 1'!$F$9,'Shade - 1'!$D$7,Vertex!P33,Vertex!P98,Vertex!P163,Normal!P33,Normal!P98,Normal!P163)*255)</f>
        <v>0</v>
      </c>
      <c r="Q33">
        <f>INT(shadex('Shade - 1'!$D$9,'Shade - 1'!$E$9,'Shade - 1'!$F$9,'Shade - 1'!$D$7,Vertex!Q33,Vertex!Q98,Vertex!Q163,Normal!Q33,Normal!Q98,Normal!Q163)*255)</f>
        <v>45</v>
      </c>
      <c r="R33">
        <f>INT(shadex('Shade - 1'!$D$9,'Shade - 1'!$E$9,'Shade - 1'!$F$9,'Shade - 1'!$D$7,Vertex!R33,Vertex!R98,Vertex!R163,Normal!R33,Normal!R98,Normal!R163)*255)</f>
        <v>90</v>
      </c>
      <c r="S33">
        <f>INT(shadex('Shade - 1'!$D$9,'Shade - 1'!$E$9,'Shade - 1'!$F$9,'Shade - 1'!$D$7,Vertex!S33,Vertex!S98,Vertex!S163,Normal!S33,Normal!S98,Normal!S163)*255)</f>
        <v>91</v>
      </c>
      <c r="T33">
        <f>INT(shadex('Shade - 1'!$D$9,'Shade - 1'!$E$9,'Shade - 1'!$F$9,'Shade - 1'!$D$7,Vertex!T33,Vertex!T98,Vertex!T163,Normal!T33,Normal!T98,Normal!T163)*255)</f>
        <v>89</v>
      </c>
      <c r="U33">
        <f>INT(shadex('Shade - 1'!$D$9,'Shade - 1'!$E$9,'Shade - 1'!$F$9,'Shade - 1'!$D$7,Vertex!U33,Vertex!U98,Vertex!U163,Normal!U33,Normal!U98,Normal!U163)*255)</f>
        <v>85</v>
      </c>
      <c r="V33">
        <f>INT(shadex('Shade - 1'!$D$9,'Shade - 1'!$E$9,'Shade - 1'!$F$9,'Shade - 1'!$D$7,Vertex!V33,Vertex!V98,Vertex!V163,Normal!V33,Normal!V98,Normal!V163)*255)</f>
        <v>80</v>
      </c>
      <c r="W33">
        <f>INT(shadex('Shade - 1'!$D$9,'Shade - 1'!$E$9,'Shade - 1'!$F$9,'Shade - 1'!$D$7,Vertex!W33,Vertex!W98,Vertex!W163,Normal!W33,Normal!W98,Normal!W163)*255)</f>
        <v>79</v>
      </c>
      <c r="X33">
        <f>INT(shadex('Shade - 1'!$D$9,'Shade - 1'!$E$9,'Shade - 1'!$F$9,'Shade - 1'!$D$7,Vertex!X33,Vertex!X98,Vertex!X163,Normal!X33,Normal!X98,Normal!X163)*255)</f>
        <v>68</v>
      </c>
      <c r="Y33">
        <f>INT(shadex('Shade - 1'!$D$9,'Shade - 1'!$E$9,'Shade - 1'!$F$9,'Shade - 1'!$D$7,Vertex!Y33,Vertex!Y98,Vertex!Y163,Normal!Y33,Normal!Y98,Normal!Y163)*255)</f>
        <v>69</v>
      </c>
      <c r="Z33">
        <f>INT(shadex('Shade - 1'!$D$9,'Shade - 1'!$E$9,'Shade - 1'!$F$9,'Shade - 1'!$D$7,Vertex!Z33,Vertex!Z98,Vertex!Z163,Normal!Z33,Normal!Z98,Normal!Z163)*255)</f>
        <v>73</v>
      </c>
      <c r="AA33">
        <f>INT(shadex('Shade - 1'!$D$9,'Shade - 1'!$E$9,'Shade - 1'!$F$9,'Shade - 1'!$D$7,Vertex!AA33,Vertex!AA98,Vertex!AA163,Normal!AA33,Normal!AA98,Normal!AA163)*255)</f>
        <v>92</v>
      </c>
      <c r="AB33">
        <f>INT(shadex('Shade - 1'!$D$9,'Shade - 1'!$E$9,'Shade - 1'!$F$9,'Shade - 1'!$D$7,Vertex!AB33,Vertex!AB98,Vertex!AB163,Normal!AB33,Normal!AB98,Normal!AB163)*255)</f>
        <v>96</v>
      </c>
      <c r="AC33">
        <f>INT(shadex('Shade - 1'!$D$9,'Shade - 1'!$E$9,'Shade - 1'!$F$9,'Shade - 1'!$D$7,Vertex!AC33,Vertex!AC98,Vertex!AC163,Normal!AC33,Normal!AC98,Normal!AC163)*255)</f>
        <v>91</v>
      </c>
      <c r="AD33">
        <f>INT(shadex('Shade - 1'!$D$9,'Shade - 1'!$E$9,'Shade - 1'!$F$9,'Shade - 1'!$D$7,Vertex!AD33,Vertex!AD98,Vertex!AD163,Normal!AD33,Normal!AD98,Normal!AD163)*255)</f>
        <v>77</v>
      </c>
      <c r="AE33">
        <f>INT(shadex('Shade - 1'!$D$9,'Shade - 1'!$E$9,'Shade - 1'!$F$9,'Shade - 1'!$D$7,Vertex!AE33,Vertex!AE98,Vertex!AE163,Normal!AE33,Normal!AE98,Normal!AE163)*255)</f>
        <v>73</v>
      </c>
      <c r="AF33">
        <f>INT(shadex('Shade - 1'!$D$9,'Shade - 1'!$E$9,'Shade - 1'!$F$9,'Shade - 1'!$D$7,Vertex!AF33,Vertex!AF98,Vertex!AF163,Normal!AF33,Normal!AF98,Normal!AF163)*255)</f>
        <v>62</v>
      </c>
      <c r="AG33">
        <f>INT(shadex('Shade - 1'!$D$9,'Shade - 1'!$E$9,'Shade - 1'!$F$9,'Shade - 1'!$D$7,Vertex!AG33,Vertex!AG98,Vertex!AG163,Normal!AG33,Normal!AG98,Normal!AG163)*255)</f>
        <v>73</v>
      </c>
      <c r="AH33">
        <f>INT(shadex('Shade - 1'!$D$9,'Shade - 1'!$E$9,'Shade - 1'!$F$9,'Shade - 1'!$D$7,Vertex!AH33,Vertex!AH98,Vertex!AH163,Normal!AH33,Normal!AH98,Normal!AH163)*255)</f>
        <v>73</v>
      </c>
      <c r="AI33" s="4">
        <f>INT(shadex('Shade - 1'!$D$9,'Shade - 1'!$E$9,'Shade - 1'!$F$9,'Shade - 1'!$D$7,Vertex!AI33,Vertex!AI98,Vertex!AI163,Normal!AI33,Normal!AI98,Normal!AI163)*255)</f>
        <v>76</v>
      </c>
      <c r="AJ33" s="4">
        <f>INT(shadex('Shade - 1'!$D$9,'Shade - 1'!$E$9,'Shade - 1'!$F$9,'Shade - 1'!$D$7,Vertex!AJ33,Vertex!AJ98,Vertex!AJ163,Normal!AJ33,Normal!AJ98,Normal!AJ163)*255)</f>
        <v>77</v>
      </c>
      <c r="AK33" s="4">
        <f>INT(shadex('Shade - 1'!$D$9,'Shade - 1'!$E$9,'Shade - 1'!$F$9,'Shade - 1'!$D$7,Vertex!AK33,Vertex!AK98,Vertex!AK163,Normal!AK33,Normal!AK98,Normal!AK163)*255)</f>
        <v>73</v>
      </c>
      <c r="AL33" s="4">
        <f>INT(shadex('Shade - 1'!$D$9,'Shade - 1'!$E$9,'Shade - 1'!$F$9,'Shade - 1'!$D$7,Vertex!AL33,Vertex!AL98,Vertex!AL163,Normal!AL33,Normal!AL98,Normal!AL163)*255)</f>
        <v>76</v>
      </c>
      <c r="AM33" s="4">
        <f>INT(shadex('Shade - 1'!$D$9,'Shade - 1'!$E$9,'Shade - 1'!$F$9,'Shade - 1'!$D$7,Vertex!AM33,Vertex!AM98,Vertex!AM163,Normal!AM33,Normal!AM98,Normal!AM163)*255)</f>
        <v>65</v>
      </c>
      <c r="AN33" s="4">
        <f>INT(shadex('Shade - 1'!$D$9,'Shade - 1'!$E$9,'Shade - 1'!$F$9,'Shade - 1'!$D$7,Vertex!AN33,Vertex!AN98,Vertex!AN163,Normal!AN33,Normal!AN98,Normal!AN163)*255)</f>
        <v>52</v>
      </c>
      <c r="AO33" s="4">
        <f>INT(shadex('Shade - 1'!$D$9,'Shade - 1'!$E$9,'Shade - 1'!$F$9,'Shade - 1'!$D$7,Vertex!AO33,Vertex!AO98,Vertex!AO163,Normal!AO33,Normal!AO98,Normal!AO163)*255)</f>
        <v>79</v>
      </c>
      <c r="AP33" s="4">
        <f>INT(shadex('Shade - 1'!$D$9,'Shade - 1'!$E$9,'Shade - 1'!$F$9,'Shade - 1'!$D$7,Vertex!AP33,Vertex!AP98,Vertex!AP163,Normal!AP33,Normal!AP98,Normal!AP163)*255)</f>
        <v>86</v>
      </c>
      <c r="AQ33" s="4">
        <f>INT(shadex('Shade - 1'!$D$9,'Shade - 1'!$E$9,'Shade - 1'!$F$9,'Shade - 1'!$D$7,Vertex!AQ33,Vertex!AQ98,Vertex!AQ163,Normal!AQ33,Normal!AQ98,Normal!AQ163)*255)</f>
        <v>82</v>
      </c>
      <c r="AR33" s="4">
        <f>INT(shadex('Shade - 1'!$D$9,'Shade - 1'!$E$9,'Shade - 1'!$F$9,'Shade - 1'!$D$7,Vertex!AR33,Vertex!AR98,Vertex!AR163,Normal!AR33,Normal!AR98,Normal!AR163)*255)</f>
        <v>72</v>
      </c>
      <c r="AS33" s="4">
        <f>INT(shadex('Shade - 1'!$D$9,'Shade - 1'!$E$9,'Shade - 1'!$F$9,'Shade - 1'!$D$7,Vertex!AS33,Vertex!AS98,Vertex!AS163,Normal!AS33,Normal!AS98,Normal!AS163)*255)</f>
        <v>87</v>
      </c>
      <c r="AT33" s="4">
        <f>INT(shadex('Shade - 1'!$D$9,'Shade - 1'!$E$9,'Shade - 1'!$F$9,'Shade - 1'!$D$7,Vertex!AT33,Vertex!AT98,Vertex!AT163,Normal!AT33,Normal!AT98,Normal!AT163)*255)</f>
        <v>91</v>
      </c>
      <c r="AU33" s="4">
        <f>INT(shadex('Shade - 1'!$D$9,'Shade - 1'!$E$9,'Shade - 1'!$F$9,'Shade - 1'!$D$7,Vertex!AU33,Vertex!AU98,Vertex!AU163,Normal!AU33,Normal!AU98,Normal!AU163)*255)</f>
        <v>80</v>
      </c>
      <c r="AV33" s="4">
        <f>INT(shadex('Shade - 1'!$D$9,'Shade - 1'!$E$9,'Shade - 1'!$F$9,'Shade - 1'!$D$7,Vertex!AV33,Vertex!AV98,Vertex!AV163,Normal!AV33,Normal!AV98,Normal!AV163)*255)</f>
        <v>94</v>
      </c>
      <c r="AW33" s="4">
        <f>INT(shadex('Shade - 1'!$D$9,'Shade - 1'!$E$9,'Shade - 1'!$F$9,'Shade - 1'!$D$7,Vertex!AW33,Vertex!AW98,Vertex!AW163,Normal!AW33,Normal!AW98,Normal!AW163)*255)</f>
        <v>99</v>
      </c>
      <c r="AX33" s="4">
        <f>INT(shadex('Shade - 1'!$D$9,'Shade - 1'!$E$9,'Shade - 1'!$F$9,'Shade - 1'!$D$7,Vertex!AX33,Vertex!AX98,Vertex!AX163,Normal!AX33,Normal!AX98,Normal!AX163)*255)</f>
        <v>91</v>
      </c>
      <c r="AY33" s="4">
        <f>INT(shadex('Shade - 1'!$D$9,'Shade - 1'!$E$9,'Shade - 1'!$F$9,'Shade - 1'!$D$7,Vertex!AY33,Vertex!AY98,Vertex!AY163,Normal!AY33,Normal!AY98,Normal!AY163)*255)</f>
        <v>88</v>
      </c>
      <c r="AZ33" s="4">
        <f>INT(shadex('Shade - 1'!$D$9,'Shade - 1'!$E$9,'Shade - 1'!$F$9,'Shade - 1'!$D$7,Vertex!AZ33,Vertex!AZ98,Vertex!AZ163,Normal!AZ33,Normal!AZ98,Normal!AZ163)*255)</f>
        <v>91</v>
      </c>
      <c r="BA33" s="4">
        <f>INT(shadex('Shade - 1'!$D$9,'Shade - 1'!$E$9,'Shade - 1'!$F$9,'Shade - 1'!$D$7,Vertex!BA33,Vertex!BA98,Vertex!BA163,Normal!BA33,Normal!BA98,Normal!BA163)*255)</f>
        <v>94</v>
      </c>
      <c r="BB33" s="4">
        <f>INT(shadex('Shade - 1'!$D$9,'Shade - 1'!$E$9,'Shade - 1'!$F$9,'Shade - 1'!$D$7,Vertex!BB33,Vertex!BB98,Vertex!BB163,Normal!BB33,Normal!BB98,Normal!BB163)*255)</f>
        <v>98</v>
      </c>
      <c r="BC33" s="4">
        <f>INT(shadex('Shade - 1'!$D$9,'Shade - 1'!$E$9,'Shade - 1'!$F$9,'Shade - 1'!$D$7,Vertex!BC33,Vertex!BC98,Vertex!BC163,Normal!BC33,Normal!BC98,Normal!BC163)*255)</f>
        <v>97</v>
      </c>
      <c r="BD33" s="4">
        <f>INT(shadex('Shade - 1'!$D$9,'Shade - 1'!$E$9,'Shade - 1'!$F$9,'Shade - 1'!$D$7,Vertex!BD33,Vertex!BD98,Vertex!BD163,Normal!BD33,Normal!BD98,Normal!BD163)*255)</f>
        <v>97</v>
      </c>
      <c r="BE33" s="4">
        <f>INT(shadex('Shade - 1'!$D$9,'Shade - 1'!$E$9,'Shade - 1'!$F$9,'Shade - 1'!$D$7,Vertex!BE33,Vertex!BE98,Vertex!BE163,Normal!BE33,Normal!BE98,Normal!BE163)*255)</f>
        <v>97</v>
      </c>
      <c r="BF33" s="4">
        <f>INT(shadex('Shade - 1'!$D$9,'Shade - 1'!$E$9,'Shade - 1'!$F$9,'Shade - 1'!$D$7,Vertex!BF33,Vertex!BF98,Vertex!BF163,Normal!BF33,Normal!BF98,Normal!BF163)*255)</f>
        <v>91</v>
      </c>
      <c r="BG33" s="4">
        <f>INT(shadex('Shade - 1'!$D$9,'Shade - 1'!$E$9,'Shade - 1'!$F$9,'Shade - 1'!$D$7,Vertex!BG33,Vertex!BG98,Vertex!BG163,Normal!BG33,Normal!BG98,Normal!BG163)*255)</f>
        <v>89</v>
      </c>
      <c r="BH33" s="4">
        <f>INT(shadex('Shade - 1'!$D$9,'Shade - 1'!$E$9,'Shade - 1'!$F$9,'Shade - 1'!$D$7,Vertex!BH33,Vertex!BH98,Vertex!BH163,Normal!BH33,Normal!BH98,Normal!BH163)*255)</f>
        <v>95</v>
      </c>
      <c r="BI33" s="4">
        <f>INT(shadex('Shade - 1'!$D$9,'Shade - 1'!$E$9,'Shade - 1'!$F$9,'Shade - 1'!$D$7,Vertex!BI33,Vertex!BI98,Vertex!BI163,Normal!BI33,Normal!BI98,Normal!BI163)*255)</f>
        <v>95</v>
      </c>
      <c r="BJ33" s="4">
        <f>INT(shadex('Shade - 1'!$D$9,'Shade - 1'!$E$9,'Shade - 1'!$F$9,'Shade - 1'!$D$7,Vertex!BJ33,Vertex!BJ98,Vertex!BJ163,Normal!BJ33,Normal!BJ98,Normal!BJ163)*255)</f>
        <v>96</v>
      </c>
      <c r="BK33" s="4">
        <f>INT(shadex('Shade - 1'!$D$9,'Shade - 1'!$E$9,'Shade - 1'!$F$9,'Shade - 1'!$D$7,Vertex!BK33,Vertex!BK98,Vertex!BK163,Normal!BK33,Normal!BK98,Normal!BK163)*255)</f>
        <v>98</v>
      </c>
      <c r="BL33" s="4">
        <f>INT(shadex('Shade - 1'!$D$9,'Shade - 1'!$E$9,'Shade - 1'!$F$9,'Shade - 1'!$D$7,Vertex!BL33,Vertex!BL98,Vertex!BL163,Normal!BL33,Normal!BL98,Normal!BL163)*255)</f>
        <v>98</v>
      </c>
    </row>
    <row r="34" spans="1:64" x14ac:dyDescent="0.25">
      <c r="A34">
        <f>INT(shadex('Shade - 1'!$D$9,'Shade - 1'!$E$9,'Shade - 1'!$F$9,'Shade - 1'!$D$7,Vertex!A34,Vertex!A99,Vertex!A164,Normal!A34,Normal!A99,Normal!A164)*255)</f>
        <v>96</v>
      </c>
      <c r="B34">
        <f>INT(shadex('Shade - 1'!$D$9,'Shade - 1'!$E$9,'Shade - 1'!$F$9,'Shade - 1'!$D$7,Vertex!B34,Vertex!B99,Vertex!B164,Normal!B34,Normal!B99,Normal!B164)*255)</f>
        <v>91</v>
      </c>
      <c r="C34">
        <f>INT(shadex('Shade - 1'!$D$9,'Shade - 1'!$E$9,'Shade - 1'!$F$9,'Shade - 1'!$D$7,Vertex!C34,Vertex!C99,Vertex!C164,Normal!C34,Normal!C99,Normal!C164)*255)</f>
        <v>85</v>
      </c>
      <c r="D34">
        <f>INT(shadex('Shade - 1'!$D$9,'Shade - 1'!$E$9,'Shade - 1'!$F$9,'Shade - 1'!$D$7,Vertex!D34,Vertex!D99,Vertex!D164,Normal!D34,Normal!D99,Normal!D164)*255)</f>
        <v>99</v>
      </c>
      <c r="E34">
        <f>INT(shadex('Shade - 1'!$D$9,'Shade - 1'!$E$9,'Shade - 1'!$F$9,'Shade - 1'!$D$7,Vertex!E34,Vertex!E99,Vertex!E164,Normal!E34,Normal!E99,Normal!E164)*255)</f>
        <v>96</v>
      </c>
      <c r="F34">
        <f>INT(shadex('Shade - 1'!$D$9,'Shade - 1'!$E$9,'Shade - 1'!$F$9,'Shade - 1'!$D$7,Vertex!F34,Vertex!F99,Vertex!F164,Normal!F34,Normal!F99,Normal!F164)*255)</f>
        <v>82</v>
      </c>
      <c r="G34">
        <f>INT(shadex('Shade - 1'!$D$9,'Shade - 1'!$E$9,'Shade - 1'!$F$9,'Shade - 1'!$D$7,Vertex!G34,Vertex!G99,Vertex!G164,Normal!G34,Normal!G99,Normal!G164)*255)</f>
        <v>81</v>
      </c>
      <c r="H34">
        <f>INT(shadex('Shade - 1'!$D$9,'Shade - 1'!$E$9,'Shade - 1'!$F$9,'Shade - 1'!$D$7,Vertex!H34,Vertex!H99,Vertex!H164,Normal!H34,Normal!H99,Normal!H164)*255)</f>
        <v>79</v>
      </c>
      <c r="I34">
        <f>INT(shadex('Shade - 1'!$D$9,'Shade - 1'!$E$9,'Shade - 1'!$F$9,'Shade - 1'!$D$7,Vertex!I34,Vertex!I99,Vertex!I164,Normal!I34,Normal!I99,Normal!I164)*255)</f>
        <v>69</v>
      </c>
      <c r="J34">
        <f>INT(shadex('Shade - 1'!$D$9,'Shade - 1'!$E$9,'Shade - 1'!$F$9,'Shade - 1'!$D$7,Vertex!J34,Vertex!J99,Vertex!J164,Normal!J34,Normal!J99,Normal!J164)*255)</f>
        <v>34</v>
      </c>
      <c r="K34">
        <f>INT(shadex('Shade - 1'!$D$9,'Shade - 1'!$E$9,'Shade - 1'!$F$9,'Shade - 1'!$D$7,Vertex!K34,Vertex!K99,Vertex!K164,Normal!K34,Normal!K99,Normal!K164)*255)</f>
        <v>44</v>
      </c>
      <c r="L34">
        <f>INT(shadex('Shade - 1'!$D$9,'Shade - 1'!$E$9,'Shade - 1'!$F$9,'Shade - 1'!$D$7,Vertex!L34,Vertex!L99,Vertex!L164,Normal!L34,Normal!L99,Normal!L164)*255)</f>
        <v>58</v>
      </c>
      <c r="M34">
        <f>INT(shadex('Shade - 1'!$D$9,'Shade - 1'!$E$9,'Shade - 1'!$F$9,'Shade - 1'!$D$7,Vertex!M34,Vertex!M99,Vertex!M164,Normal!M34,Normal!M99,Normal!M164)*255)</f>
        <v>44</v>
      </c>
      <c r="N34">
        <f>INT(shadex('Shade - 1'!$D$9,'Shade - 1'!$E$9,'Shade - 1'!$F$9,'Shade - 1'!$D$7,Vertex!N34,Vertex!N99,Vertex!N164,Normal!N34,Normal!N99,Normal!N164)*255)</f>
        <v>63</v>
      </c>
      <c r="O34">
        <f>INT(shadex('Shade - 1'!$D$9,'Shade - 1'!$E$9,'Shade - 1'!$F$9,'Shade - 1'!$D$7,Vertex!O34,Vertex!O99,Vertex!O164,Normal!O34,Normal!O99,Normal!O164)*255)</f>
        <v>34</v>
      </c>
      <c r="P34">
        <f>INT(shadex('Shade - 1'!$D$9,'Shade - 1'!$E$9,'Shade - 1'!$F$9,'Shade - 1'!$D$7,Vertex!P34,Vertex!P99,Vertex!P164,Normal!P34,Normal!P99,Normal!P164)*255)</f>
        <v>0</v>
      </c>
      <c r="Q34">
        <f>INT(shadex('Shade - 1'!$D$9,'Shade - 1'!$E$9,'Shade - 1'!$F$9,'Shade - 1'!$D$7,Vertex!Q34,Vertex!Q99,Vertex!Q164,Normal!Q34,Normal!Q99,Normal!Q164)*255)</f>
        <v>0</v>
      </c>
      <c r="R34">
        <f>INT(shadex('Shade - 1'!$D$9,'Shade - 1'!$E$9,'Shade - 1'!$F$9,'Shade - 1'!$D$7,Vertex!R34,Vertex!R99,Vertex!R164,Normal!R34,Normal!R99,Normal!R164)*255)</f>
        <v>60</v>
      </c>
      <c r="S34">
        <f>INT(shadex('Shade - 1'!$D$9,'Shade - 1'!$E$9,'Shade - 1'!$F$9,'Shade - 1'!$D$7,Vertex!S34,Vertex!S99,Vertex!S164,Normal!S34,Normal!S99,Normal!S164)*255)</f>
        <v>87</v>
      </c>
      <c r="T34">
        <f>INT(shadex('Shade - 1'!$D$9,'Shade - 1'!$E$9,'Shade - 1'!$F$9,'Shade - 1'!$D$7,Vertex!T34,Vertex!T99,Vertex!T164,Normal!T34,Normal!T99,Normal!T164)*255)</f>
        <v>95</v>
      </c>
      <c r="U34">
        <f>INT(shadex('Shade - 1'!$D$9,'Shade - 1'!$E$9,'Shade - 1'!$F$9,'Shade - 1'!$D$7,Vertex!U34,Vertex!U99,Vertex!U164,Normal!U34,Normal!U99,Normal!U164)*255)</f>
        <v>98</v>
      </c>
      <c r="V34">
        <f>INT(shadex('Shade - 1'!$D$9,'Shade - 1'!$E$9,'Shade - 1'!$F$9,'Shade - 1'!$D$7,Vertex!V34,Vertex!V99,Vertex!V164,Normal!V34,Normal!V99,Normal!V164)*255)</f>
        <v>98</v>
      </c>
      <c r="W34">
        <f>INT(shadex('Shade - 1'!$D$9,'Shade - 1'!$E$9,'Shade - 1'!$F$9,'Shade - 1'!$D$7,Vertex!W34,Vertex!W99,Vertex!W164,Normal!W34,Normal!W99,Normal!W164)*255)</f>
        <v>91</v>
      </c>
      <c r="X34">
        <f>INT(shadex('Shade - 1'!$D$9,'Shade - 1'!$E$9,'Shade - 1'!$F$9,'Shade - 1'!$D$7,Vertex!X34,Vertex!X99,Vertex!X164,Normal!X34,Normal!X99,Normal!X164)*255)</f>
        <v>69</v>
      </c>
      <c r="Y34">
        <f>INT(shadex('Shade - 1'!$D$9,'Shade - 1'!$E$9,'Shade - 1'!$F$9,'Shade - 1'!$D$7,Vertex!Y34,Vertex!Y99,Vertex!Y164,Normal!Y34,Normal!Y99,Normal!Y164)*255)</f>
        <v>69</v>
      </c>
      <c r="Z34">
        <f>INT(shadex('Shade - 1'!$D$9,'Shade - 1'!$E$9,'Shade - 1'!$F$9,'Shade - 1'!$D$7,Vertex!Z34,Vertex!Z99,Vertex!Z164,Normal!Z34,Normal!Z99,Normal!Z164)*255)</f>
        <v>72</v>
      </c>
      <c r="AA34">
        <f>INT(shadex('Shade - 1'!$D$9,'Shade - 1'!$E$9,'Shade - 1'!$F$9,'Shade - 1'!$D$7,Vertex!AA34,Vertex!AA99,Vertex!AA164,Normal!AA34,Normal!AA99,Normal!AA164)*255)</f>
        <v>90</v>
      </c>
      <c r="AB34">
        <f>INT(shadex('Shade - 1'!$D$9,'Shade - 1'!$E$9,'Shade - 1'!$F$9,'Shade - 1'!$D$7,Vertex!AB34,Vertex!AB99,Vertex!AB164,Normal!AB34,Normal!AB99,Normal!AB164)*255)</f>
        <v>97</v>
      </c>
      <c r="AC34">
        <f>INT(shadex('Shade - 1'!$D$9,'Shade - 1'!$E$9,'Shade - 1'!$F$9,'Shade - 1'!$D$7,Vertex!AC34,Vertex!AC99,Vertex!AC164,Normal!AC34,Normal!AC99,Normal!AC164)*255)</f>
        <v>98</v>
      </c>
      <c r="AD34">
        <f>INT(shadex('Shade - 1'!$D$9,'Shade - 1'!$E$9,'Shade - 1'!$F$9,'Shade - 1'!$D$7,Vertex!AD34,Vertex!AD99,Vertex!AD164,Normal!AD34,Normal!AD99,Normal!AD164)*255)</f>
        <v>88</v>
      </c>
      <c r="AE34">
        <f>INT(shadex('Shade - 1'!$D$9,'Shade - 1'!$E$9,'Shade - 1'!$F$9,'Shade - 1'!$D$7,Vertex!AE34,Vertex!AE99,Vertex!AE164,Normal!AE34,Normal!AE99,Normal!AE164)*255)</f>
        <v>59</v>
      </c>
      <c r="AF34">
        <f>INT(shadex('Shade - 1'!$D$9,'Shade - 1'!$E$9,'Shade - 1'!$F$9,'Shade - 1'!$D$7,Vertex!AF34,Vertex!AF99,Vertex!AF164,Normal!AF34,Normal!AF99,Normal!AF164)*255)</f>
        <v>63</v>
      </c>
      <c r="AG34">
        <f>INT(shadex('Shade - 1'!$D$9,'Shade - 1'!$E$9,'Shade - 1'!$F$9,'Shade - 1'!$D$7,Vertex!AG34,Vertex!AG99,Vertex!AG164,Normal!AG34,Normal!AG99,Normal!AG164)*255)</f>
        <v>86</v>
      </c>
      <c r="AH34">
        <f>INT(shadex('Shade - 1'!$D$9,'Shade - 1'!$E$9,'Shade - 1'!$F$9,'Shade - 1'!$D$7,Vertex!AH34,Vertex!AH99,Vertex!AH164,Normal!AH34,Normal!AH99,Normal!AH164)*255)</f>
        <v>82</v>
      </c>
      <c r="AI34" s="4">
        <f>INT(shadex('Shade - 1'!$D$9,'Shade - 1'!$E$9,'Shade - 1'!$F$9,'Shade - 1'!$D$7,Vertex!AI34,Vertex!AI99,Vertex!AI164,Normal!AI34,Normal!AI99,Normal!AI164)*255)</f>
        <v>71</v>
      </c>
      <c r="AJ34" s="4">
        <f>INT(shadex('Shade - 1'!$D$9,'Shade - 1'!$E$9,'Shade - 1'!$F$9,'Shade - 1'!$D$7,Vertex!AJ34,Vertex!AJ99,Vertex!AJ164,Normal!AJ34,Normal!AJ99,Normal!AJ164)*255)</f>
        <v>70</v>
      </c>
      <c r="AK34" s="4">
        <f>INT(shadex('Shade - 1'!$D$9,'Shade - 1'!$E$9,'Shade - 1'!$F$9,'Shade - 1'!$D$7,Vertex!AK34,Vertex!AK99,Vertex!AK164,Normal!AK34,Normal!AK99,Normal!AK164)*255)</f>
        <v>81</v>
      </c>
      <c r="AL34" s="4">
        <f>INT(shadex('Shade - 1'!$D$9,'Shade - 1'!$E$9,'Shade - 1'!$F$9,'Shade - 1'!$D$7,Vertex!AL34,Vertex!AL99,Vertex!AL164,Normal!AL34,Normal!AL99,Normal!AL164)*255)</f>
        <v>92</v>
      </c>
      <c r="AM34" s="4">
        <f>INT(shadex('Shade - 1'!$D$9,'Shade - 1'!$E$9,'Shade - 1'!$F$9,'Shade - 1'!$D$7,Vertex!AM34,Vertex!AM99,Vertex!AM164,Normal!AM34,Normal!AM99,Normal!AM164)*255)</f>
        <v>69</v>
      </c>
      <c r="AN34" s="4">
        <f>INT(shadex('Shade - 1'!$D$9,'Shade - 1'!$E$9,'Shade - 1'!$F$9,'Shade - 1'!$D$7,Vertex!AN34,Vertex!AN99,Vertex!AN164,Normal!AN34,Normal!AN99,Normal!AN164)*255)</f>
        <v>59</v>
      </c>
      <c r="AO34" s="4">
        <f>INT(shadex('Shade - 1'!$D$9,'Shade - 1'!$E$9,'Shade - 1'!$F$9,'Shade - 1'!$D$7,Vertex!AO34,Vertex!AO99,Vertex!AO164,Normal!AO34,Normal!AO99,Normal!AO164)*255)</f>
        <v>86</v>
      </c>
      <c r="AP34" s="4">
        <f>INT(shadex('Shade - 1'!$D$9,'Shade - 1'!$E$9,'Shade - 1'!$F$9,'Shade - 1'!$D$7,Vertex!AP34,Vertex!AP99,Vertex!AP164,Normal!AP34,Normal!AP99,Normal!AP164)*255)</f>
        <v>88</v>
      </c>
      <c r="AQ34" s="4">
        <f>INT(shadex('Shade - 1'!$D$9,'Shade - 1'!$E$9,'Shade - 1'!$F$9,'Shade - 1'!$D$7,Vertex!AQ34,Vertex!AQ99,Vertex!AQ164,Normal!AQ34,Normal!AQ99,Normal!AQ164)*255)</f>
        <v>85</v>
      </c>
      <c r="AR34" s="4">
        <f>INT(shadex('Shade - 1'!$D$9,'Shade - 1'!$E$9,'Shade - 1'!$F$9,'Shade - 1'!$D$7,Vertex!AR34,Vertex!AR99,Vertex!AR164,Normal!AR34,Normal!AR99,Normal!AR164)*255)</f>
        <v>71</v>
      </c>
      <c r="AS34" s="4">
        <f>INT(shadex('Shade - 1'!$D$9,'Shade - 1'!$E$9,'Shade - 1'!$F$9,'Shade - 1'!$D$7,Vertex!AS34,Vertex!AS99,Vertex!AS164,Normal!AS34,Normal!AS99,Normal!AS164)*255)</f>
        <v>63</v>
      </c>
      <c r="AT34" s="4">
        <f>INT(shadex('Shade - 1'!$D$9,'Shade - 1'!$E$9,'Shade - 1'!$F$9,'Shade - 1'!$D$7,Vertex!AT34,Vertex!AT99,Vertex!AT164,Normal!AT34,Normal!AT99,Normal!AT164)*255)</f>
        <v>73</v>
      </c>
      <c r="AU34" s="4">
        <f>INT(shadex('Shade - 1'!$D$9,'Shade - 1'!$E$9,'Shade - 1'!$F$9,'Shade - 1'!$D$7,Vertex!AU34,Vertex!AU99,Vertex!AU164,Normal!AU34,Normal!AU99,Normal!AU164)*255)</f>
        <v>77</v>
      </c>
      <c r="AV34" s="4">
        <f>INT(shadex('Shade - 1'!$D$9,'Shade - 1'!$E$9,'Shade - 1'!$F$9,'Shade - 1'!$D$7,Vertex!AV34,Vertex!AV99,Vertex!AV164,Normal!AV34,Normal!AV99,Normal!AV164)*255)</f>
        <v>69</v>
      </c>
      <c r="AW34" s="4">
        <f>INT(shadex('Shade - 1'!$D$9,'Shade - 1'!$E$9,'Shade - 1'!$F$9,'Shade - 1'!$D$7,Vertex!AW34,Vertex!AW99,Vertex!AW164,Normal!AW34,Normal!AW99,Normal!AW164)*255)</f>
        <v>70</v>
      </c>
      <c r="AX34" s="4">
        <f>INT(shadex('Shade - 1'!$D$9,'Shade - 1'!$E$9,'Shade - 1'!$F$9,'Shade - 1'!$D$7,Vertex!AX34,Vertex!AX99,Vertex!AX164,Normal!AX34,Normal!AX99,Normal!AX164)*255)</f>
        <v>67</v>
      </c>
      <c r="AY34" s="4">
        <f>INT(shadex('Shade - 1'!$D$9,'Shade - 1'!$E$9,'Shade - 1'!$F$9,'Shade - 1'!$D$7,Vertex!AY34,Vertex!AY99,Vertex!AY164,Normal!AY34,Normal!AY99,Normal!AY164)*255)</f>
        <v>68</v>
      </c>
      <c r="AZ34" s="4">
        <f>INT(shadex('Shade - 1'!$D$9,'Shade - 1'!$E$9,'Shade - 1'!$F$9,'Shade - 1'!$D$7,Vertex!AZ34,Vertex!AZ99,Vertex!AZ164,Normal!AZ34,Normal!AZ99,Normal!AZ164)*255)</f>
        <v>62</v>
      </c>
      <c r="BA34" s="4">
        <f>INT(shadex('Shade - 1'!$D$9,'Shade - 1'!$E$9,'Shade - 1'!$F$9,'Shade - 1'!$D$7,Vertex!BA34,Vertex!BA99,Vertex!BA164,Normal!BA34,Normal!BA99,Normal!BA164)*255)</f>
        <v>53</v>
      </c>
      <c r="BB34" s="4">
        <f>INT(shadex('Shade - 1'!$D$9,'Shade - 1'!$E$9,'Shade - 1'!$F$9,'Shade - 1'!$D$7,Vertex!BB34,Vertex!BB99,Vertex!BB164,Normal!BB34,Normal!BB99,Normal!BB164)*255)</f>
        <v>74</v>
      </c>
      <c r="BC34" s="4">
        <f>INT(shadex('Shade - 1'!$D$9,'Shade - 1'!$E$9,'Shade - 1'!$F$9,'Shade - 1'!$D$7,Vertex!BC34,Vertex!BC99,Vertex!BC164,Normal!BC34,Normal!BC99,Normal!BC164)*255)</f>
        <v>90</v>
      </c>
      <c r="BD34" s="4">
        <f>INT(shadex('Shade - 1'!$D$9,'Shade - 1'!$E$9,'Shade - 1'!$F$9,'Shade - 1'!$D$7,Vertex!BD34,Vertex!BD99,Vertex!BD164,Normal!BD34,Normal!BD99,Normal!BD164)*255)</f>
        <v>83</v>
      </c>
      <c r="BE34" s="4">
        <f>INT(shadex('Shade - 1'!$D$9,'Shade - 1'!$E$9,'Shade - 1'!$F$9,'Shade - 1'!$D$7,Vertex!BE34,Vertex!BE99,Vertex!BE164,Normal!BE34,Normal!BE99,Normal!BE164)*255)</f>
        <v>76</v>
      </c>
      <c r="BF34" s="4">
        <f>INT(shadex('Shade - 1'!$D$9,'Shade - 1'!$E$9,'Shade - 1'!$F$9,'Shade - 1'!$D$7,Vertex!BF34,Vertex!BF99,Vertex!BF164,Normal!BF34,Normal!BF99,Normal!BF164)*255)</f>
        <v>73</v>
      </c>
      <c r="BG34" s="4">
        <f>INT(shadex('Shade - 1'!$D$9,'Shade - 1'!$E$9,'Shade - 1'!$F$9,'Shade - 1'!$D$7,Vertex!BG34,Vertex!BG99,Vertex!BG164,Normal!BG34,Normal!BG99,Normal!BG164)*255)</f>
        <v>64</v>
      </c>
      <c r="BH34" s="4">
        <f>INT(shadex('Shade - 1'!$D$9,'Shade - 1'!$E$9,'Shade - 1'!$F$9,'Shade - 1'!$D$7,Vertex!BH34,Vertex!BH99,Vertex!BH164,Normal!BH34,Normal!BH99,Normal!BH164)*255)</f>
        <v>77</v>
      </c>
      <c r="BI34" s="4">
        <f>INT(shadex('Shade - 1'!$D$9,'Shade - 1'!$E$9,'Shade - 1'!$F$9,'Shade - 1'!$D$7,Vertex!BI34,Vertex!BI99,Vertex!BI164,Normal!BI34,Normal!BI99,Normal!BI164)*255)</f>
        <v>88</v>
      </c>
      <c r="BJ34" s="4">
        <f>INT(shadex('Shade - 1'!$D$9,'Shade - 1'!$E$9,'Shade - 1'!$F$9,'Shade - 1'!$D$7,Vertex!BJ34,Vertex!BJ99,Vertex!BJ164,Normal!BJ34,Normal!BJ99,Normal!BJ164)*255)</f>
        <v>92</v>
      </c>
      <c r="BK34" s="4">
        <f>INT(shadex('Shade - 1'!$D$9,'Shade - 1'!$E$9,'Shade - 1'!$F$9,'Shade - 1'!$D$7,Vertex!BK34,Vertex!BK99,Vertex!BK164,Normal!BK34,Normal!BK99,Normal!BK164)*255)</f>
        <v>98</v>
      </c>
      <c r="BL34" s="4">
        <f>INT(shadex('Shade - 1'!$D$9,'Shade - 1'!$E$9,'Shade - 1'!$F$9,'Shade - 1'!$D$7,Vertex!BL34,Vertex!BL99,Vertex!BL164,Normal!BL34,Normal!BL99,Normal!BL164)*255)</f>
        <v>95</v>
      </c>
    </row>
    <row r="35" spans="1:64" x14ac:dyDescent="0.25">
      <c r="A35">
        <f>INT(shadex('Shade - 1'!$D$9,'Shade - 1'!$E$9,'Shade - 1'!$F$9,'Shade - 1'!$D$7,Vertex!A35,Vertex!A100,Vertex!A165,Normal!A35,Normal!A100,Normal!A165)*255)</f>
        <v>96</v>
      </c>
      <c r="B35">
        <f>INT(shadex('Shade - 1'!$D$9,'Shade - 1'!$E$9,'Shade - 1'!$F$9,'Shade - 1'!$D$7,Vertex!B35,Vertex!B100,Vertex!B165,Normal!B35,Normal!B100,Normal!B165)*255)</f>
        <v>93</v>
      </c>
      <c r="C35">
        <f>INT(shadex('Shade - 1'!$D$9,'Shade - 1'!$E$9,'Shade - 1'!$F$9,'Shade - 1'!$D$7,Vertex!C35,Vertex!C100,Vertex!C165,Normal!C35,Normal!C100,Normal!C165)*255)</f>
        <v>95</v>
      </c>
      <c r="D35">
        <f>INT(shadex('Shade - 1'!$D$9,'Shade - 1'!$E$9,'Shade - 1'!$F$9,'Shade - 1'!$D$7,Vertex!D35,Vertex!D100,Vertex!D165,Normal!D35,Normal!D100,Normal!D165)*255)</f>
        <v>97</v>
      </c>
      <c r="E35">
        <f>INT(shadex('Shade - 1'!$D$9,'Shade - 1'!$E$9,'Shade - 1'!$F$9,'Shade - 1'!$D$7,Vertex!E35,Vertex!E100,Vertex!E165,Normal!E35,Normal!E100,Normal!E165)*255)</f>
        <v>89</v>
      </c>
      <c r="F35">
        <f>INT(shadex('Shade - 1'!$D$9,'Shade - 1'!$E$9,'Shade - 1'!$F$9,'Shade - 1'!$D$7,Vertex!F35,Vertex!F100,Vertex!F165,Normal!F35,Normal!F100,Normal!F165)*255)</f>
        <v>59</v>
      </c>
      <c r="G35">
        <f>INT(shadex('Shade - 1'!$D$9,'Shade - 1'!$E$9,'Shade - 1'!$F$9,'Shade - 1'!$D$7,Vertex!G35,Vertex!G100,Vertex!G165,Normal!G35,Normal!G100,Normal!G165)*255)</f>
        <v>78</v>
      </c>
      <c r="H35">
        <f>INT(shadex('Shade - 1'!$D$9,'Shade - 1'!$E$9,'Shade - 1'!$F$9,'Shade - 1'!$D$7,Vertex!H35,Vertex!H100,Vertex!H165,Normal!H35,Normal!H100,Normal!H165)*255)</f>
        <v>86</v>
      </c>
      <c r="I35">
        <f>INT(shadex('Shade - 1'!$D$9,'Shade - 1'!$E$9,'Shade - 1'!$F$9,'Shade - 1'!$D$7,Vertex!I35,Vertex!I100,Vertex!I165,Normal!I35,Normal!I100,Normal!I165)*255)</f>
        <v>65</v>
      </c>
      <c r="J35">
        <f>INT(shadex('Shade - 1'!$D$9,'Shade - 1'!$E$9,'Shade - 1'!$F$9,'Shade - 1'!$D$7,Vertex!J35,Vertex!J100,Vertex!J165,Normal!J35,Normal!J100,Normal!J165)*255)</f>
        <v>30</v>
      </c>
      <c r="K35">
        <f>INT(shadex('Shade - 1'!$D$9,'Shade - 1'!$E$9,'Shade - 1'!$F$9,'Shade - 1'!$D$7,Vertex!K35,Vertex!K100,Vertex!K165,Normal!K35,Normal!K100,Normal!K165)*255)</f>
        <v>55</v>
      </c>
      <c r="L35">
        <f>INT(shadex('Shade - 1'!$D$9,'Shade - 1'!$E$9,'Shade - 1'!$F$9,'Shade - 1'!$D$7,Vertex!L35,Vertex!L100,Vertex!L165,Normal!L35,Normal!L100,Normal!L165)*255)</f>
        <v>61</v>
      </c>
      <c r="M35">
        <f>INT(shadex('Shade - 1'!$D$9,'Shade - 1'!$E$9,'Shade - 1'!$F$9,'Shade - 1'!$D$7,Vertex!M35,Vertex!M100,Vertex!M165,Normal!M35,Normal!M100,Normal!M165)*255)</f>
        <v>44</v>
      </c>
      <c r="N35">
        <f>INT(shadex('Shade - 1'!$D$9,'Shade - 1'!$E$9,'Shade - 1'!$F$9,'Shade - 1'!$D$7,Vertex!N35,Vertex!N100,Vertex!N165,Normal!N35,Normal!N100,Normal!N165)*255)</f>
        <v>76</v>
      </c>
      <c r="O35">
        <f>INT(shadex('Shade - 1'!$D$9,'Shade - 1'!$E$9,'Shade - 1'!$F$9,'Shade - 1'!$D$7,Vertex!O35,Vertex!O100,Vertex!O165,Normal!O35,Normal!O100,Normal!O165)*255)</f>
        <v>63</v>
      </c>
      <c r="P35">
        <f>INT(shadex('Shade - 1'!$D$9,'Shade - 1'!$E$9,'Shade - 1'!$F$9,'Shade - 1'!$D$7,Vertex!P35,Vertex!P100,Vertex!P165,Normal!P35,Normal!P100,Normal!P165)*255)</f>
        <v>46</v>
      </c>
      <c r="Q35">
        <f>INT(shadex('Shade - 1'!$D$9,'Shade - 1'!$E$9,'Shade - 1'!$F$9,'Shade - 1'!$D$7,Vertex!Q35,Vertex!Q100,Vertex!Q165,Normal!Q35,Normal!Q100,Normal!Q165)*255)</f>
        <v>36</v>
      </c>
      <c r="R35">
        <f>INT(shadex('Shade - 1'!$D$9,'Shade - 1'!$E$9,'Shade - 1'!$F$9,'Shade - 1'!$D$7,Vertex!R35,Vertex!R100,Vertex!R165,Normal!R35,Normal!R100,Normal!R165)*255)</f>
        <v>46</v>
      </c>
      <c r="S35">
        <f>INT(shadex('Shade - 1'!$D$9,'Shade - 1'!$E$9,'Shade - 1'!$F$9,'Shade - 1'!$D$7,Vertex!S35,Vertex!S100,Vertex!S165,Normal!S35,Normal!S100,Normal!S165)*255)</f>
        <v>78</v>
      </c>
      <c r="T35">
        <f>INT(shadex('Shade - 1'!$D$9,'Shade - 1'!$E$9,'Shade - 1'!$F$9,'Shade - 1'!$D$7,Vertex!T35,Vertex!T100,Vertex!T165,Normal!T35,Normal!T100,Normal!T165)*255)</f>
        <v>94</v>
      </c>
      <c r="U35">
        <f>INT(shadex('Shade - 1'!$D$9,'Shade - 1'!$E$9,'Shade - 1'!$F$9,'Shade - 1'!$D$7,Vertex!U35,Vertex!U100,Vertex!U165,Normal!U35,Normal!U100,Normal!U165)*255)</f>
        <v>99</v>
      </c>
      <c r="V35">
        <f>INT(shadex('Shade - 1'!$D$9,'Shade - 1'!$E$9,'Shade - 1'!$F$9,'Shade - 1'!$D$7,Vertex!V35,Vertex!V100,Vertex!V165,Normal!V35,Normal!V100,Normal!V165)*255)</f>
        <v>100</v>
      </c>
      <c r="W35">
        <f>INT(shadex('Shade - 1'!$D$9,'Shade - 1'!$E$9,'Shade - 1'!$F$9,'Shade - 1'!$D$7,Vertex!W35,Vertex!W100,Vertex!W165,Normal!W35,Normal!W100,Normal!W165)*255)</f>
        <v>94</v>
      </c>
      <c r="X35">
        <f>INT(shadex('Shade - 1'!$D$9,'Shade - 1'!$E$9,'Shade - 1'!$F$9,'Shade - 1'!$D$7,Vertex!X35,Vertex!X100,Vertex!X165,Normal!X35,Normal!X100,Normal!X165)*255)</f>
        <v>80</v>
      </c>
      <c r="Y35">
        <f>INT(shadex('Shade - 1'!$D$9,'Shade - 1'!$E$9,'Shade - 1'!$F$9,'Shade - 1'!$D$7,Vertex!Y35,Vertex!Y100,Vertex!Y165,Normal!Y35,Normal!Y100,Normal!Y165)*255)</f>
        <v>75</v>
      </c>
      <c r="Z35">
        <f>INT(shadex('Shade - 1'!$D$9,'Shade - 1'!$E$9,'Shade - 1'!$F$9,'Shade - 1'!$D$7,Vertex!Z35,Vertex!Z100,Vertex!Z165,Normal!Z35,Normal!Z100,Normal!Z165)*255)</f>
        <v>80</v>
      </c>
      <c r="AA35">
        <f>INT(shadex('Shade - 1'!$D$9,'Shade - 1'!$E$9,'Shade - 1'!$F$9,'Shade - 1'!$D$7,Vertex!AA35,Vertex!AA100,Vertex!AA165,Normal!AA35,Normal!AA100,Normal!AA165)*255)</f>
        <v>78</v>
      </c>
      <c r="AB35">
        <f>INT(shadex('Shade - 1'!$D$9,'Shade - 1'!$E$9,'Shade - 1'!$F$9,'Shade - 1'!$D$7,Vertex!AB35,Vertex!AB100,Vertex!AB165,Normal!AB35,Normal!AB100,Normal!AB165)*255)</f>
        <v>72</v>
      </c>
      <c r="AC35">
        <f>INT(shadex('Shade - 1'!$D$9,'Shade - 1'!$E$9,'Shade - 1'!$F$9,'Shade - 1'!$D$7,Vertex!AC35,Vertex!AC100,Vertex!AC165,Normal!AC35,Normal!AC100,Normal!AC165)*255)</f>
        <v>89</v>
      </c>
      <c r="AD35">
        <f>INT(shadex('Shade - 1'!$D$9,'Shade - 1'!$E$9,'Shade - 1'!$F$9,'Shade - 1'!$D$7,Vertex!AD35,Vertex!AD100,Vertex!AD165,Normal!AD35,Normal!AD100,Normal!AD165)*255)</f>
        <v>96</v>
      </c>
      <c r="AE35">
        <f>INT(shadex('Shade - 1'!$D$9,'Shade - 1'!$E$9,'Shade - 1'!$F$9,'Shade - 1'!$D$7,Vertex!AE35,Vertex!AE100,Vertex!AE165,Normal!AE35,Normal!AE100,Normal!AE165)*255)</f>
        <v>65</v>
      </c>
      <c r="AF35">
        <f>INT(shadex('Shade - 1'!$D$9,'Shade - 1'!$E$9,'Shade - 1'!$F$9,'Shade - 1'!$D$7,Vertex!AF35,Vertex!AF100,Vertex!AF165,Normal!AF35,Normal!AF100,Normal!AF165)*255)</f>
        <v>56</v>
      </c>
      <c r="AG35">
        <f>INT(shadex('Shade - 1'!$D$9,'Shade - 1'!$E$9,'Shade - 1'!$F$9,'Shade - 1'!$D$7,Vertex!AG35,Vertex!AG100,Vertex!AG165,Normal!AG35,Normal!AG100,Normal!AG165)*255)</f>
        <v>89</v>
      </c>
      <c r="AH35">
        <f>INT(shadex('Shade - 1'!$D$9,'Shade - 1'!$E$9,'Shade - 1'!$F$9,'Shade - 1'!$D$7,Vertex!AH35,Vertex!AH100,Vertex!AH165,Normal!AH35,Normal!AH100,Normal!AH165)*255)</f>
        <v>89</v>
      </c>
      <c r="AI35" s="4">
        <f>INT(shadex('Shade - 1'!$D$9,'Shade - 1'!$E$9,'Shade - 1'!$F$9,'Shade - 1'!$D$7,Vertex!AI35,Vertex!AI100,Vertex!AI165,Normal!AI35,Normal!AI100,Normal!AI165)*255)</f>
        <v>86</v>
      </c>
      <c r="AJ35" s="4">
        <f>INT(shadex('Shade - 1'!$D$9,'Shade - 1'!$E$9,'Shade - 1'!$F$9,'Shade - 1'!$D$7,Vertex!AJ35,Vertex!AJ100,Vertex!AJ165,Normal!AJ35,Normal!AJ100,Normal!AJ165)*255)</f>
        <v>74</v>
      </c>
      <c r="AK35" s="4">
        <f>INT(shadex('Shade - 1'!$D$9,'Shade - 1'!$E$9,'Shade - 1'!$F$9,'Shade - 1'!$D$7,Vertex!AK35,Vertex!AK100,Vertex!AK165,Normal!AK35,Normal!AK100,Normal!AK165)*255)</f>
        <v>67</v>
      </c>
      <c r="AL35" s="4">
        <f>INT(shadex('Shade - 1'!$D$9,'Shade - 1'!$E$9,'Shade - 1'!$F$9,'Shade - 1'!$D$7,Vertex!AL35,Vertex!AL100,Vertex!AL165,Normal!AL35,Normal!AL100,Normal!AL165)*255)</f>
        <v>86</v>
      </c>
      <c r="AM35" s="4">
        <f>INT(shadex('Shade - 1'!$D$9,'Shade - 1'!$E$9,'Shade - 1'!$F$9,'Shade - 1'!$D$7,Vertex!AM35,Vertex!AM100,Vertex!AM165,Normal!AM35,Normal!AM100,Normal!AM165)*255)</f>
        <v>72</v>
      </c>
      <c r="AN35" s="4">
        <f>INT(shadex('Shade - 1'!$D$9,'Shade - 1'!$E$9,'Shade - 1'!$F$9,'Shade - 1'!$D$7,Vertex!AN35,Vertex!AN100,Vertex!AN165,Normal!AN35,Normal!AN100,Normal!AN165)*255)</f>
        <v>62</v>
      </c>
      <c r="AO35" s="4">
        <f>INT(shadex('Shade - 1'!$D$9,'Shade - 1'!$E$9,'Shade - 1'!$F$9,'Shade - 1'!$D$7,Vertex!AO35,Vertex!AO100,Vertex!AO165,Normal!AO35,Normal!AO100,Normal!AO165)*255)</f>
        <v>71</v>
      </c>
      <c r="AP35" s="4">
        <f>INT(shadex('Shade - 1'!$D$9,'Shade - 1'!$E$9,'Shade - 1'!$F$9,'Shade - 1'!$D$7,Vertex!AP35,Vertex!AP100,Vertex!AP165,Normal!AP35,Normal!AP100,Normal!AP165)*255)</f>
        <v>74</v>
      </c>
      <c r="AQ35" s="4">
        <f>INT(shadex('Shade - 1'!$D$9,'Shade - 1'!$E$9,'Shade - 1'!$F$9,'Shade - 1'!$D$7,Vertex!AQ35,Vertex!AQ100,Vertex!AQ165,Normal!AQ35,Normal!AQ100,Normal!AQ165)*255)</f>
        <v>76</v>
      </c>
      <c r="AR35" s="4">
        <f>INT(shadex('Shade - 1'!$D$9,'Shade - 1'!$E$9,'Shade - 1'!$F$9,'Shade - 1'!$D$7,Vertex!AR35,Vertex!AR100,Vertex!AR165,Normal!AR35,Normal!AR100,Normal!AR165)*255)</f>
        <v>79</v>
      </c>
      <c r="AS35" s="4">
        <f>INT(shadex('Shade - 1'!$D$9,'Shade - 1'!$E$9,'Shade - 1'!$F$9,'Shade - 1'!$D$7,Vertex!AS35,Vertex!AS100,Vertex!AS165,Normal!AS35,Normal!AS100,Normal!AS165)*255)</f>
        <v>71</v>
      </c>
      <c r="AT35" s="4">
        <f>INT(shadex('Shade - 1'!$D$9,'Shade - 1'!$E$9,'Shade - 1'!$F$9,'Shade - 1'!$D$7,Vertex!AT35,Vertex!AT100,Vertex!AT165,Normal!AT35,Normal!AT100,Normal!AT165)*255)</f>
        <v>56</v>
      </c>
      <c r="AU35" s="4">
        <f>INT(shadex('Shade - 1'!$D$9,'Shade - 1'!$E$9,'Shade - 1'!$F$9,'Shade - 1'!$D$7,Vertex!AU35,Vertex!AU100,Vertex!AU165,Normal!AU35,Normal!AU100,Normal!AU165)*255)</f>
        <v>70</v>
      </c>
      <c r="AV35" s="4">
        <f>INT(shadex('Shade - 1'!$D$9,'Shade - 1'!$E$9,'Shade - 1'!$F$9,'Shade - 1'!$D$7,Vertex!AV35,Vertex!AV100,Vertex!AV165,Normal!AV35,Normal!AV100,Normal!AV165)*255)</f>
        <v>66</v>
      </c>
      <c r="AW35" s="4">
        <f>INT(shadex('Shade - 1'!$D$9,'Shade - 1'!$E$9,'Shade - 1'!$F$9,'Shade - 1'!$D$7,Vertex!AW35,Vertex!AW100,Vertex!AW165,Normal!AW35,Normal!AW100,Normal!AW165)*255)</f>
        <v>58</v>
      </c>
      <c r="AX35" s="4">
        <f>INT(shadex('Shade - 1'!$D$9,'Shade - 1'!$E$9,'Shade - 1'!$F$9,'Shade - 1'!$D$7,Vertex!AX35,Vertex!AX100,Vertex!AX165,Normal!AX35,Normal!AX100,Normal!AX165)*255)</f>
        <v>53</v>
      </c>
      <c r="AY35" s="4">
        <f>INT(shadex('Shade - 1'!$D$9,'Shade - 1'!$E$9,'Shade - 1'!$F$9,'Shade - 1'!$D$7,Vertex!AY35,Vertex!AY100,Vertex!AY165,Normal!AY35,Normal!AY100,Normal!AY165)*255)</f>
        <v>54</v>
      </c>
      <c r="AZ35" s="4">
        <f>INT(shadex('Shade - 1'!$D$9,'Shade - 1'!$E$9,'Shade - 1'!$F$9,'Shade - 1'!$D$7,Vertex!AZ35,Vertex!AZ100,Vertex!AZ165,Normal!AZ35,Normal!AZ100,Normal!AZ165)*255)</f>
        <v>59</v>
      </c>
      <c r="BA35" s="4">
        <f>INT(shadex('Shade - 1'!$D$9,'Shade - 1'!$E$9,'Shade - 1'!$F$9,'Shade - 1'!$D$7,Vertex!BA35,Vertex!BA100,Vertex!BA165,Normal!BA35,Normal!BA100,Normal!BA165)*255)</f>
        <v>45</v>
      </c>
      <c r="BB35" s="4">
        <f>INT(shadex('Shade - 1'!$D$9,'Shade - 1'!$E$9,'Shade - 1'!$F$9,'Shade - 1'!$D$7,Vertex!BB35,Vertex!BB100,Vertex!BB165,Normal!BB35,Normal!BB100,Normal!BB165)*255)</f>
        <v>43</v>
      </c>
      <c r="BC35" s="4">
        <f>INT(shadex('Shade - 1'!$D$9,'Shade - 1'!$E$9,'Shade - 1'!$F$9,'Shade - 1'!$D$7,Vertex!BC35,Vertex!BC100,Vertex!BC165,Normal!BC35,Normal!BC100,Normal!BC165)*255)</f>
        <v>69</v>
      </c>
      <c r="BD35" s="4">
        <f>INT(shadex('Shade - 1'!$D$9,'Shade - 1'!$E$9,'Shade - 1'!$F$9,'Shade - 1'!$D$7,Vertex!BD35,Vertex!BD100,Vertex!BD165,Normal!BD35,Normal!BD100,Normal!BD165)*255)</f>
        <v>72</v>
      </c>
      <c r="BE35" s="4">
        <f>INT(shadex('Shade - 1'!$D$9,'Shade - 1'!$E$9,'Shade - 1'!$F$9,'Shade - 1'!$D$7,Vertex!BE35,Vertex!BE100,Vertex!BE165,Normal!BE35,Normal!BE100,Normal!BE165)*255)</f>
        <v>71</v>
      </c>
      <c r="BF35" s="4">
        <f>INT(shadex('Shade - 1'!$D$9,'Shade - 1'!$E$9,'Shade - 1'!$F$9,'Shade - 1'!$D$7,Vertex!BF35,Vertex!BF100,Vertex!BF165,Normal!BF35,Normal!BF100,Normal!BF165)*255)</f>
        <v>81</v>
      </c>
      <c r="BG35" s="4">
        <f>INT(shadex('Shade - 1'!$D$9,'Shade - 1'!$E$9,'Shade - 1'!$F$9,'Shade - 1'!$D$7,Vertex!BG35,Vertex!BG100,Vertex!BG165,Normal!BG35,Normal!BG100,Normal!BG165)*255)</f>
        <v>85</v>
      </c>
      <c r="BH35" s="4">
        <f>INT(shadex('Shade - 1'!$D$9,'Shade - 1'!$E$9,'Shade - 1'!$F$9,'Shade - 1'!$D$7,Vertex!BH35,Vertex!BH100,Vertex!BH165,Normal!BH35,Normal!BH100,Normal!BH165)*255)</f>
        <v>90</v>
      </c>
      <c r="BI35" s="4">
        <f>INT(shadex('Shade - 1'!$D$9,'Shade - 1'!$E$9,'Shade - 1'!$F$9,'Shade - 1'!$D$7,Vertex!BI35,Vertex!BI100,Vertex!BI165,Normal!BI35,Normal!BI100,Normal!BI165)*255)</f>
        <v>91</v>
      </c>
      <c r="BJ35" s="4">
        <f>INT(shadex('Shade - 1'!$D$9,'Shade - 1'!$E$9,'Shade - 1'!$F$9,'Shade - 1'!$D$7,Vertex!BJ35,Vertex!BJ100,Vertex!BJ165,Normal!BJ35,Normal!BJ100,Normal!BJ165)*255)</f>
        <v>84</v>
      </c>
      <c r="BK35" s="4">
        <f>INT(shadex('Shade - 1'!$D$9,'Shade - 1'!$E$9,'Shade - 1'!$F$9,'Shade - 1'!$D$7,Vertex!BK35,Vertex!BK100,Vertex!BK165,Normal!BK35,Normal!BK100,Normal!BK165)*255)</f>
        <v>83</v>
      </c>
      <c r="BL35" s="4">
        <f>INT(shadex('Shade - 1'!$D$9,'Shade - 1'!$E$9,'Shade - 1'!$F$9,'Shade - 1'!$D$7,Vertex!BL35,Vertex!BL100,Vertex!BL165,Normal!BL35,Normal!BL100,Normal!BL165)*255)</f>
        <v>88</v>
      </c>
    </row>
    <row r="36" spans="1:64" x14ac:dyDescent="0.25">
      <c r="A36">
        <f>INT(shadex('Shade - 1'!$D$9,'Shade - 1'!$E$9,'Shade - 1'!$F$9,'Shade - 1'!$D$7,Vertex!A36,Vertex!A101,Vertex!A166,Normal!A36,Normal!A101,Normal!A166)*255)</f>
        <v>99</v>
      </c>
      <c r="B36">
        <f>INT(shadex('Shade - 1'!$D$9,'Shade - 1'!$E$9,'Shade - 1'!$F$9,'Shade - 1'!$D$7,Vertex!B36,Vertex!B101,Vertex!B166,Normal!B36,Normal!B101,Normal!B166)*255)</f>
        <v>95</v>
      </c>
      <c r="C36">
        <f>INT(shadex('Shade - 1'!$D$9,'Shade - 1'!$E$9,'Shade - 1'!$F$9,'Shade - 1'!$D$7,Vertex!C36,Vertex!C101,Vertex!C166,Normal!C36,Normal!C101,Normal!C166)*255)</f>
        <v>83</v>
      </c>
      <c r="D36">
        <f>INT(shadex('Shade - 1'!$D$9,'Shade - 1'!$E$9,'Shade - 1'!$F$9,'Shade - 1'!$D$7,Vertex!D36,Vertex!D101,Vertex!D166,Normal!D36,Normal!D101,Normal!D166)*255)</f>
        <v>87</v>
      </c>
      <c r="E36">
        <f>INT(shadex('Shade - 1'!$D$9,'Shade - 1'!$E$9,'Shade - 1'!$F$9,'Shade - 1'!$D$7,Vertex!E36,Vertex!E101,Vertex!E166,Normal!E36,Normal!E101,Normal!E166)*255)</f>
        <v>82</v>
      </c>
      <c r="F36">
        <f>INT(shadex('Shade - 1'!$D$9,'Shade - 1'!$E$9,'Shade - 1'!$F$9,'Shade - 1'!$D$7,Vertex!F36,Vertex!F101,Vertex!F166,Normal!F36,Normal!F101,Normal!F166)*255)</f>
        <v>44</v>
      </c>
      <c r="G36">
        <f>INT(shadex('Shade - 1'!$D$9,'Shade - 1'!$E$9,'Shade - 1'!$F$9,'Shade - 1'!$D$7,Vertex!G36,Vertex!G101,Vertex!G166,Normal!G36,Normal!G101,Normal!G166)*255)</f>
        <v>45</v>
      </c>
      <c r="H36">
        <f>INT(shadex('Shade - 1'!$D$9,'Shade - 1'!$E$9,'Shade - 1'!$F$9,'Shade - 1'!$D$7,Vertex!H36,Vertex!H101,Vertex!H166,Normal!H36,Normal!H101,Normal!H166)*255)</f>
        <v>63</v>
      </c>
      <c r="I36">
        <f>INT(shadex('Shade - 1'!$D$9,'Shade - 1'!$E$9,'Shade - 1'!$F$9,'Shade - 1'!$D$7,Vertex!I36,Vertex!I101,Vertex!I166,Normal!I36,Normal!I101,Normal!I166)*255)</f>
        <v>65</v>
      </c>
      <c r="J36">
        <f>INT(shadex('Shade - 1'!$D$9,'Shade - 1'!$E$9,'Shade - 1'!$F$9,'Shade - 1'!$D$7,Vertex!J36,Vertex!J101,Vertex!J166,Normal!J36,Normal!J101,Normal!J166)*255)</f>
        <v>38</v>
      </c>
      <c r="K36">
        <f>INT(shadex('Shade - 1'!$D$9,'Shade - 1'!$E$9,'Shade - 1'!$F$9,'Shade - 1'!$D$7,Vertex!K36,Vertex!K101,Vertex!K166,Normal!K36,Normal!K101,Normal!K166)*255)</f>
        <v>46</v>
      </c>
      <c r="L36">
        <f>INT(shadex('Shade - 1'!$D$9,'Shade - 1'!$E$9,'Shade - 1'!$F$9,'Shade - 1'!$D$7,Vertex!L36,Vertex!L101,Vertex!L166,Normal!L36,Normal!L101,Normal!L166)*255)</f>
        <v>54</v>
      </c>
      <c r="M36">
        <f>INT(shadex('Shade - 1'!$D$9,'Shade - 1'!$E$9,'Shade - 1'!$F$9,'Shade - 1'!$D$7,Vertex!M36,Vertex!M101,Vertex!M166,Normal!M36,Normal!M101,Normal!M166)*255)</f>
        <v>46</v>
      </c>
      <c r="N36">
        <f>INT(shadex('Shade - 1'!$D$9,'Shade - 1'!$E$9,'Shade - 1'!$F$9,'Shade - 1'!$D$7,Vertex!N36,Vertex!N101,Vertex!N166,Normal!N36,Normal!N101,Normal!N166)*255)</f>
        <v>78</v>
      </c>
      <c r="O36">
        <f>INT(shadex('Shade - 1'!$D$9,'Shade - 1'!$E$9,'Shade - 1'!$F$9,'Shade - 1'!$D$7,Vertex!O36,Vertex!O101,Vertex!O166,Normal!O36,Normal!O101,Normal!O166)*255)</f>
        <v>78</v>
      </c>
      <c r="P36">
        <f>INT(shadex('Shade - 1'!$D$9,'Shade - 1'!$E$9,'Shade - 1'!$F$9,'Shade - 1'!$D$7,Vertex!P36,Vertex!P101,Vertex!P166,Normal!P36,Normal!P101,Normal!P166)*255)</f>
        <v>67</v>
      </c>
      <c r="Q36">
        <f>INT(shadex('Shade - 1'!$D$9,'Shade - 1'!$E$9,'Shade - 1'!$F$9,'Shade - 1'!$D$7,Vertex!Q36,Vertex!Q101,Vertex!Q166,Normal!Q36,Normal!Q101,Normal!Q166)*255)</f>
        <v>48</v>
      </c>
      <c r="R36">
        <f>INT(shadex('Shade - 1'!$D$9,'Shade - 1'!$E$9,'Shade - 1'!$F$9,'Shade - 1'!$D$7,Vertex!R36,Vertex!R101,Vertex!R166,Normal!R36,Normal!R101,Normal!R166)*255)</f>
        <v>44</v>
      </c>
      <c r="S36">
        <f>INT(shadex('Shade - 1'!$D$9,'Shade - 1'!$E$9,'Shade - 1'!$F$9,'Shade - 1'!$D$7,Vertex!S36,Vertex!S101,Vertex!S166,Normal!S36,Normal!S101,Normal!S166)*255)</f>
        <v>55</v>
      </c>
      <c r="T36">
        <f>INT(shadex('Shade - 1'!$D$9,'Shade - 1'!$E$9,'Shade - 1'!$F$9,'Shade - 1'!$D$7,Vertex!T36,Vertex!T101,Vertex!T166,Normal!T36,Normal!T101,Normal!T166)*255)</f>
        <v>80</v>
      </c>
      <c r="U36">
        <f>INT(shadex('Shade - 1'!$D$9,'Shade - 1'!$E$9,'Shade - 1'!$F$9,'Shade - 1'!$D$7,Vertex!U36,Vertex!U101,Vertex!U166,Normal!U36,Normal!U101,Normal!U166)*255)</f>
        <v>93</v>
      </c>
      <c r="V36">
        <f>INT(shadex('Shade - 1'!$D$9,'Shade - 1'!$E$9,'Shade - 1'!$F$9,'Shade - 1'!$D$7,Vertex!V36,Vertex!V101,Vertex!V166,Normal!V36,Normal!V101,Normal!V166)*255)</f>
        <v>96</v>
      </c>
      <c r="W36">
        <f>INT(shadex('Shade - 1'!$D$9,'Shade - 1'!$E$9,'Shade - 1'!$F$9,'Shade - 1'!$D$7,Vertex!W36,Vertex!W101,Vertex!W166,Normal!W36,Normal!W101,Normal!W166)*255)</f>
        <v>91</v>
      </c>
      <c r="X36">
        <f>INT(shadex('Shade - 1'!$D$9,'Shade - 1'!$E$9,'Shade - 1'!$F$9,'Shade - 1'!$D$7,Vertex!X36,Vertex!X101,Vertex!X166,Normal!X36,Normal!X101,Normal!X166)*255)</f>
        <v>77</v>
      </c>
      <c r="Y36">
        <f>INT(shadex('Shade - 1'!$D$9,'Shade - 1'!$E$9,'Shade - 1'!$F$9,'Shade - 1'!$D$7,Vertex!Y36,Vertex!Y101,Vertex!Y166,Normal!Y36,Normal!Y101,Normal!Y166)*255)</f>
        <v>84</v>
      </c>
      <c r="Z36">
        <f>INT(shadex('Shade - 1'!$D$9,'Shade - 1'!$E$9,'Shade - 1'!$F$9,'Shade - 1'!$D$7,Vertex!Z36,Vertex!Z101,Vertex!Z166,Normal!Z36,Normal!Z101,Normal!Z166)*255)</f>
        <v>99</v>
      </c>
      <c r="AA36">
        <f>INT(shadex('Shade - 1'!$D$9,'Shade - 1'!$E$9,'Shade - 1'!$F$9,'Shade - 1'!$D$7,Vertex!AA36,Vertex!AA101,Vertex!AA166,Normal!AA36,Normal!AA101,Normal!AA166)*255)</f>
        <v>91</v>
      </c>
      <c r="AB36">
        <f>INT(shadex('Shade - 1'!$D$9,'Shade - 1'!$E$9,'Shade - 1'!$F$9,'Shade - 1'!$D$7,Vertex!AB36,Vertex!AB101,Vertex!AB166,Normal!AB36,Normal!AB101,Normal!AB166)*255)</f>
        <v>71</v>
      </c>
      <c r="AC36">
        <f>INT(shadex('Shade - 1'!$D$9,'Shade - 1'!$E$9,'Shade - 1'!$F$9,'Shade - 1'!$D$7,Vertex!AC36,Vertex!AC101,Vertex!AC166,Normal!AC36,Normal!AC101,Normal!AC166)*255)</f>
        <v>67</v>
      </c>
      <c r="AD36">
        <f>INT(shadex('Shade - 1'!$D$9,'Shade - 1'!$E$9,'Shade - 1'!$F$9,'Shade - 1'!$D$7,Vertex!AD36,Vertex!AD101,Vertex!AD166,Normal!AD36,Normal!AD101,Normal!AD166)*255)</f>
        <v>84</v>
      </c>
      <c r="AE36">
        <f>INT(shadex('Shade - 1'!$D$9,'Shade - 1'!$E$9,'Shade - 1'!$F$9,'Shade - 1'!$D$7,Vertex!AE36,Vertex!AE101,Vertex!AE166,Normal!AE36,Normal!AE101,Normal!AE166)*255)</f>
        <v>70</v>
      </c>
      <c r="AF36">
        <f>INT(shadex('Shade - 1'!$D$9,'Shade - 1'!$E$9,'Shade - 1'!$F$9,'Shade - 1'!$D$7,Vertex!AF36,Vertex!AF101,Vertex!AF166,Normal!AF36,Normal!AF101,Normal!AF166)*255)</f>
        <v>75</v>
      </c>
      <c r="AG36">
        <f>INT(shadex('Shade - 1'!$D$9,'Shade - 1'!$E$9,'Shade - 1'!$F$9,'Shade - 1'!$D$7,Vertex!AG36,Vertex!AG101,Vertex!AG166,Normal!AG36,Normal!AG101,Normal!AG166)*255)</f>
        <v>92</v>
      </c>
      <c r="AH36">
        <f>INT(shadex('Shade - 1'!$D$9,'Shade - 1'!$E$9,'Shade - 1'!$F$9,'Shade - 1'!$D$7,Vertex!AH36,Vertex!AH101,Vertex!AH166,Normal!AH36,Normal!AH101,Normal!AH166)*255)</f>
        <v>91</v>
      </c>
      <c r="AI36" s="4">
        <f>INT(shadex('Shade - 1'!$D$9,'Shade - 1'!$E$9,'Shade - 1'!$F$9,'Shade - 1'!$D$7,Vertex!AI36,Vertex!AI101,Vertex!AI166,Normal!AI36,Normal!AI101,Normal!AI166)*255)</f>
        <v>90</v>
      </c>
      <c r="AJ36" s="4">
        <f>INT(shadex('Shade - 1'!$D$9,'Shade - 1'!$E$9,'Shade - 1'!$F$9,'Shade - 1'!$D$7,Vertex!AJ36,Vertex!AJ101,Vertex!AJ166,Normal!AJ36,Normal!AJ101,Normal!AJ166)*255)</f>
        <v>83</v>
      </c>
      <c r="AK36" s="4">
        <f>INT(shadex('Shade - 1'!$D$9,'Shade - 1'!$E$9,'Shade - 1'!$F$9,'Shade - 1'!$D$7,Vertex!AK36,Vertex!AK101,Vertex!AK166,Normal!AK36,Normal!AK101,Normal!AK166)*255)</f>
        <v>63</v>
      </c>
      <c r="AL36" s="4">
        <f>INT(shadex('Shade - 1'!$D$9,'Shade - 1'!$E$9,'Shade - 1'!$F$9,'Shade - 1'!$D$7,Vertex!AL36,Vertex!AL101,Vertex!AL166,Normal!AL36,Normal!AL101,Normal!AL166)*255)</f>
        <v>66</v>
      </c>
      <c r="AM36" s="4">
        <f>INT(shadex('Shade - 1'!$D$9,'Shade - 1'!$E$9,'Shade - 1'!$F$9,'Shade - 1'!$D$7,Vertex!AM36,Vertex!AM101,Vertex!AM166,Normal!AM36,Normal!AM101,Normal!AM166)*255)</f>
        <v>67</v>
      </c>
      <c r="AN36" s="4">
        <f>INT(shadex('Shade - 1'!$D$9,'Shade - 1'!$E$9,'Shade - 1'!$F$9,'Shade - 1'!$D$7,Vertex!AN36,Vertex!AN101,Vertex!AN166,Normal!AN36,Normal!AN101,Normal!AN166)*255)</f>
        <v>54</v>
      </c>
      <c r="AO36" s="4">
        <f>INT(shadex('Shade - 1'!$D$9,'Shade - 1'!$E$9,'Shade - 1'!$F$9,'Shade - 1'!$D$7,Vertex!AO36,Vertex!AO101,Vertex!AO166,Normal!AO36,Normal!AO101,Normal!AO166)*255)</f>
        <v>57</v>
      </c>
      <c r="AP36" s="4">
        <f>INT(shadex('Shade - 1'!$D$9,'Shade - 1'!$E$9,'Shade - 1'!$F$9,'Shade - 1'!$D$7,Vertex!AP36,Vertex!AP101,Vertex!AP166,Normal!AP36,Normal!AP101,Normal!AP166)*255)</f>
        <v>64</v>
      </c>
      <c r="AQ36" s="4">
        <f>INT(shadex('Shade - 1'!$D$9,'Shade - 1'!$E$9,'Shade - 1'!$F$9,'Shade - 1'!$D$7,Vertex!AQ36,Vertex!AQ101,Vertex!AQ166,Normal!AQ36,Normal!AQ101,Normal!AQ166)*255)</f>
        <v>66</v>
      </c>
      <c r="AR36" s="4">
        <f>INT(shadex('Shade - 1'!$D$9,'Shade - 1'!$E$9,'Shade - 1'!$F$9,'Shade - 1'!$D$7,Vertex!AR36,Vertex!AR101,Vertex!AR166,Normal!AR36,Normal!AR101,Normal!AR166)*255)</f>
        <v>72</v>
      </c>
      <c r="AS36" s="4">
        <f>INT(shadex('Shade - 1'!$D$9,'Shade - 1'!$E$9,'Shade - 1'!$F$9,'Shade - 1'!$D$7,Vertex!AS36,Vertex!AS101,Vertex!AS166,Normal!AS36,Normal!AS101,Normal!AS166)*255)</f>
        <v>73</v>
      </c>
      <c r="AT36" s="4">
        <f>INT(shadex('Shade - 1'!$D$9,'Shade - 1'!$E$9,'Shade - 1'!$F$9,'Shade - 1'!$D$7,Vertex!AT36,Vertex!AT101,Vertex!AT166,Normal!AT36,Normal!AT101,Normal!AT166)*255)</f>
        <v>66</v>
      </c>
      <c r="AU36" s="4">
        <f>INT(shadex('Shade - 1'!$D$9,'Shade - 1'!$E$9,'Shade - 1'!$F$9,'Shade - 1'!$D$7,Vertex!AU36,Vertex!AU101,Vertex!AU166,Normal!AU36,Normal!AU101,Normal!AU166)*255)</f>
        <v>78</v>
      </c>
      <c r="AV36" s="4">
        <f>INT(shadex('Shade - 1'!$D$9,'Shade - 1'!$E$9,'Shade - 1'!$F$9,'Shade - 1'!$D$7,Vertex!AV36,Vertex!AV101,Vertex!AV166,Normal!AV36,Normal!AV101,Normal!AV166)*255)</f>
        <v>84</v>
      </c>
      <c r="AW36" s="4">
        <f>INT(shadex('Shade - 1'!$D$9,'Shade - 1'!$E$9,'Shade - 1'!$F$9,'Shade - 1'!$D$7,Vertex!AW36,Vertex!AW101,Vertex!AW166,Normal!AW36,Normal!AW101,Normal!AW166)*255)</f>
        <v>80</v>
      </c>
      <c r="AX36" s="4">
        <f>INT(shadex('Shade - 1'!$D$9,'Shade - 1'!$E$9,'Shade - 1'!$F$9,'Shade - 1'!$D$7,Vertex!AX36,Vertex!AX101,Vertex!AX166,Normal!AX36,Normal!AX101,Normal!AX166)*255)</f>
        <v>64</v>
      </c>
      <c r="AY36" s="4">
        <f>INT(shadex('Shade - 1'!$D$9,'Shade - 1'!$E$9,'Shade - 1'!$F$9,'Shade - 1'!$D$7,Vertex!AY36,Vertex!AY101,Vertex!AY166,Normal!AY36,Normal!AY101,Normal!AY166)*255)</f>
        <v>51</v>
      </c>
      <c r="AZ36" s="4">
        <f>INT(shadex('Shade - 1'!$D$9,'Shade - 1'!$E$9,'Shade - 1'!$F$9,'Shade - 1'!$D$7,Vertex!AZ36,Vertex!AZ101,Vertex!AZ166,Normal!AZ36,Normal!AZ101,Normal!AZ166)*255)</f>
        <v>55</v>
      </c>
      <c r="BA36" s="4">
        <f>INT(shadex('Shade - 1'!$D$9,'Shade - 1'!$E$9,'Shade - 1'!$F$9,'Shade - 1'!$D$7,Vertex!BA36,Vertex!BA101,Vertex!BA166,Normal!BA36,Normal!BA101,Normal!BA166)*255)</f>
        <v>52</v>
      </c>
      <c r="BB36" s="4">
        <f>INT(shadex('Shade - 1'!$D$9,'Shade - 1'!$E$9,'Shade - 1'!$F$9,'Shade - 1'!$D$7,Vertex!BB36,Vertex!BB101,Vertex!BB166,Normal!BB36,Normal!BB101,Normal!BB166)*255)</f>
        <v>49</v>
      </c>
      <c r="BC36" s="4">
        <f>INT(shadex('Shade - 1'!$D$9,'Shade - 1'!$E$9,'Shade - 1'!$F$9,'Shade - 1'!$D$7,Vertex!BC36,Vertex!BC101,Vertex!BC166,Normal!BC36,Normal!BC101,Normal!BC166)*255)</f>
        <v>72</v>
      </c>
      <c r="BD36" s="4">
        <f>INT(shadex('Shade - 1'!$D$9,'Shade - 1'!$E$9,'Shade - 1'!$F$9,'Shade - 1'!$D$7,Vertex!BD36,Vertex!BD101,Vertex!BD166,Normal!BD36,Normal!BD101,Normal!BD166)*255)</f>
        <v>82</v>
      </c>
      <c r="BE36" s="4">
        <f>INT(shadex('Shade - 1'!$D$9,'Shade - 1'!$E$9,'Shade - 1'!$F$9,'Shade - 1'!$D$7,Vertex!BE36,Vertex!BE101,Vertex!BE166,Normal!BE36,Normal!BE101,Normal!BE166)*255)</f>
        <v>81</v>
      </c>
      <c r="BF36" s="4">
        <f>INT(shadex('Shade - 1'!$D$9,'Shade - 1'!$E$9,'Shade - 1'!$F$9,'Shade - 1'!$D$7,Vertex!BF36,Vertex!BF101,Vertex!BF166,Normal!BF36,Normal!BF101,Normal!BF166)*255)</f>
        <v>79</v>
      </c>
      <c r="BG36" s="4">
        <f>INT(shadex('Shade - 1'!$D$9,'Shade - 1'!$E$9,'Shade - 1'!$F$9,'Shade - 1'!$D$7,Vertex!BG36,Vertex!BG101,Vertex!BG166,Normal!BG36,Normal!BG101,Normal!BG166)*255)</f>
        <v>93</v>
      </c>
      <c r="BH36" s="4">
        <f>INT(shadex('Shade - 1'!$D$9,'Shade - 1'!$E$9,'Shade - 1'!$F$9,'Shade - 1'!$D$7,Vertex!BH36,Vertex!BH101,Vertex!BH166,Normal!BH36,Normal!BH101,Normal!BH166)*255)</f>
        <v>97</v>
      </c>
      <c r="BI36" s="4">
        <f>INT(shadex('Shade - 1'!$D$9,'Shade - 1'!$E$9,'Shade - 1'!$F$9,'Shade - 1'!$D$7,Vertex!BI36,Vertex!BI101,Vertex!BI166,Normal!BI36,Normal!BI101,Normal!BI166)*255)</f>
        <v>96</v>
      </c>
      <c r="BJ36" s="4">
        <f>INT(shadex('Shade - 1'!$D$9,'Shade - 1'!$E$9,'Shade - 1'!$F$9,'Shade - 1'!$D$7,Vertex!BJ36,Vertex!BJ101,Vertex!BJ166,Normal!BJ36,Normal!BJ101,Normal!BJ166)*255)</f>
        <v>89</v>
      </c>
      <c r="BK36" s="4">
        <f>INT(shadex('Shade - 1'!$D$9,'Shade - 1'!$E$9,'Shade - 1'!$F$9,'Shade - 1'!$D$7,Vertex!BK36,Vertex!BK101,Vertex!BK166,Normal!BK36,Normal!BK101,Normal!BK166)*255)</f>
        <v>82</v>
      </c>
      <c r="BL36" s="4">
        <f>INT(shadex('Shade - 1'!$D$9,'Shade - 1'!$E$9,'Shade - 1'!$F$9,'Shade - 1'!$D$7,Vertex!BL36,Vertex!BL101,Vertex!BL166,Normal!BL36,Normal!BL101,Normal!BL166)*255)</f>
        <v>89</v>
      </c>
    </row>
    <row r="37" spans="1:64" x14ac:dyDescent="0.25">
      <c r="A37">
        <f>INT(shadex('Shade - 1'!$D$9,'Shade - 1'!$E$9,'Shade - 1'!$F$9,'Shade - 1'!$D$7,Vertex!A37,Vertex!A102,Vertex!A167,Normal!A37,Normal!A102,Normal!A167)*255)</f>
        <v>81</v>
      </c>
      <c r="B37">
        <f>INT(shadex('Shade - 1'!$D$9,'Shade - 1'!$E$9,'Shade - 1'!$F$9,'Shade - 1'!$D$7,Vertex!B37,Vertex!B102,Vertex!B167,Normal!B37,Normal!B102,Normal!B167)*255)</f>
        <v>81</v>
      </c>
      <c r="C37">
        <f>INT(shadex('Shade - 1'!$D$9,'Shade - 1'!$E$9,'Shade - 1'!$F$9,'Shade - 1'!$D$7,Vertex!C37,Vertex!C102,Vertex!C167,Normal!C37,Normal!C102,Normal!C167)*255)</f>
        <v>81</v>
      </c>
      <c r="D37">
        <f>INT(shadex('Shade - 1'!$D$9,'Shade - 1'!$E$9,'Shade - 1'!$F$9,'Shade - 1'!$D$7,Vertex!D37,Vertex!D102,Vertex!D167,Normal!D37,Normal!D102,Normal!D167)*255)</f>
        <v>87</v>
      </c>
      <c r="E37">
        <f>INT(shadex('Shade - 1'!$D$9,'Shade - 1'!$E$9,'Shade - 1'!$F$9,'Shade - 1'!$D$7,Vertex!E37,Vertex!E102,Vertex!E167,Normal!E37,Normal!E102,Normal!E167)*255)</f>
        <v>87</v>
      </c>
      <c r="F37">
        <f>INT(shadex('Shade - 1'!$D$9,'Shade - 1'!$E$9,'Shade - 1'!$F$9,'Shade - 1'!$D$7,Vertex!F37,Vertex!F102,Vertex!F167,Normal!F37,Normal!F102,Normal!F167)*255)</f>
        <v>56</v>
      </c>
      <c r="G37">
        <f>INT(shadex('Shade - 1'!$D$9,'Shade - 1'!$E$9,'Shade - 1'!$F$9,'Shade - 1'!$D$7,Vertex!G37,Vertex!G102,Vertex!G167,Normal!G37,Normal!G102,Normal!G167)*255)</f>
        <v>34</v>
      </c>
      <c r="H37">
        <f>INT(shadex('Shade - 1'!$D$9,'Shade - 1'!$E$9,'Shade - 1'!$F$9,'Shade - 1'!$D$7,Vertex!H37,Vertex!H102,Vertex!H167,Normal!H37,Normal!H102,Normal!H167)*255)</f>
        <v>37</v>
      </c>
      <c r="I37">
        <f>INT(shadex('Shade - 1'!$D$9,'Shade - 1'!$E$9,'Shade - 1'!$F$9,'Shade - 1'!$D$7,Vertex!I37,Vertex!I102,Vertex!I167,Normal!I37,Normal!I102,Normal!I167)*255)</f>
        <v>60</v>
      </c>
      <c r="J37">
        <f>INT(shadex('Shade - 1'!$D$9,'Shade - 1'!$E$9,'Shade - 1'!$F$9,'Shade - 1'!$D$7,Vertex!J37,Vertex!J102,Vertex!J167,Normal!J37,Normal!J102,Normal!J167)*255)</f>
        <v>46</v>
      </c>
      <c r="K37">
        <f>INT(shadex('Shade - 1'!$D$9,'Shade - 1'!$E$9,'Shade - 1'!$F$9,'Shade - 1'!$D$7,Vertex!K37,Vertex!K102,Vertex!K167,Normal!K37,Normal!K102,Normal!K167)*255)</f>
        <v>34</v>
      </c>
      <c r="L37">
        <f>INT(shadex('Shade - 1'!$D$9,'Shade - 1'!$E$9,'Shade - 1'!$F$9,'Shade - 1'!$D$7,Vertex!L37,Vertex!L102,Vertex!L167,Normal!L37,Normal!L102,Normal!L167)*255)</f>
        <v>34</v>
      </c>
      <c r="M37">
        <f>INT(shadex('Shade - 1'!$D$9,'Shade - 1'!$E$9,'Shade - 1'!$F$9,'Shade - 1'!$D$7,Vertex!M37,Vertex!M102,Vertex!M167,Normal!M37,Normal!M102,Normal!M167)*255)</f>
        <v>35</v>
      </c>
      <c r="N37">
        <f>INT(shadex('Shade - 1'!$D$9,'Shade - 1'!$E$9,'Shade - 1'!$F$9,'Shade - 1'!$D$7,Vertex!N37,Vertex!N102,Vertex!N167,Normal!N37,Normal!N102,Normal!N167)*255)</f>
        <v>65</v>
      </c>
      <c r="O37">
        <f>INT(shadex('Shade - 1'!$D$9,'Shade - 1'!$E$9,'Shade - 1'!$F$9,'Shade - 1'!$D$7,Vertex!O37,Vertex!O102,Vertex!O167,Normal!O37,Normal!O102,Normal!O167)*255)</f>
        <v>75</v>
      </c>
      <c r="P37">
        <f>INT(shadex('Shade - 1'!$D$9,'Shade - 1'!$E$9,'Shade - 1'!$F$9,'Shade - 1'!$D$7,Vertex!P37,Vertex!P102,Vertex!P167,Normal!P37,Normal!P102,Normal!P167)*255)</f>
        <v>69</v>
      </c>
      <c r="Q37">
        <f>INT(shadex('Shade - 1'!$D$9,'Shade - 1'!$E$9,'Shade - 1'!$F$9,'Shade - 1'!$D$7,Vertex!Q37,Vertex!Q102,Vertex!Q167,Normal!Q37,Normal!Q102,Normal!Q167)*255)</f>
        <v>52</v>
      </c>
      <c r="R37">
        <f>INT(shadex('Shade - 1'!$D$9,'Shade - 1'!$E$9,'Shade - 1'!$F$9,'Shade - 1'!$D$7,Vertex!R37,Vertex!R102,Vertex!R167,Normal!R37,Normal!R102,Normal!R167)*255)</f>
        <v>50</v>
      </c>
      <c r="S37">
        <f>INT(shadex('Shade - 1'!$D$9,'Shade - 1'!$E$9,'Shade - 1'!$F$9,'Shade - 1'!$D$7,Vertex!S37,Vertex!S102,Vertex!S167,Normal!S37,Normal!S102,Normal!S167)*255)</f>
        <v>44</v>
      </c>
      <c r="T37">
        <f>INT(shadex('Shade - 1'!$D$9,'Shade - 1'!$E$9,'Shade - 1'!$F$9,'Shade - 1'!$D$7,Vertex!T37,Vertex!T102,Vertex!T167,Normal!T37,Normal!T102,Normal!T167)*255)</f>
        <v>69</v>
      </c>
      <c r="U37">
        <f>INT(shadex('Shade - 1'!$D$9,'Shade - 1'!$E$9,'Shade - 1'!$F$9,'Shade - 1'!$D$7,Vertex!U37,Vertex!U102,Vertex!U167,Normal!U37,Normal!U102,Normal!U167)*255)</f>
        <v>90</v>
      </c>
      <c r="V37">
        <f>INT(shadex('Shade - 1'!$D$9,'Shade - 1'!$E$9,'Shade - 1'!$F$9,'Shade - 1'!$D$7,Vertex!V37,Vertex!V102,Vertex!V167,Normal!V37,Normal!V102,Normal!V167)*255)</f>
        <v>92</v>
      </c>
      <c r="W37">
        <f>INT(shadex('Shade - 1'!$D$9,'Shade - 1'!$E$9,'Shade - 1'!$F$9,'Shade - 1'!$D$7,Vertex!W37,Vertex!W102,Vertex!W167,Normal!W37,Normal!W102,Normal!W167)*255)</f>
        <v>86</v>
      </c>
      <c r="X37">
        <f>INT(shadex('Shade - 1'!$D$9,'Shade - 1'!$E$9,'Shade - 1'!$F$9,'Shade - 1'!$D$7,Vertex!X37,Vertex!X102,Vertex!X167,Normal!X37,Normal!X102,Normal!X167)*255)</f>
        <v>65</v>
      </c>
      <c r="Y37">
        <f>INT(shadex('Shade - 1'!$D$9,'Shade - 1'!$E$9,'Shade - 1'!$F$9,'Shade - 1'!$D$7,Vertex!Y37,Vertex!Y102,Vertex!Y167,Normal!Y37,Normal!Y102,Normal!Y167)*255)</f>
        <v>90</v>
      </c>
      <c r="Z37">
        <f>INT(shadex('Shade - 1'!$D$9,'Shade - 1'!$E$9,'Shade - 1'!$F$9,'Shade - 1'!$D$7,Vertex!Z37,Vertex!Z102,Vertex!Z167,Normal!Z37,Normal!Z102,Normal!Z167)*255)</f>
        <v>98</v>
      </c>
      <c r="AA37">
        <f>INT(shadex('Shade - 1'!$D$9,'Shade - 1'!$E$9,'Shade - 1'!$F$9,'Shade - 1'!$D$7,Vertex!AA37,Vertex!AA102,Vertex!AA167,Normal!AA37,Normal!AA102,Normal!AA167)*255)</f>
        <v>97</v>
      </c>
      <c r="AB37">
        <f>INT(shadex('Shade - 1'!$D$9,'Shade - 1'!$E$9,'Shade - 1'!$F$9,'Shade - 1'!$D$7,Vertex!AB37,Vertex!AB102,Vertex!AB167,Normal!AB37,Normal!AB102,Normal!AB167)*255)</f>
        <v>89</v>
      </c>
      <c r="AC37">
        <f>INT(shadex('Shade - 1'!$D$9,'Shade - 1'!$E$9,'Shade - 1'!$F$9,'Shade - 1'!$D$7,Vertex!AC37,Vertex!AC102,Vertex!AC167,Normal!AC37,Normal!AC102,Normal!AC167)*255)</f>
        <v>76</v>
      </c>
      <c r="AD37">
        <f>INT(shadex('Shade - 1'!$D$9,'Shade - 1'!$E$9,'Shade - 1'!$F$9,'Shade - 1'!$D$7,Vertex!AD37,Vertex!AD102,Vertex!AD167,Normal!AD37,Normal!AD102,Normal!AD167)*255)</f>
        <v>59</v>
      </c>
      <c r="AE37">
        <f>INT(shadex('Shade - 1'!$D$9,'Shade - 1'!$E$9,'Shade - 1'!$F$9,'Shade - 1'!$D$7,Vertex!AE37,Vertex!AE102,Vertex!AE167,Normal!AE37,Normal!AE102,Normal!AE167)*255)</f>
        <v>63</v>
      </c>
      <c r="AF37">
        <f>INT(shadex('Shade - 1'!$D$9,'Shade - 1'!$E$9,'Shade - 1'!$F$9,'Shade - 1'!$D$7,Vertex!AF37,Vertex!AF102,Vertex!AF167,Normal!AF37,Normal!AF102,Normal!AF167)*255)</f>
        <v>86</v>
      </c>
      <c r="AG37">
        <f>INT(shadex('Shade - 1'!$D$9,'Shade - 1'!$E$9,'Shade - 1'!$F$9,'Shade - 1'!$D$7,Vertex!AG37,Vertex!AG102,Vertex!AG167,Normal!AG37,Normal!AG102,Normal!AG167)*255)</f>
        <v>89</v>
      </c>
      <c r="AH37">
        <f>INT(shadex('Shade - 1'!$D$9,'Shade - 1'!$E$9,'Shade - 1'!$F$9,'Shade - 1'!$D$7,Vertex!AH37,Vertex!AH102,Vertex!AH167,Normal!AH37,Normal!AH102,Normal!AH167)*255)</f>
        <v>88</v>
      </c>
      <c r="AI37" s="4">
        <f>INT(shadex('Shade - 1'!$D$9,'Shade - 1'!$E$9,'Shade - 1'!$F$9,'Shade - 1'!$D$7,Vertex!AI37,Vertex!AI102,Vertex!AI167,Normal!AI37,Normal!AI102,Normal!AI167)*255)</f>
        <v>87</v>
      </c>
      <c r="AJ37" s="4">
        <f>INT(shadex('Shade - 1'!$D$9,'Shade - 1'!$E$9,'Shade - 1'!$F$9,'Shade - 1'!$D$7,Vertex!AJ37,Vertex!AJ102,Vertex!AJ167,Normal!AJ37,Normal!AJ102,Normal!AJ167)*255)</f>
        <v>89</v>
      </c>
      <c r="AK37" s="4">
        <f>INT(shadex('Shade - 1'!$D$9,'Shade - 1'!$E$9,'Shade - 1'!$F$9,'Shade - 1'!$D$7,Vertex!AK37,Vertex!AK102,Vertex!AK167,Normal!AK37,Normal!AK102,Normal!AK167)*255)</f>
        <v>82</v>
      </c>
      <c r="AL37" s="4">
        <f>INT(shadex('Shade - 1'!$D$9,'Shade - 1'!$E$9,'Shade - 1'!$F$9,'Shade - 1'!$D$7,Vertex!AL37,Vertex!AL102,Vertex!AL167,Normal!AL37,Normal!AL102,Normal!AL167)*255)</f>
        <v>76</v>
      </c>
      <c r="AM37" s="4">
        <f>INT(shadex('Shade - 1'!$D$9,'Shade - 1'!$E$9,'Shade - 1'!$F$9,'Shade - 1'!$D$7,Vertex!AM37,Vertex!AM102,Vertex!AM167,Normal!AM37,Normal!AM102,Normal!AM167)*255)</f>
        <v>79</v>
      </c>
      <c r="AN37" s="4">
        <f>INT(shadex('Shade - 1'!$D$9,'Shade - 1'!$E$9,'Shade - 1'!$F$9,'Shade - 1'!$D$7,Vertex!AN37,Vertex!AN102,Vertex!AN167,Normal!AN37,Normal!AN102,Normal!AN167)*255)</f>
        <v>75</v>
      </c>
      <c r="AO37" s="4">
        <f>INT(shadex('Shade - 1'!$D$9,'Shade - 1'!$E$9,'Shade - 1'!$F$9,'Shade - 1'!$D$7,Vertex!AO37,Vertex!AO102,Vertex!AO167,Normal!AO37,Normal!AO102,Normal!AO167)*255)</f>
        <v>76</v>
      </c>
      <c r="AP37" s="4">
        <f>INT(shadex('Shade - 1'!$D$9,'Shade - 1'!$E$9,'Shade - 1'!$F$9,'Shade - 1'!$D$7,Vertex!AP37,Vertex!AP102,Vertex!AP167,Normal!AP37,Normal!AP102,Normal!AP167)*255)</f>
        <v>73</v>
      </c>
      <c r="AQ37" s="4">
        <f>INT(shadex('Shade - 1'!$D$9,'Shade - 1'!$E$9,'Shade - 1'!$F$9,'Shade - 1'!$D$7,Vertex!AQ37,Vertex!AQ102,Vertex!AQ167,Normal!AQ37,Normal!AQ102,Normal!AQ167)*255)</f>
        <v>70</v>
      </c>
      <c r="AR37" s="4">
        <f>INT(shadex('Shade - 1'!$D$9,'Shade - 1'!$E$9,'Shade - 1'!$F$9,'Shade - 1'!$D$7,Vertex!AR37,Vertex!AR102,Vertex!AR167,Normal!AR37,Normal!AR102,Normal!AR167)*255)</f>
        <v>75</v>
      </c>
      <c r="AS37" s="4">
        <f>INT(shadex('Shade - 1'!$D$9,'Shade - 1'!$E$9,'Shade - 1'!$F$9,'Shade - 1'!$D$7,Vertex!AS37,Vertex!AS102,Vertex!AS167,Normal!AS37,Normal!AS102,Normal!AS167)*255)</f>
        <v>71</v>
      </c>
      <c r="AT37" s="4">
        <f>INT(shadex('Shade - 1'!$D$9,'Shade - 1'!$E$9,'Shade - 1'!$F$9,'Shade - 1'!$D$7,Vertex!AT37,Vertex!AT102,Vertex!AT167,Normal!AT37,Normal!AT102,Normal!AT167)*255)</f>
        <v>75</v>
      </c>
      <c r="AU37" s="4">
        <f>INT(shadex('Shade - 1'!$D$9,'Shade - 1'!$E$9,'Shade - 1'!$F$9,'Shade - 1'!$D$7,Vertex!AU37,Vertex!AU102,Vertex!AU167,Normal!AU37,Normal!AU102,Normal!AU167)*255)</f>
        <v>85</v>
      </c>
      <c r="AV37" s="4">
        <f>INT(shadex('Shade - 1'!$D$9,'Shade - 1'!$E$9,'Shade - 1'!$F$9,'Shade - 1'!$D$7,Vertex!AV37,Vertex!AV102,Vertex!AV167,Normal!AV37,Normal!AV102,Normal!AV167)*255)</f>
        <v>85</v>
      </c>
      <c r="AW37" s="4">
        <f>INT(shadex('Shade - 1'!$D$9,'Shade - 1'!$E$9,'Shade - 1'!$F$9,'Shade - 1'!$D$7,Vertex!AW37,Vertex!AW102,Vertex!AW167,Normal!AW37,Normal!AW102,Normal!AW167)*255)</f>
        <v>89</v>
      </c>
      <c r="AX37" s="4">
        <f>INT(shadex('Shade - 1'!$D$9,'Shade - 1'!$E$9,'Shade - 1'!$F$9,'Shade - 1'!$D$7,Vertex!AX37,Vertex!AX102,Vertex!AX167,Normal!AX37,Normal!AX102,Normal!AX167)*255)</f>
        <v>88</v>
      </c>
      <c r="AY37" s="4">
        <f>INT(shadex('Shade - 1'!$D$9,'Shade - 1'!$E$9,'Shade - 1'!$F$9,'Shade - 1'!$D$7,Vertex!AY37,Vertex!AY102,Vertex!AY167,Normal!AY37,Normal!AY102,Normal!AY167)*255)</f>
        <v>77</v>
      </c>
      <c r="AZ37" s="4">
        <f>INT(shadex('Shade - 1'!$D$9,'Shade - 1'!$E$9,'Shade - 1'!$F$9,'Shade - 1'!$D$7,Vertex!AZ37,Vertex!AZ102,Vertex!AZ167,Normal!AZ37,Normal!AZ102,Normal!AZ167)*255)</f>
        <v>67</v>
      </c>
      <c r="BA37" s="4">
        <f>INT(shadex('Shade - 1'!$D$9,'Shade - 1'!$E$9,'Shade - 1'!$F$9,'Shade - 1'!$D$7,Vertex!BA37,Vertex!BA102,Vertex!BA167,Normal!BA37,Normal!BA102,Normal!BA167)*255)</f>
        <v>58</v>
      </c>
      <c r="BB37" s="4">
        <f>INT(shadex('Shade - 1'!$D$9,'Shade - 1'!$E$9,'Shade - 1'!$F$9,'Shade - 1'!$D$7,Vertex!BB37,Vertex!BB102,Vertex!BB167,Normal!BB37,Normal!BB102,Normal!BB167)*255)</f>
        <v>61</v>
      </c>
      <c r="BC37" s="4">
        <f>INT(shadex('Shade - 1'!$D$9,'Shade - 1'!$E$9,'Shade - 1'!$F$9,'Shade - 1'!$D$7,Vertex!BC37,Vertex!BC102,Vertex!BC167,Normal!BC37,Normal!BC102,Normal!BC167)*255)</f>
        <v>74</v>
      </c>
      <c r="BD37" s="4">
        <f>INT(shadex('Shade - 1'!$D$9,'Shade - 1'!$E$9,'Shade - 1'!$F$9,'Shade - 1'!$D$7,Vertex!BD37,Vertex!BD102,Vertex!BD167,Normal!BD37,Normal!BD102,Normal!BD167)*255)</f>
        <v>82</v>
      </c>
      <c r="BE37" s="4">
        <f>INT(shadex('Shade - 1'!$D$9,'Shade - 1'!$E$9,'Shade - 1'!$F$9,'Shade - 1'!$D$7,Vertex!BE37,Vertex!BE102,Vertex!BE167,Normal!BE37,Normal!BE102,Normal!BE167)*255)</f>
        <v>79</v>
      </c>
      <c r="BF37" s="4">
        <f>INT(shadex('Shade - 1'!$D$9,'Shade - 1'!$E$9,'Shade - 1'!$F$9,'Shade - 1'!$D$7,Vertex!BF37,Vertex!BF102,Vertex!BF167,Normal!BF37,Normal!BF102,Normal!BF167)*255)</f>
        <v>52</v>
      </c>
      <c r="BG37" s="4">
        <f>INT(shadex('Shade - 1'!$D$9,'Shade - 1'!$E$9,'Shade - 1'!$F$9,'Shade - 1'!$D$7,Vertex!BG37,Vertex!BG102,Vertex!BG167,Normal!BG37,Normal!BG102,Normal!BG167)*255)</f>
        <v>82</v>
      </c>
      <c r="BH37" s="4">
        <f>INT(shadex('Shade - 1'!$D$9,'Shade - 1'!$E$9,'Shade - 1'!$F$9,'Shade - 1'!$D$7,Vertex!BH37,Vertex!BH102,Vertex!BH167,Normal!BH37,Normal!BH102,Normal!BH167)*255)</f>
        <v>94</v>
      </c>
      <c r="BI37" s="4">
        <f>INT(shadex('Shade - 1'!$D$9,'Shade - 1'!$E$9,'Shade - 1'!$F$9,'Shade - 1'!$D$7,Vertex!BI37,Vertex!BI102,Vertex!BI167,Normal!BI37,Normal!BI102,Normal!BI167)*255)</f>
        <v>91</v>
      </c>
      <c r="BJ37" s="4">
        <f>INT(shadex('Shade - 1'!$D$9,'Shade - 1'!$E$9,'Shade - 1'!$F$9,'Shade - 1'!$D$7,Vertex!BJ37,Vertex!BJ102,Vertex!BJ167,Normal!BJ37,Normal!BJ102,Normal!BJ167)*255)</f>
        <v>88</v>
      </c>
      <c r="BK37" s="4">
        <f>INT(shadex('Shade - 1'!$D$9,'Shade - 1'!$E$9,'Shade - 1'!$F$9,'Shade - 1'!$D$7,Vertex!BK37,Vertex!BK102,Vertex!BK167,Normal!BK37,Normal!BK102,Normal!BK167)*255)</f>
        <v>89</v>
      </c>
      <c r="BL37" s="4">
        <f>INT(shadex('Shade - 1'!$D$9,'Shade - 1'!$E$9,'Shade - 1'!$F$9,'Shade - 1'!$D$7,Vertex!BL37,Vertex!BL102,Vertex!BL167,Normal!BL37,Normal!BL102,Normal!BL167)*255)</f>
        <v>82</v>
      </c>
    </row>
    <row r="38" spans="1:64" x14ac:dyDescent="0.25">
      <c r="A38">
        <f>INT(shadex('Shade - 1'!$D$9,'Shade - 1'!$E$9,'Shade - 1'!$F$9,'Shade - 1'!$D$7,Vertex!A38,Vertex!A103,Vertex!A168,Normal!A38,Normal!A103,Normal!A168)*255)</f>
        <v>68</v>
      </c>
      <c r="B38">
        <f>INT(shadex('Shade - 1'!$D$9,'Shade - 1'!$E$9,'Shade - 1'!$F$9,'Shade - 1'!$D$7,Vertex!B38,Vertex!B103,Vertex!B168,Normal!B38,Normal!B103,Normal!B168)*255)</f>
        <v>82</v>
      </c>
      <c r="C38">
        <f>INT(shadex('Shade - 1'!$D$9,'Shade - 1'!$E$9,'Shade - 1'!$F$9,'Shade - 1'!$D$7,Vertex!C38,Vertex!C103,Vertex!C168,Normal!C38,Normal!C103,Normal!C168)*255)</f>
        <v>93</v>
      </c>
      <c r="D38">
        <f>INT(shadex('Shade - 1'!$D$9,'Shade - 1'!$E$9,'Shade - 1'!$F$9,'Shade - 1'!$D$7,Vertex!D38,Vertex!D103,Vertex!D168,Normal!D38,Normal!D103,Normal!D168)*255)</f>
        <v>93</v>
      </c>
      <c r="E38">
        <f>INT(shadex('Shade - 1'!$D$9,'Shade - 1'!$E$9,'Shade - 1'!$F$9,'Shade - 1'!$D$7,Vertex!E38,Vertex!E103,Vertex!E168,Normal!E38,Normal!E103,Normal!E168)*255)</f>
        <v>88</v>
      </c>
      <c r="F38">
        <f>INT(shadex('Shade - 1'!$D$9,'Shade - 1'!$E$9,'Shade - 1'!$F$9,'Shade - 1'!$D$7,Vertex!F38,Vertex!F103,Vertex!F168,Normal!F38,Normal!F103,Normal!F168)*255)</f>
        <v>63</v>
      </c>
      <c r="G38">
        <f>INT(shadex('Shade - 1'!$D$9,'Shade - 1'!$E$9,'Shade - 1'!$F$9,'Shade - 1'!$D$7,Vertex!G38,Vertex!G103,Vertex!G168,Normal!G38,Normal!G103,Normal!G168)*255)</f>
        <v>0</v>
      </c>
      <c r="H38">
        <f>INT(shadex('Shade - 1'!$D$9,'Shade - 1'!$E$9,'Shade - 1'!$F$9,'Shade - 1'!$D$7,Vertex!H38,Vertex!H103,Vertex!H168,Normal!H38,Normal!H103,Normal!H168)*255)</f>
        <v>26</v>
      </c>
      <c r="I38">
        <f>INT(shadex('Shade - 1'!$D$9,'Shade - 1'!$E$9,'Shade - 1'!$F$9,'Shade - 1'!$D$7,Vertex!I38,Vertex!I103,Vertex!I168,Normal!I38,Normal!I103,Normal!I168)*255)</f>
        <v>58</v>
      </c>
      <c r="J38">
        <f>INT(shadex('Shade - 1'!$D$9,'Shade - 1'!$E$9,'Shade - 1'!$F$9,'Shade - 1'!$D$7,Vertex!J38,Vertex!J103,Vertex!J168,Normal!J38,Normal!J103,Normal!J168)*255)</f>
        <v>62</v>
      </c>
      <c r="K38">
        <f>INT(shadex('Shade - 1'!$D$9,'Shade - 1'!$E$9,'Shade - 1'!$F$9,'Shade - 1'!$D$7,Vertex!K38,Vertex!K103,Vertex!K168,Normal!K38,Normal!K103,Normal!K168)*255)</f>
        <v>38</v>
      </c>
      <c r="L38">
        <f>INT(shadex('Shade - 1'!$D$9,'Shade - 1'!$E$9,'Shade - 1'!$F$9,'Shade - 1'!$D$7,Vertex!L38,Vertex!L103,Vertex!L168,Normal!L38,Normal!L103,Normal!L168)*255)</f>
        <v>0</v>
      </c>
      <c r="M38">
        <f>INT(shadex('Shade - 1'!$D$9,'Shade - 1'!$E$9,'Shade - 1'!$F$9,'Shade - 1'!$D$7,Vertex!M38,Vertex!M103,Vertex!M168,Normal!M38,Normal!M103,Normal!M168)*255)</f>
        <v>0</v>
      </c>
      <c r="N38">
        <f>INT(shadex('Shade - 1'!$D$9,'Shade - 1'!$E$9,'Shade - 1'!$F$9,'Shade - 1'!$D$7,Vertex!N38,Vertex!N103,Vertex!N168,Normal!N38,Normal!N103,Normal!N168)*255)</f>
        <v>46</v>
      </c>
      <c r="O38">
        <f>INT(shadex('Shade - 1'!$D$9,'Shade - 1'!$E$9,'Shade - 1'!$F$9,'Shade - 1'!$D$7,Vertex!O38,Vertex!O103,Vertex!O168,Normal!O38,Normal!O103,Normal!O168)*255)</f>
        <v>62</v>
      </c>
      <c r="P38">
        <f>INT(shadex('Shade - 1'!$D$9,'Shade - 1'!$E$9,'Shade - 1'!$F$9,'Shade - 1'!$D$7,Vertex!P38,Vertex!P103,Vertex!P168,Normal!P38,Normal!P103,Normal!P168)*255)</f>
        <v>70</v>
      </c>
      <c r="Q38">
        <f>INT(shadex('Shade - 1'!$D$9,'Shade - 1'!$E$9,'Shade - 1'!$F$9,'Shade - 1'!$D$7,Vertex!Q38,Vertex!Q103,Vertex!Q168,Normal!Q38,Normal!Q103,Normal!Q168)*255)</f>
        <v>57</v>
      </c>
      <c r="R38">
        <f>INT(shadex('Shade - 1'!$D$9,'Shade - 1'!$E$9,'Shade - 1'!$F$9,'Shade - 1'!$D$7,Vertex!R38,Vertex!R103,Vertex!R168,Normal!R38,Normal!R103,Normal!R168)*255)</f>
        <v>54</v>
      </c>
      <c r="S38">
        <f>INT(shadex('Shade - 1'!$D$9,'Shade - 1'!$E$9,'Shade - 1'!$F$9,'Shade - 1'!$D$7,Vertex!S38,Vertex!S103,Vertex!S168,Normal!S38,Normal!S103,Normal!S168)*255)</f>
        <v>46</v>
      </c>
      <c r="T38">
        <f>INT(shadex('Shade - 1'!$D$9,'Shade - 1'!$E$9,'Shade - 1'!$F$9,'Shade - 1'!$D$7,Vertex!T38,Vertex!T103,Vertex!T168,Normal!T38,Normal!T103,Normal!T168)*255)</f>
        <v>55</v>
      </c>
      <c r="U38">
        <f>INT(shadex('Shade - 1'!$D$9,'Shade - 1'!$E$9,'Shade - 1'!$F$9,'Shade - 1'!$D$7,Vertex!U38,Vertex!U103,Vertex!U168,Normal!U38,Normal!U103,Normal!U168)*255)</f>
        <v>86</v>
      </c>
      <c r="V38">
        <f>INT(shadex('Shade - 1'!$D$9,'Shade - 1'!$E$9,'Shade - 1'!$F$9,'Shade - 1'!$D$7,Vertex!V38,Vertex!V103,Vertex!V168,Normal!V38,Normal!V103,Normal!V168)*255)</f>
        <v>89</v>
      </c>
      <c r="W38">
        <f>INT(shadex('Shade - 1'!$D$9,'Shade - 1'!$E$9,'Shade - 1'!$F$9,'Shade - 1'!$D$7,Vertex!W38,Vertex!W103,Vertex!W168,Normal!W38,Normal!W103,Normal!W168)*255)</f>
        <v>86</v>
      </c>
      <c r="X38">
        <f>INT(shadex('Shade - 1'!$D$9,'Shade - 1'!$E$9,'Shade - 1'!$F$9,'Shade - 1'!$D$7,Vertex!X38,Vertex!X103,Vertex!X168,Normal!X38,Normal!X103,Normal!X168)*255)</f>
        <v>79</v>
      </c>
      <c r="Y38">
        <f>INT(shadex('Shade - 1'!$D$9,'Shade - 1'!$E$9,'Shade - 1'!$F$9,'Shade - 1'!$D$7,Vertex!Y38,Vertex!Y103,Vertex!Y168,Normal!Y38,Normal!Y103,Normal!Y168)*255)</f>
        <v>85</v>
      </c>
      <c r="Z38">
        <f>INT(shadex('Shade - 1'!$D$9,'Shade - 1'!$E$9,'Shade - 1'!$F$9,'Shade - 1'!$D$7,Vertex!Z38,Vertex!Z103,Vertex!Z168,Normal!Z38,Normal!Z103,Normal!Z168)*255)</f>
        <v>96</v>
      </c>
      <c r="AA38">
        <f>INT(shadex('Shade - 1'!$D$9,'Shade - 1'!$E$9,'Shade - 1'!$F$9,'Shade - 1'!$D$7,Vertex!AA38,Vertex!AA103,Vertex!AA168,Normal!AA38,Normal!AA103,Normal!AA168)*255)</f>
        <v>99</v>
      </c>
      <c r="AB38">
        <f>INT(shadex('Shade - 1'!$D$9,'Shade - 1'!$E$9,'Shade - 1'!$F$9,'Shade - 1'!$D$7,Vertex!AB38,Vertex!AB103,Vertex!AB168,Normal!AB38,Normal!AB103,Normal!AB168)*255)</f>
        <v>98</v>
      </c>
      <c r="AC38">
        <f>INT(shadex('Shade - 1'!$D$9,'Shade - 1'!$E$9,'Shade - 1'!$F$9,'Shade - 1'!$D$7,Vertex!AC38,Vertex!AC103,Vertex!AC168,Normal!AC38,Normal!AC103,Normal!AC168)*255)</f>
        <v>82</v>
      </c>
      <c r="AD38">
        <f>INT(shadex('Shade - 1'!$D$9,'Shade - 1'!$E$9,'Shade - 1'!$F$9,'Shade - 1'!$D$7,Vertex!AD38,Vertex!AD103,Vertex!AD168,Normal!AD38,Normal!AD103,Normal!AD168)*255)</f>
        <v>62</v>
      </c>
      <c r="AE38">
        <f>INT(shadex('Shade - 1'!$D$9,'Shade - 1'!$E$9,'Shade - 1'!$F$9,'Shade - 1'!$D$7,Vertex!AE38,Vertex!AE103,Vertex!AE168,Normal!AE38,Normal!AE103,Normal!AE168)*255)</f>
        <v>58</v>
      </c>
      <c r="AF38">
        <f>INT(shadex('Shade - 1'!$D$9,'Shade - 1'!$E$9,'Shade - 1'!$F$9,'Shade - 1'!$D$7,Vertex!AF38,Vertex!AF103,Vertex!AF168,Normal!AF38,Normal!AF103,Normal!AF168)*255)</f>
        <v>71</v>
      </c>
      <c r="AG38">
        <f>INT(shadex('Shade - 1'!$D$9,'Shade - 1'!$E$9,'Shade - 1'!$F$9,'Shade - 1'!$D$7,Vertex!AG38,Vertex!AG103,Vertex!AG168,Normal!AG38,Normal!AG103,Normal!AG168)*255)</f>
        <v>76</v>
      </c>
      <c r="AH38">
        <f>INT(shadex('Shade - 1'!$D$9,'Shade - 1'!$E$9,'Shade - 1'!$F$9,'Shade - 1'!$D$7,Vertex!AH38,Vertex!AH103,Vertex!AH168,Normal!AH38,Normal!AH103,Normal!AH168)*255)</f>
        <v>78</v>
      </c>
      <c r="AI38" s="4">
        <f>INT(shadex('Shade - 1'!$D$9,'Shade - 1'!$E$9,'Shade - 1'!$F$9,'Shade - 1'!$D$7,Vertex!AI38,Vertex!AI103,Vertex!AI168,Normal!AI38,Normal!AI103,Normal!AI168)*255)</f>
        <v>79</v>
      </c>
      <c r="AJ38" s="4">
        <f>INT(shadex('Shade - 1'!$D$9,'Shade - 1'!$E$9,'Shade - 1'!$F$9,'Shade - 1'!$D$7,Vertex!AJ38,Vertex!AJ103,Vertex!AJ168,Normal!AJ38,Normal!AJ103,Normal!AJ168)*255)</f>
        <v>84</v>
      </c>
      <c r="AK38" s="4">
        <f>INT(shadex('Shade - 1'!$D$9,'Shade - 1'!$E$9,'Shade - 1'!$F$9,'Shade - 1'!$D$7,Vertex!AK38,Vertex!AK103,Vertex!AK168,Normal!AK38,Normal!AK103,Normal!AK168)*255)</f>
        <v>90</v>
      </c>
      <c r="AL38" s="4">
        <f>INT(shadex('Shade - 1'!$D$9,'Shade - 1'!$E$9,'Shade - 1'!$F$9,'Shade - 1'!$D$7,Vertex!AL38,Vertex!AL103,Vertex!AL168,Normal!AL38,Normal!AL103,Normal!AL168)*255)</f>
        <v>92</v>
      </c>
      <c r="AM38" s="4">
        <f>INT(shadex('Shade - 1'!$D$9,'Shade - 1'!$E$9,'Shade - 1'!$F$9,'Shade - 1'!$D$7,Vertex!AM38,Vertex!AM103,Vertex!AM168,Normal!AM38,Normal!AM103,Normal!AM168)*255)</f>
        <v>85</v>
      </c>
      <c r="AN38" s="4">
        <f>INT(shadex('Shade - 1'!$D$9,'Shade - 1'!$E$9,'Shade - 1'!$F$9,'Shade - 1'!$D$7,Vertex!AN38,Vertex!AN103,Vertex!AN168,Normal!AN38,Normal!AN103,Normal!AN168)*255)</f>
        <v>83</v>
      </c>
      <c r="AO38" s="4">
        <f>INT(shadex('Shade - 1'!$D$9,'Shade - 1'!$E$9,'Shade - 1'!$F$9,'Shade - 1'!$D$7,Vertex!AO38,Vertex!AO103,Vertex!AO168,Normal!AO38,Normal!AO103,Normal!AO168)*255)</f>
        <v>83</v>
      </c>
      <c r="AP38" s="4">
        <f>INT(shadex('Shade - 1'!$D$9,'Shade - 1'!$E$9,'Shade - 1'!$F$9,'Shade - 1'!$D$7,Vertex!AP38,Vertex!AP103,Vertex!AP168,Normal!AP38,Normal!AP103,Normal!AP168)*255)</f>
        <v>75</v>
      </c>
      <c r="AQ38" s="4">
        <f>INT(shadex('Shade - 1'!$D$9,'Shade - 1'!$E$9,'Shade - 1'!$F$9,'Shade - 1'!$D$7,Vertex!AQ38,Vertex!AQ103,Vertex!AQ168,Normal!AQ38,Normal!AQ103,Normal!AQ168)*255)</f>
        <v>74</v>
      </c>
      <c r="AR38" s="4">
        <f>INT(shadex('Shade - 1'!$D$9,'Shade - 1'!$E$9,'Shade - 1'!$F$9,'Shade - 1'!$D$7,Vertex!AR38,Vertex!AR103,Vertex!AR168,Normal!AR38,Normal!AR103,Normal!AR168)*255)</f>
        <v>87</v>
      </c>
      <c r="AS38" s="4">
        <f>INT(shadex('Shade - 1'!$D$9,'Shade - 1'!$E$9,'Shade - 1'!$F$9,'Shade - 1'!$D$7,Vertex!AS38,Vertex!AS103,Vertex!AS168,Normal!AS38,Normal!AS103,Normal!AS168)*255)</f>
        <v>78</v>
      </c>
      <c r="AT38" s="4">
        <f>INT(shadex('Shade - 1'!$D$9,'Shade - 1'!$E$9,'Shade - 1'!$F$9,'Shade - 1'!$D$7,Vertex!AT38,Vertex!AT103,Vertex!AT168,Normal!AT38,Normal!AT103,Normal!AT168)*255)</f>
        <v>62</v>
      </c>
      <c r="AU38" s="4">
        <f>INT(shadex('Shade - 1'!$D$9,'Shade - 1'!$E$9,'Shade - 1'!$F$9,'Shade - 1'!$D$7,Vertex!AU38,Vertex!AU103,Vertex!AU168,Normal!AU38,Normal!AU103,Normal!AU168)*255)</f>
        <v>60</v>
      </c>
      <c r="AV38" s="4">
        <f>INT(shadex('Shade - 1'!$D$9,'Shade - 1'!$E$9,'Shade - 1'!$F$9,'Shade - 1'!$D$7,Vertex!AV38,Vertex!AV103,Vertex!AV168,Normal!AV38,Normal!AV103,Normal!AV168)*255)</f>
        <v>67</v>
      </c>
      <c r="AW38" s="4">
        <f>INT(shadex('Shade - 1'!$D$9,'Shade - 1'!$E$9,'Shade - 1'!$F$9,'Shade - 1'!$D$7,Vertex!AW38,Vertex!AW103,Vertex!AW168,Normal!AW38,Normal!AW103,Normal!AW168)*255)</f>
        <v>89</v>
      </c>
      <c r="AX38" s="4">
        <f>INT(shadex('Shade - 1'!$D$9,'Shade - 1'!$E$9,'Shade - 1'!$F$9,'Shade - 1'!$D$7,Vertex!AX38,Vertex!AX103,Vertex!AX168,Normal!AX38,Normal!AX103,Normal!AX168)*255)</f>
        <v>93</v>
      </c>
      <c r="AY38" s="4">
        <f>INT(shadex('Shade - 1'!$D$9,'Shade - 1'!$E$9,'Shade - 1'!$F$9,'Shade - 1'!$D$7,Vertex!AY38,Vertex!AY103,Vertex!AY168,Normal!AY38,Normal!AY103,Normal!AY168)*255)</f>
        <v>86</v>
      </c>
      <c r="AZ38" s="4">
        <f>INT(shadex('Shade - 1'!$D$9,'Shade - 1'!$E$9,'Shade - 1'!$F$9,'Shade - 1'!$D$7,Vertex!AZ38,Vertex!AZ103,Vertex!AZ168,Normal!AZ38,Normal!AZ103,Normal!AZ168)*255)</f>
        <v>78</v>
      </c>
      <c r="BA38" s="4">
        <f>INT(shadex('Shade - 1'!$D$9,'Shade - 1'!$E$9,'Shade - 1'!$F$9,'Shade - 1'!$D$7,Vertex!BA38,Vertex!BA103,Vertex!BA168,Normal!BA38,Normal!BA103,Normal!BA168)*255)</f>
        <v>60</v>
      </c>
      <c r="BB38" s="4">
        <f>INT(shadex('Shade - 1'!$D$9,'Shade - 1'!$E$9,'Shade - 1'!$F$9,'Shade - 1'!$D$7,Vertex!BB38,Vertex!BB103,Vertex!BB168,Normal!BB38,Normal!BB103,Normal!BB168)*255)</f>
        <v>58</v>
      </c>
      <c r="BC38" s="4">
        <f>INT(shadex('Shade - 1'!$D$9,'Shade - 1'!$E$9,'Shade - 1'!$F$9,'Shade - 1'!$D$7,Vertex!BC38,Vertex!BC103,Vertex!BC168,Normal!BC38,Normal!BC103,Normal!BC168)*255)</f>
        <v>78</v>
      </c>
      <c r="BD38" s="4">
        <f>INT(shadex('Shade - 1'!$D$9,'Shade - 1'!$E$9,'Shade - 1'!$F$9,'Shade - 1'!$D$7,Vertex!BD38,Vertex!BD103,Vertex!BD168,Normal!BD38,Normal!BD103,Normal!BD168)*255)</f>
        <v>79</v>
      </c>
      <c r="BE38" s="4">
        <f>INT(shadex('Shade - 1'!$D$9,'Shade - 1'!$E$9,'Shade - 1'!$F$9,'Shade - 1'!$D$7,Vertex!BE38,Vertex!BE103,Vertex!BE168,Normal!BE38,Normal!BE103,Normal!BE168)*255)</f>
        <v>75</v>
      </c>
      <c r="BF38" s="4">
        <f>INT(shadex('Shade - 1'!$D$9,'Shade - 1'!$E$9,'Shade - 1'!$F$9,'Shade - 1'!$D$7,Vertex!BF38,Vertex!BF103,Vertex!BF168,Normal!BF38,Normal!BF103,Normal!BF168)*255)</f>
        <v>53</v>
      </c>
      <c r="BG38" s="4">
        <f>INT(shadex('Shade - 1'!$D$9,'Shade - 1'!$E$9,'Shade - 1'!$F$9,'Shade - 1'!$D$7,Vertex!BG38,Vertex!BG103,Vertex!BG168,Normal!BG38,Normal!BG103,Normal!BG168)*255)</f>
        <v>71</v>
      </c>
      <c r="BH38" s="4">
        <f>INT(shadex('Shade - 1'!$D$9,'Shade - 1'!$E$9,'Shade - 1'!$F$9,'Shade - 1'!$D$7,Vertex!BH38,Vertex!BH103,Vertex!BH168,Normal!BH38,Normal!BH103,Normal!BH168)*255)</f>
        <v>86</v>
      </c>
      <c r="BI38" s="4">
        <f>INT(shadex('Shade - 1'!$D$9,'Shade - 1'!$E$9,'Shade - 1'!$F$9,'Shade - 1'!$D$7,Vertex!BI38,Vertex!BI103,Vertex!BI168,Normal!BI38,Normal!BI103,Normal!BI168)*255)</f>
        <v>79</v>
      </c>
      <c r="BJ38" s="4">
        <f>INT(shadex('Shade - 1'!$D$9,'Shade - 1'!$E$9,'Shade - 1'!$F$9,'Shade - 1'!$D$7,Vertex!BJ38,Vertex!BJ103,Vertex!BJ168,Normal!BJ38,Normal!BJ103,Normal!BJ168)*255)</f>
        <v>75</v>
      </c>
      <c r="BK38" s="4">
        <f>INT(shadex('Shade - 1'!$D$9,'Shade - 1'!$E$9,'Shade - 1'!$F$9,'Shade - 1'!$D$7,Vertex!BK38,Vertex!BK103,Vertex!BK168,Normal!BK38,Normal!BK103,Normal!BK168)*255)</f>
        <v>74</v>
      </c>
      <c r="BL38" s="4">
        <f>INT(shadex('Shade - 1'!$D$9,'Shade - 1'!$E$9,'Shade - 1'!$F$9,'Shade - 1'!$D$7,Vertex!BL38,Vertex!BL103,Vertex!BL168,Normal!BL38,Normal!BL103,Normal!BL168)*255)</f>
        <v>67</v>
      </c>
    </row>
    <row r="39" spans="1:64" x14ac:dyDescent="0.25">
      <c r="A39">
        <f>INT(shadex('Shade - 1'!$D$9,'Shade - 1'!$E$9,'Shade - 1'!$F$9,'Shade - 1'!$D$7,Vertex!A39,Vertex!A104,Vertex!A169,Normal!A39,Normal!A104,Normal!A169)*255)</f>
        <v>79</v>
      </c>
      <c r="B39">
        <f>INT(shadex('Shade - 1'!$D$9,'Shade - 1'!$E$9,'Shade - 1'!$F$9,'Shade - 1'!$D$7,Vertex!B39,Vertex!B104,Vertex!B169,Normal!B39,Normal!B104,Normal!B169)*255)</f>
        <v>77</v>
      </c>
      <c r="C39">
        <f>INT(shadex('Shade - 1'!$D$9,'Shade - 1'!$E$9,'Shade - 1'!$F$9,'Shade - 1'!$D$7,Vertex!C39,Vertex!C104,Vertex!C169,Normal!C39,Normal!C104,Normal!C169)*255)</f>
        <v>82</v>
      </c>
      <c r="D39">
        <f>INT(shadex('Shade - 1'!$D$9,'Shade - 1'!$E$9,'Shade - 1'!$F$9,'Shade - 1'!$D$7,Vertex!D39,Vertex!D104,Vertex!D169,Normal!D39,Normal!D104,Normal!D169)*255)</f>
        <v>81</v>
      </c>
      <c r="E39">
        <f>INT(shadex('Shade - 1'!$D$9,'Shade - 1'!$E$9,'Shade - 1'!$F$9,'Shade - 1'!$D$7,Vertex!E39,Vertex!E104,Vertex!E169,Normal!E39,Normal!E104,Normal!E169)*255)</f>
        <v>84</v>
      </c>
      <c r="F39">
        <f>INT(shadex('Shade - 1'!$D$9,'Shade - 1'!$E$9,'Shade - 1'!$F$9,'Shade - 1'!$D$7,Vertex!F39,Vertex!F104,Vertex!F169,Normal!F39,Normal!F104,Normal!F169)*255)</f>
        <v>78</v>
      </c>
      <c r="G39">
        <f>INT(shadex('Shade - 1'!$D$9,'Shade - 1'!$E$9,'Shade - 1'!$F$9,'Shade - 1'!$D$7,Vertex!G39,Vertex!G104,Vertex!G169,Normal!G39,Normal!G104,Normal!G169)*255)</f>
        <v>0</v>
      </c>
      <c r="H39">
        <f>INT(shadex('Shade - 1'!$D$9,'Shade - 1'!$E$9,'Shade - 1'!$F$9,'Shade - 1'!$D$7,Vertex!H39,Vertex!H104,Vertex!H169,Normal!H39,Normal!H104,Normal!H169)*255)</f>
        <v>0</v>
      </c>
      <c r="I39">
        <f>INT(shadex('Shade - 1'!$D$9,'Shade - 1'!$E$9,'Shade - 1'!$F$9,'Shade - 1'!$D$7,Vertex!I39,Vertex!I104,Vertex!I169,Normal!I39,Normal!I104,Normal!I169)*255)</f>
        <v>44</v>
      </c>
      <c r="J39">
        <f>INT(shadex('Shade - 1'!$D$9,'Shade - 1'!$E$9,'Shade - 1'!$F$9,'Shade - 1'!$D$7,Vertex!J39,Vertex!J104,Vertex!J169,Normal!J39,Normal!J104,Normal!J169)*255)</f>
        <v>70</v>
      </c>
      <c r="K39">
        <f>INT(shadex('Shade - 1'!$D$9,'Shade - 1'!$E$9,'Shade - 1'!$F$9,'Shade - 1'!$D$7,Vertex!K39,Vertex!K104,Vertex!K169,Normal!K39,Normal!K104,Normal!K169)*255)</f>
        <v>63</v>
      </c>
      <c r="L39">
        <f>INT(shadex('Shade - 1'!$D$9,'Shade - 1'!$E$9,'Shade - 1'!$F$9,'Shade - 1'!$D$7,Vertex!L39,Vertex!L104,Vertex!L169,Normal!L39,Normal!L104,Normal!L169)*255)</f>
        <v>29</v>
      </c>
      <c r="M39">
        <f>INT(shadex('Shade - 1'!$D$9,'Shade - 1'!$E$9,'Shade - 1'!$F$9,'Shade - 1'!$D$7,Vertex!M39,Vertex!M104,Vertex!M169,Normal!M39,Normal!M104,Normal!M169)*255)</f>
        <v>37</v>
      </c>
      <c r="N39">
        <f>INT(shadex('Shade - 1'!$D$9,'Shade - 1'!$E$9,'Shade - 1'!$F$9,'Shade - 1'!$D$7,Vertex!N39,Vertex!N104,Vertex!N169,Normal!N39,Normal!N104,Normal!N169)*255)</f>
        <v>52</v>
      </c>
      <c r="O39">
        <f>INT(shadex('Shade - 1'!$D$9,'Shade - 1'!$E$9,'Shade - 1'!$F$9,'Shade - 1'!$D$7,Vertex!O39,Vertex!O104,Vertex!O169,Normal!O39,Normal!O104,Normal!O169)*255)</f>
        <v>65</v>
      </c>
      <c r="P39">
        <f>INT(shadex('Shade - 1'!$D$9,'Shade - 1'!$E$9,'Shade - 1'!$F$9,'Shade - 1'!$D$7,Vertex!P39,Vertex!P104,Vertex!P169,Normal!P39,Normal!P104,Normal!P169)*255)</f>
        <v>77</v>
      </c>
      <c r="Q39">
        <f>INT(shadex('Shade - 1'!$D$9,'Shade - 1'!$E$9,'Shade - 1'!$F$9,'Shade - 1'!$D$7,Vertex!Q39,Vertex!Q104,Vertex!Q169,Normal!Q39,Normal!Q104,Normal!Q169)*255)</f>
        <v>62</v>
      </c>
      <c r="R39">
        <f>INT(shadex('Shade - 1'!$D$9,'Shade - 1'!$E$9,'Shade - 1'!$F$9,'Shade - 1'!$D$7,Vertex!R39,Vertex!R104,Vertex!R169,Normal!R39,Normal!R104,Normal!R169)*255)</f>
        <v>60</v>
      </c>
      <c r="S39">
        <f>INT(shadex('Shade - 1'!$D$9,'Shade - 1'!$E$9,'Shade - 1'!$F$9,'Shade - 1'!$D$7,Vertex!S39,Vertex!S104,Vertex!S169,Normal!S39,Normal!S104,Normal!S169)*255)</f>
        <v>46</v>
      </c>
      <c r="T39">
        <f>INT(shadex('Shade - 1'!$D$9,'Shade - 1'!$E$9,'Shade - 1'!$F$9,'Shade - 1'!$D$7,Vertex!T39,Vertex!T104,Vertex!T169,Normal!T39,Normal!T104,Normal!T169)*255)</f>
        <v>30</v>
      </c>
      <c r="U39">
        <f>INT(shadex('Shade - 1'!$D$9,'Shade - 1'!$E$9,'Shade - 1'!$F$9,'Shade - 1'!$D$7,Vertex!U39,Vertex!U104,Vertex!U169,Normal!U39,Normal!U104,Normal!U169)*255)</f>
        <v>76</v>
      </c>
      <c r="V39">
        <f>INT(shadex('Shade - 1'!$D$9,'Shade - 1'!$E$9,'Shade - 1'!$F$9,'Shade - 1'!$D$7,Vertex!V39,Vertex!V104,Vertex!V169,Normal!V39,Normal!V104,Normal!V169)*255)</f>
        <v>95</v>
      </c>
      <c r="W39">
        <f>INT(shadex('Shade - 1'!$D$9,'Shade - 1'!$E$9,'Shade - 1'!$F$9,'Shade - 1'!$D$7,Vertex!W39,Vertex!W104,Vertex!W169,Normal!W39,Normal!W104,Normal!W169)*255)</f>
        <v>87</v>
      </c>
      <c r="X39">
        <f>INT(shadex('Shade - 1'!$D$9,'Shade - 1'!$E$9,'Shade - 1'!$F$9,'Shade - 1'!$D$7,Vertex!X39,Vertex!X104,Vertex!X169,Normal!X39,Normal!X104,Normal!X169)*255)</f>
        <v>90</v>
      </c>
      <c r="Y39">
        <f>INT(shadex('Shade - 1'!$D$9,'Shade - 1'!$E$9,'Shade - 1'!$F$9,'Shade - 1'!$D$7,Vertex!Y39,Vertex!Y104,Vertex!Y169,Normal!Y39,Normal!Y104,Normal!Y169)*255)</f>
        <v>89</v>
      </c>
      <c r="Z39">
        <f>INT(shadex('Shade - 1'!$D$9,'Shade - 1'!$E$9,'Shade - 1'!$F$9,'Shade - 1'!$D$7,Vertex!Z39,Vertex!Z104,Vertex!Z169,Normal!Z39,Normal!Z104,Normal!Z169)*255)</f>
        <v>93</v>
      </c>
      <c r="AA39">
        <f>INT(shadex('Shade - 1'!$D$9,'Shade - 1'!$E$9,'Shade - 1'!$F$9,'Shade - 1'!$D$7,Vertex!AA39,Vertex!AA104,Vertex!AA169,Normal!AA39,Normal!AA104,Normal!AA169)*255)</f>
        <v>100</v>
      </c>
      <c r="AB39">
        <f>INT(shadex('Shade - 1'!$D$9,'Shade - 1'!$E$9,'Shade - 1'!$F$9,'Shade - 1'!$D$7,Vertex!AB39,Vertex!AB104,Vertex!AB169,Normal!AB39,Normal!AB104,Normal!AB169)*255)</f>
        <v>100</v>
      </c>
      <c r="AC39">
        <f>INT(shadex('Shade - 1'!$D$9,'Shade - 1'!$E$9,'Shade - 1'!$F$9,'Shade - 1'!$D$7,Vertex!AC39,Vertex!AC104,Vertex!AC169,Normal!AC39,Normal!AC104,Normal!AC169)*255)</f>
        <v>88</v>
      </c>
      <c r="AD39">
        <f>INT(shadex('Shade - 1'!$D$9,'Shade - 1'!$E$9,'Shade - 1'!$F$9,'Shade - 1'!$D$7,Vertex!AD39,Vertex!AD104,Vertex!AD169,Normal!AD39,Normal!AD104,Normal!AD169)*255)</f>
        <v>69</v>
      </c>
      <c r="AE39">
        <f>INT(shadex('Shade - 1'!$D$9,'Shade - 1'!$E$9,'Shade - 1'!$F$9,'Shade - 1'!$D$7,Vertex!AE39,Vertex!AE104,Vertex!AE169,Normal!AE39,Normal!AE104,Normal!AE169)*255)</f>
        <v>61</v>
      </c>
      <c r="AF39">
        <f>INT(shadex('Shade - 1'!$D$9,'Shade - 1'!$E$9,'Shade - 1'!$F$9,'Shade - 1'!$D$7,Vertex!AF39,Vertex!AF104,Vertex!AF169,Normal!AF39,Normal!AF104,Normal!AF169)*255)</f>
        <v>69</v>
      </c>
      <c r="AG39">
        <f>INT(shadex('Shade - 1'!$D$9,'Shade - 1'!$E$9,'Shade - 1'!$F$9,'Shade - 1'!$D$7,Vertex!AG39,Vertex!AG104,Vertex!AG169,Normal!AG39,Normal!AG104,Normal!AG169)*255)</f>
        <v>82</v>
      </c>
      <c r="AH39">
        <f>INT(shadex('Shade - 1'!$D$9,'Shade - 1'!$E$9,'Shade - 1'!$F$9,'Shade - 1'!$D$7,Vertex!AH39,Vertex!AH104,Vertex!AH169,Normal!AH39,Normal!AH104,Normal!AH169)*255)</f>
        <v>83</v>
      </c>
      <c r="AI39" s="4">
        <f>INT(shadex('Shade - 1'!$D$9,'Shade - 1'!$E$9,'Shade - 1'!$F$9,'Shade - 1'!$D$7,Vertex!AI39,Vertex!AI104,Vertex!AI169,Normal!AI39,Normal!AI104,Normal!AI169)*255)</f>
        <v>69</v>
      </c>
      <c r="AJ39" s="4">
        <f>INT(shadex('Shade - 1'!$D$9,'Shade - 1'!$E$9,'Shade - 1'!$F$9,'Shade - 1'!$D$7,Vertex!AJ39,Vertex!AJ104,Vertex!AJ169,Normal!AJ39,Normal!AJ104,Normal!AJ169)*255)</f>
        <v>61</v>
      </c>
      <c r="AK39" s="4">
        <f>INT(shadex('Shade - 1'!$D$9,'Shade - 1'!$E$9,'Shade - 1'!$F$9,'Shade - 1'!$D$7,Vertex!AK39,Vertex!AK104,Vertex!AK169,Normal!AK39,Normal!AK104,Normal!AK169)*255)</f>
        <v>89</v>
      </c>
      <c r="AL39" s="4">
        <f>INT(shadex('Shade - 1'!$D$9,'Shade - 1'!$E$9,'Shade - 1'!$F$9,'Shade - 1'!$D$7,Vertex!AL39,Vertex!AL104,Vertex!AL169,Normal!AL39,Normal!AL104,Normal!AL169)*255)</f>
        <v>99</v>
      </c>
      <c r="AM39" s="4">
        <f>INT(shadex('Shade - 1'!$D$9,'Shade - 1'!$E$9,'Shade - 1'!$F$9,'Shade - 1'!$D$7,Vertex!AM39,Vertex!AM104,Vertex!AM169,Normal!AM39,Normal!AM104,Normal!AM169)*255)</f>
        <v>98</v>
      </c>
      <c r="AN39" s="4">
        <f>INT(shadex('Shade - 1'!$D$9,'Shade - 1'!$E$9,'Shade - 1'!$F$9,'Shade - 1'!$D$7,Vertex!AN39,Vertex!AN104,Vertex!AN169,Normal!AN39,Normal!AN104,Normal!AN169)*255)</f>
        <v>94</v>
      </c>
      <c r="AO39" s="4">
        <f>INT(shadex('Shade - 1'!$D$9,'Shade - 1'!$E$9,'Shade - 1'!$F$9,'Shade - 1'!$D$7,Vertex!AO39,Vertex!AO104,Vertex!AO169,Normal!AO39,Normal!AO104,Normal!AO169)*255)</f>
        <v>95</v>
      </c>
      <c r="AP39" s="4">
        <f>INT(shadex('Shade - 1'!$D$9,'Shade - 1'!$E$9,'Shade - 1'!$F$9,'Shade - 1'!$D$7,Vertex!AP39,Vertex!AP104,Vertex!AP169,Normal!AP39,Normal!AP104,Normal!AP169)*255)</f>
        <v>88</v>
      </c>
      <c r="AQ39" s="4">
        <f>INT(shadex('Shade - 1'!$D$9,'Shade - 1'!$E$9,'Shade - 1'!$F$9,'Shade - 1'!$D$7,Vertex!AQ39,Vertex!AQ104,Vertex!AQ169,Normal!AQ39,Normal!AQ104,Normal!AQ169)*255)</f>
        <v>77</v>
      </c>
      <c r="AR39" s="4">
        <f>INT(shadex('Shade - 1'!$D$9,'Shade - 1'!$E$9,'Shade - 1'!$F$9,'Shade - 1'!$D$7,Vertex!AR39,Vertex!AR104,Vertex!AR169,Normal!AR39,Normal!AR104,Normal!AR169)*255)</f>
        <v>88</v>
      </c>
      <c r="AS39" s="4">
        <f>INT(shadex('Shade - 1'!$D$9,'Shade - 1'!$E$9,'Shade - 1'!$F$9,'Shade - 1'!$D$7,Vertex!AS39,Vertex!AS104,Vertex!AS169,Normal!AS39,Normal!AS104,Normal!AS169)*255)</f>
        <v>88</v>
      </c>
      <c r="AT39" s="4">
        <f>INT(shadex('Shade - 1'!$D$9,'Shade - 1'!$E$9,'Shade - 1'!$F$9,'Shade - 1'!$D$7,Vertex!AT39,Vertex!AT104,Vertex!AT169,Normal!AT39,Normal!AT104,Normal!AT169)*255)</f>
        <v>80</v>
      </c>
      <c r="AU39" s="4">
        <f>INT(shadex('Shade - 1'!$D$9,'Shade - 1'!$E$9,'Shade - 1'!$F$9,'Shade - 1'!$D$7,Vertex!AU39,Vertex!AU104,Vertex!AU169,Normal!AU39,Normal!AU104,Normal!AU169)*255)</f>
        <v>73</v>
      </c>
      <c r="AV39" s="4">
        <f>INT(shadex('Shade - 1'!$D$9,'Shade - 1'!$E$9,'Shade - 1'!$F$9,'Shade - 1'!$D$7,Vertex!AV39,Vertex!AV104,Vertex!AV169,Normal!AV39,Normal!AV104,Normal!AV169)*255)</f>
        <v>60</v>
      </c>
      <c r="AW39" s="4">
        <f>INT(shadex('Shade - 1'!$D$9,'Shade - 1'!$E$9,'Shade - 1'!$F$9,'Shade - 1'!$D$7,Vertex!AW39,Vertex!AW104,Vertex!AW169,Normal!AW39,Normal!AW104,Normal!AW169)*255)</f>
        <v>77</v>
      </c>
      <c r="AX39" s="4">
        <f>INT(shadex('Shade - 1'!$D$9,'Shade - 1'!$E$9,'Shade - 1'!$F$9,'Shade - 1'!$D$7,Vertex!AX39,Vertex!AX104,Vertex!AX169,Normal!AX39,Normal!AX104,Normal!AX169)*255)</f>
        <v>89</v>
      </c>
      <c r="AY39" s="4">
        <f>INT(shadex('Shade - 1'!$D$9,'Shade - 1'!$E$9,'Shade - 1'!$F$9,'Shade - 1'!$D$7,Vertex!AY39,Vertex!AY104,Vertex!AY169,Normal!AY39,Normal!AY104,Normal!AY169)*255)</f>
        <v>85</v>
      </c>
      <c r="AZ39" s="4">
        <f>INT(shadex('Shade - 1'!$D$9,'Shade - 1'!$E$9,'Shade - 1'!$F$9,'Shade - 1'!$D$7,Vertex!AZ39,Vertex!AZ104,Vertex!AZ169,Normal!AZ39,Normal!AZ104,Normal!AZ169)*255)</f>
        <v>85</v>
      </c>
      <c r="BA39" s="4">
        <f>INT(shadex('Shade - 1'!$D$9,'Shade - 1'!$E$9,'Shade - 1'!$F$9,'Shade - 1'!$D$7,Vertex!BA39,Vertex!BA104,Vertex!BA169,Normal!BA39,Normal!BA104,Normal!BA169)*255)</f>
        <v>68</v>
      </c>
      <c r="BB39" s="4">
        <f>INT(shadex('Shade - 1'!$D$9,'Shade - 1'!$E$9,'Shade - 1'!$F$9,'Shade - 1'!$D$7,Vertex!BB39,Vertex!BB104,Vertex!BB169,Normal!BB39,Normal!BB104,Normal!BB169)*255)</f>
        <v>55</v>
      </c>
      <c r="BC39" s="4">
        <f>INT(shadex('Shade - 1'!$D$9,'Shade - 1'!$E$9,'Shade - 1'!$F$9,'Shade - 1'!$D$7,Vertex!BC39,Vertex!BC104,Vertex!BC169,Normal!BC39,Normal!BC104,Normal!BC169)*255)</f>
        <v>94</v>
      </c>
      <c r="BD39" s="4">
        <f>INT(shadex('Shade - 1'!$D$9,'Shade - 1'!$E$9,'Shade - 1'!$F$9,'Shade - 1'!$D$7,Vertex!BD39,Vertex!BD104,Vertex!BD169,Normal!BD39,Normal!BD104,Normal!BD169)*255)</f>
        <v>98</v>
      </c>
      <c r="BE39" s="4">
        <f>INT(shadex('Shade - 1'!$D$9,'Shade - 1'!$E$9,'Shade - 1'!$F$9,'Shade - 1'!$D$7,Vertex!BE39,Vertex!BE104,Vertex!BE169,Normal!BE39,Normal!BE104,Normal!BE169)*255)</f>
        <v>84</v>
      </c>
      <c r="BF39" s="4">
        <f>INT(shadex('Shade - 1'!$D$9,'Shade - 1'!$E$9,'Shade - 1'!$F$9,'Shade - 1'!$D$7,Vertex!BF39,Vertex!BF104,Vertex!BF169,Normal!BF39,Normal!BF104,Normal!BF169)*255)</f>
        <v>69</v>
      </c>
      <c r="BG39" s="4">
        <f>INT(shadex('Shade - 1'!$D$9,'Shade - 1'!$E$9,'Shade - 1'!$F$9,'Shade - 1'!$D$7,Vertex!BG39,Vertex!BG104,Vertex!BG169,Normal!BG39,Normal!BG104,Normal!BG169)*255)</f>
        <v>73</v>
      </c>
      <c r="BH39" s="4">
        <f>INT(shadex('Shade - 1'!$D$9,'Shade - 1'!$E$9,'Shade - 1'!$F$9,'Shade - 1'!$D$7,Vertex!BH39,Vertex!BH104,Vertex!BH169,Normal!BH39,Normal!BH104,Normal!BH169)*255)</f>
        <v>76</v>
      </c>
      <c r="BI39" s="4">
        <f>INT(shadex('Shade - 1'!$D$9,'Shade - 1'!$E$9,'Shade - 1'!$F$9,'Shade - 1'!$D$7,Vertex!BI39,Vertex!BI104,Vertex!BI169,Normal!BI39,Normal!BI104,Normal!BI169)*255)</f>
        <v>79</v>
      </c>
      <c r="BJ39" s="4">
        <f>INT(shadex('Shade - 1'!$D$9,'Shade - 1'!$E$9,'Shade - 1'!$F$9,'Shade - 1'!$D$7,Vertex!BJ39,Vertex!BJ104,Vertex!BJ169,Normal!BJ39,Normal!BJ104,Normal!BJ169)*255)</f>
        <v>79</v>
      </c>
      <c r="BK39" s="4">
        <f>INT(shadex('Shade - 1'!$D$9,'Shade - 1'!$E$9,'Shade - 1'!$F$9,'Shade - 1'!$D$7,Vertex!BK39,Vertex!BK104,Vertex!BK169,Normal!BK39,Normal!BK104,Normal!BK169)*255)</f>
        <v>76</v>
      </c>
      <c r="BL39" s="4">
        <f>INT(shadex('Shade - 1'!$D$9,'Shade - 1'!$E$9,'Shade - 1'!$F$9,'Shade - 1'!$D$7,Vertex!BL39,Vertex!BL104,Vertex!BL169,Normal!BL39,Normal!BL104,Normal!BL169)*255)</f>
        <v>74</v>
      </c>
    </row>
    <row r="40" spans="1:64" x14ac:dyDescent="0.25">
      <c r="A40">
        <f>INT(shadex('Shade - 1'!$D$9,'Shade - 1'!$E$9,'Shade - 1'!$F$9,'Shade - 1'!$D$7,Vertex!A40,Vertex!A105,Vertex!A170,Normal!A40,Normal!A105,Normal!A170)*255)</f>
        <v>81</v>
      </c>
      <c r="B40">
        <f>INT(shadex('Shade - 1'!$D$9,'Shade - 1'!$E$9,'Shade - 1'!$F$9,'Shade - 1'!$D$7,Vertex!B40,Vertex!B105,Vertex!B170,Normal!B40,Normal!B105,Normal!B170)*255)</f>
        <v>73</v>
      </c>
      <c r="C40">
        <f>INT(shadex('Shade - 1'!$D$9,'Shade - 1'!$E$9,'Shade - 1'!$F$9,'Shade - 1'!$D$7,Vertex!C40,Vertex!C105,Vertex!C170,Normal!C40,Normal!C105,Normal!C170)*255)</f>
        <v>71</v>
      </c>
      <c r="D40">
        <f>INT(shadex('Shade - 1'!$D$9,'Shade - 1'!$E$9,'Shade - 1'!$F$9,'Shade - 1'!$D$7,Vertex!D40,Vertex!D105,Vertex!D170,Normal!D40,Normal!D105,Normal!D170)*255)</f>
        <v>70</v>
      </c>
      <c r="E40">
        <f>INT(shadex('Shade - 1'!$D$9,'Shade - 1'!$E$9,'Shade - 1'!$F$9,'Shade - 1'!$D$7,Vertex!E40,Vertex!E105,Vertex!E170,Normal!E40,Normal!E105,Normal!E170)*255)</f>
        <v>65</v>
      </c>
      <c r="F40">
        <f>INT(shadex('Shade - 1'!$D$9,'Shade - 1'!$E$9,'Shade - 1'!$F$9,'Shade - 1'!$D$7,Vertex!F40,Vertex!F105,Vertex!F170,Normal!F40,Normal!F105,Normal!F170)*255)</f>
        <v>74</v>
      </c>
      <c r="G40">
        <f>INT(shadex('Shade - 1'!$D$9,'Shade - 1'!$E$9,'Shade - 1'!$F$9,'Shade - 1'!$D$7,Vertex!G40,Vertex!G105,Vertex!G170,Normal!G40,Normal!G105,Normal!G170)*255)</f>
        <v>50</v>
      </c>
      <c r="H40">
        <f>INT(shadex('Shade - 1'!$D$9,'Shade - 1'!$E$9,'Shade - 1'!$F$9,'Shade - 1'!$D$7,Vertex!H40,Vertex!H105,Vertex!H170,Normal!H40,Normal!H105,Normal!H170)*255)</f>
        <v>29</v>
      </c>
      <c r="I40">
        <f>INT(shadex('Shade - 1'!$D$9,'Shade - 1'!$E$9,'Shade - 1'!$F$9,'Shade - 1'!$D$7,Vertex!I40,Vertex!I105,Vertex!I170,Normal!I40,Normal!I105,Normal!I170)*255)</f>
        <v>43</v>
      </c>
      <c r="J40">
        <f>INT(shadex('Shade - 1'!$D$9,'Shade - 1'!$E$9,'Shade - 1'!$F$9,'Shade - 1'!$D$7,Vertex!J40,Vertex!J105,Vertex!J170,Normal!J40,Normal!J105,Normal!J170)*255)</f>
        <v>56</v>
      </c>
      <c r="K40">
        <f>INT(shadex('Shade - 1'!$D$9,'Shade - 1'!$E$9,'Shade - 1'!$F$9,'Shade - 1'!$D$7,Vertex!K40,Vertex!K105,Vertex!K170,Normal!K40,Normal!K105,Normal!K170)*255)</f>
        <v>61</v>
      </c>
      <c r="L40">
        <f>INT(shadex('Shade - 1'!$D$9,'Shade - 1'!$E$9,'Shade - 1'!$F$9,'Shade - 1'!$D$7,Vertex!L40,Vertex!L105,Vertex!L170,Normal!L40,Normal!L105,Normal!L170)*255)</f>
        <v>50</v>
      </c>
      <c r="M40">
        <f>INT(shadex('Shade - 1'!$D$9,'Shade - 1'!$E$9,'Shade - 1'!$F$9,'Shade - 1'!$D$7,Vertex!M40,Vertex!M105,Vertex!M170,Normal!M40,Normal!M105,Normal!M170)*255)</f>
        <v>49</v>
      </c>
      <c r="N40">
        <f>INT(shadex('Shade - 1'!$D$9,'Shade - 1'!$E$9,'Shade - 1'!$F$9,'Shade - 1'!$D$7,Vertex!N40,Vertex!N105,Vertex!N170,Normal!N40,Normal!N105,Normal!N170)*255)</f>
        <v>43</v>
      </c>
      <c r="O40">
        <f>INT(shadex('Shade - 1'!$D$9,'Shade - 1'!$E$9,'Shade - 1'!$F$9,'Shade - 1'!$D$7,Vertex!O40,Vertex!O105,Vertex!O170,Normal!O40,Normal!O105,Normal!O170)*255)</f>
        <v>55</v>
      </c>
      <c r="P40">
        <f>INT(shadex('Shade - 1'!$D$9,'Shade - 1'!$E$9,'Shade - 1'!$F$9,'Shade - 1'!$D$7,Vertex!P40,Vertex!P105,Vertex!P170,Normal!P40,Normal!P105,Normal!P170)*255)</f>
        <v>61</v>
      </c>
      <c r="Q40">
        <f>INT(shadex('Shade - 1'!$D$9,'Shade - 1'!$E$9,'Shade - 1'!$F$9,'Shade - 1'!$D$7,Vertex!Q40,Vertex!Q105,Vertex!Q170,Normal!Q40,Normal!Q105,Normal!Q170)*255)</f>
        <v>56</v>
      </c>
      <c r="R40">
        <f>INT(shadex('Shade - 1'!$D$9,'Shade - 1'!$E$9,'Shade - 1'!$F$9,'Shade - 1'!$D$7,Vertex!R40,Vertex!R105,Vertex!R170,Normal!R40,Normal!R105,Normal!R170)*255)</f>
        <v>73</v>
      </c>
      <c r="S40">
        <f>INT(shadex('Shade - 1'!$D$9,'Shade - 1'!$E$9,'Shade - 1'!$F$9,'Shade - 1'!$D$7,Vertex!S40,Vertex!S105,Vertex!S170,Normal!S40,Normal!S105,Normal!S170)*255)</f>
        <v>44</v>
      </c>
      <c r="T40">
        <f>INT(shadex('Shade - 1'!$D$9,'Shade - 1'!$E$9,'Shade - 1'!$F$9,'Shade - 1'!$D$7,Vertex!T40,Vertex!T105,Vertex!T170,Normal!T40,Normal!T105,Normal!T170)*255)</f>
        <v>32</v>
      </c>
      <c r="U40">
        <f>INT(shadex('Shade - 1'!$D$9,'Shade - 1'!$E$9,'Shade - 1'!$F$9,'Shade - 1'!$D$7,Vertex!U40,Vertex!U105,Vertex!U170,Normal!U40,Normal!U105,Normal!U170)*255)</f>
        <v>83</v>
      </c>
      <c r="V40">
        <f>INT(shadex('Shade - 1'!$D$9,'Shade - 1'!$E$9,'Shade - 1'!$F$9,'Shade - 1'!$D$7,Vertex!V40,Vertex!V105,Vertex!V170,Normal!V40,Normal!V105,Normal!V170)*255)</f>
        <v>91</v>
      </c>
      <c r="W40">
        <f>INT(shadex('Shade - 1'!$D$9,'Shade - 1'!$E$9,'Shade - 1'!$F$9,'Shade - 1'!$D$7,Vertex!W40,Vertex!W105,Vertex!W170,Normal!W40,Normal!W105,Normal!W170)*255)</f>
        <v>73</v>
      </c>
      <c r="X40">
        <f>INT(shadex('Shade - 1'!$D$9,'Shade - 1'!$E$9,'Shade - 1'!$F$9,'Shade - 1'!$D$7,Vertex!X40,Vertex!X105,Vertex!X170,Normal!X40,Normal!X105,Normal!X170)*255)</f>
        <v>64</v>
      </c>
      <c r="Y40">
        <f>INT(shadex('Shade - 1'!$D$9,'Shade - 1'!$E$9,'Shade - 1'!$F$9,'Shade - 1'!$D$7,Vertex!Y40,Vertex!Y105,Vertex!Y170,Normal!Y40,Normal!Y105,Normal!Y170)*255)</f>
        <v>68</v>
      </c>
      <c r="Z40">
        <f>INT(shadex('Shade - 1'!$D$9,'Shade - 1'!$E$9,'Shade - 1'!$F$9,'Shade - 1'!$D$7,Vertex!Z40,Vertex!Z105,Vertex!Z170,Normal!Z40,Normal!Z105,Normal!Z170)*255)</f>
        <v>73</v>
      </c>
      <c r="AA40">
        <f>INT(shadex('Shade - 1'!$D$9,'Shade - 1'!$E$9,'Shade - 1'!$F$9,'Shade - 1'!$D$7,Vertex!AA40,Vertex!AA105,Vertex!AA170,Normal!AA40,Normal!AA105,Normal!AA170)*255)</f>
        <v>83</v>
      </c>
      <c r="AB40">
        <f>INT(shadex('Shade - 1'!$D$9,'Shade - 1'!$E$9,'Shade - 1'!$F$9,'Shade - 1'!$D$7,Vertex!AB40,Vertex!AB105,Vertex!AB170,Normal!AB40,Normal!AB105,Normal!AB170)*255)</f>
        <v>94</v>
      </c>
      <c r="AC40">
        <f>INT(shadex('Shade - 1'!$D$9,'Shade - 1'!$E$9,'Shade - 1'!$F$9,'Shade - 1'!$D$7,Vertex!AC40,Vertex!AC105,Vertex!AC170,Normal!AC40,Normal!AC105,Normal!AC170)*255)</f>
        <v>97</v>
      </c>
      <c r="AD40">
        <f>INT(shadex('Shade - 1'!$D$9,'Shade - 1'!$E$9,'Shade - 1'!$F$9,'Shade - 1'!$D$7,Vertex!AD40,Vertex!AD105,Vertex!AD170,Normal!AD40,Normal!AD105,Normal!AD170)*255)</f>
        <v>92</v>
      </c>
      <c r="AE40">
        <f>INT(shadex('Shade - 1'!$D$9,'Shade - 1'!$E$9,'Shade - 1'!$F$9,'Shade - 1'!$D$7,Vertex!AE40,Vertex!AE105,Vertex!AE170,Normal!AE40,Normal!AE105,Normal!AE170)*255)</f>
        <v>67</v>
      </c>
      <c r="AF40">
        <f>INT(shadex('Shade - 1'!$D$9,'Shade - 1'!$E$9,'Shade - 1'!$F$9,'Shade - 1'!$D$7,Vertex!AF40,Vertex!AF105,Vertex!AF170,Normal!AF40,Normal!AF105,Normal!AF170)*255)</f>
        <v>59</v>
      </c>
      <c r="AG40">
        <f>INT(shadex('Shade - 1'!$D$9,'Shade - 1'!$E$9,'Shade - 1'!$F$9,'Shade - 1'!$D$7,Vertex!AG40,Vertex!AG105,Vertex!AG170,Normal!AG40,Normal!AG105,Normal!AG170)*255)</f>
        <v>63</v>
      </c>
      <c r="AH40">
        <f>INT(shadex('Shade - 1'!$D$9,'Shade - 1'!$E$9,'Shade - 1'!$F$9,'Shade - 1'!$D$7,Vertex!AH40,Vertex!AH105,Vertex!AH170,Normal!AH40,Normal!AH105,Normal!AH170)*255)</f>
        <v>75</v>
      </c>
      <c r="AI40" s="4">
        <f>INT(shadex('Shade - 1'!$D$9,'Shade - 1'!$E$9,'Shade - 1'!$F$9,'Shade - 1'!$D$7,Vertex!AI40,Vertex!AI105,Vertex!AI170,Normal!AI40,Normal!AI105,Normal!AI170)*255)</f>
        <v>68</v>
      </c>
      <c r="AJ40" s="4">
        <f>INT(shadex('Shade - 1'!$D$9,'Shade - 1'!$E$9,'Shade - 1'!$F$9,'Shade - 1'!$D$7,Vertex!AJ40,Vertex!AJ105,Vertex!AJ170,Normal!AJ40,Normal!AJ105,Normal!AJ170)*255)</f>
        <v>38</v>
      </c>
      <c r="AK40" s="4">
        <f>INT(shadex('Shade - 1'!$D$9,'Shade - 1'!$E$9,'Shade - 1'!$F$9,'Shade - 1'!$D$7,Vertex!AK40,Vertex!AK105,Vertex!AK170,Normal!AK40,Normal!AK105,Normal!AK170)*255)</f>
        <v>78</v>
      </c>
      <c r="AL40" s="4">
        <f>INT(shadex('Shade - 1'!$D$9,'Shade - 1'!$E$9,'Shade - 1'!$F$9,'Shade - 1'!$D$7,Vertex!AL40,Vertex!AL105,Vertex!AL170,Normal!AL40,Normal!AL105,Normal!AL170)*255)</f>
        <v>99</v>
      </c>
      <c r="AM40" s="4">
        <f>INT(shadex('Shade - 1'!$D$9,'Shade - 1'!$E$9,'Shade - 1'!$F$9,'Shade - 1'!$D$7,Vertex!AM40,Vertex!AM105,Vertex!AM170,Normal!AM40,Normal!AM105,Normal!AM170)*255)</f>
        <v>98</v>
      </c>
      <c r="AN40" s="4">
        <f>INT(shadex('Shade - 1'!$D$9,'Shade - 1'!$E$9,'Shade - 1'!$F$9,'Shade - 1'!$D$7,Vertex!AN40,Vertex!AN105,Vertex!AN170,Normal!AN40,Normal!AN105,Normal!AN170)*255)</f>
        <v>90</v>
      </c>
      <c r="AO40" s="4">
        <f>INT(shadex('Shade - 1'!$D$9,'Shade - 1'!$E$9,'Shade - 1'!$F$9,'Shade - 1'!$D$7,Vertex!AO40,Vertex!AO105,Vertex!AO170,Normal!AO40,Normal!AO105,Normal!AO170)*255)</f>
        <v>91</v>
      </c>
      <c r="AP40" s="4">
        <f>INT(shadex('Shade - 1'!$D$9,'Shade - 1'!$E$9,'Shade - 1'!$F$9,'Shade - 1'!$D$7,Vertex!AP40,Vertex!AP105,Vertex!AP170,Normal!AP40,Normal!AP105,Normal!AP170)*255)</f>
        <v>93</v>
      </c>
      <c r="AQ40" s="4">
        <f>INT(shadex('Shade - 1'!$D$9,'Shade - 1'!$E$9,'Shade - 1'!$F$9,'Shade - 1'!$D$7,Vertex!AQ40,Vertex!AQ105,Vertex!AQ170,Normal!AQ40,Normal!AQ105,Normal!AQ170)*255)</f>
        <v>92</v>
      </c>
      <c r="AR40" s="4">
        <f>INT(shadex('Shade - 1'!$D$9,'Shade - 1'!$E$9,'Shade - 1'!$F$9,'Shade - 1'!$D$7,Vertex!AR40,Vertex!AR105,Vertex!AR170,Normal!AR40,Normal!AR105,Normal!AR170)*255)</f>
        <v>95</v>
      </c>
      <c r="AS40" s="4">
        <f>INT(shadex('Shade - 1'!$D$9,'Shade - 1'!$E$9,'Shade - 1'!$F$9,'Shade - 1'!$D$7,Vertex!AS40,Vertex!AS105,Vertex!AS170,Normal!AS40,Normal!AS105,Normal!AS170)*255)</f>
        <v>92</v>
      </c>
      <c r="AT40" s="4">
        <f>INT(shadex('Shade - 1'!$D$9,'Shade - 1'!$E$9,'Shade - 1'!$F$9,'Shade - 1'!$D$7,Vertex!AT40,Vertex!AT105,Vertex!AT170,Normal!AT40,Normal!AT105,Normal!AT170)*255)</f>
        <v>94</v>
      </c>
      <c r="AU40" s="4">
        <f>INT(shadex('Shade - 1'!$D$9,'Shade - 1'!$E$9,'Shade - 1'!$F$9,'Shade - 1'!$D$7,Vertex!AU40,Vertex!AU105,Vertex!AU170,Normal!AU40,Normal!AU105,Normal!AU170)*255)</f>
        <v>95</v>
      </c>
      <c r="AV40" s="4">
        <f>INT(shadex('Shade - 1'!$D$9,'Shade - 1'!$E$9,'Shade - 1'!$F$9,'Shade - 1'!$D$7,Vertex!AV40,Vertex!AV105,Vertex!AV170,Normal!AV40,Normal!AV105,Normal!AV170)*255)</f>
        <v>83</v>
      </c>
      <c r="AW40" s="4">
        <f>INT(shadex('Shade - 1'!$D$9,'Shade - 1'!$E$9,'Shade - 1'!$F$9,'Shade - 1'!$D$7,Vertex!AW40,Vertex!AW105,Vertex!AW170,Normal!AW40,Normal!AW105,Normal!AW170)*255)</f>
        <v>76</v>
      </c>
      <c r="AX40" s="4">
        <f>INT(shadex('Shade - 1'!$D$9,'Shade - 1'!$E$9,'Shade - 1'!$F$9,'Shade - 1'!$D$7,Vertex!AX40,Vertex!AX105,Vertex!AX170,Normal!AX40,Normal!AX105,Normal!AX170)*255)</f>
        <v>81</v>
      </c>
      <c r="AY40" s="4">
        <f>INT(shadex('Shade - 1'!$D$9,'Shade - 1'!$E$9,'Shade - 1'!$F$9,'Shade - 1'!$D$7,Vertex!AY40,Vertex!AY105,Vertex!AY170,Normal!AY40,Normal!AY105,Normal!AY170)*255)</f>
        <v>84</v>
      </c>
      <c r="AZ40" s="4">
        <f>INT(shadex('Shade - 1'!$D$9,'Shade - 1'!$E$9,'Shade - 1'!$F$9,'Shade - 1'!$D$7,Vertex!AZ40,Vertex!AZ105,Vertex!AZ170,Normal!AZ40,Normal!AZ105,Normal!AZ170)*255)</f>
        <v>93</v>
      </c>
      <c r="BA40" s="4">
        <f>INT(shadex('Shade - 1'!$D$9,'Shade - 1'!$E$9,'Shade - 1'!$F$9,'Shade - 1'!$D$7,Vertex!BA40,Vertex!BA105,Vertex!BA170,Normal!BA40,Normal!BA105,Normal!BA170)*255)</f>
        <v>81</v>
      </c>
      <c r="BB40" s="4">
        <f>INT(shadex('Shade - 1'!$D$9,'Shade - 1'!$E$9,'Shade - 1'!$F$9,'Shade - 1'!$D$7,Vertex!BB40,Vertex!BB105,Vertex!BB170,Normal!BB40,Normal!BB105,Normal!BB170)*255)</f>
        <v>59</v>
      </c>
      <c r="BC40" s="4">
        <f>INT(shadex('Shade - 1'!$D$9,'Shade - 1'!$E$9,'Shade - 1'!$F$9,'Shade - 1'!$D$7,Vertex!BC40,Vertex!BC105,Vertex!BC170,Normal!BC40,Normal!BC105,Normal!BC170)*255)</f>
        <v>92</v>
      </c>
      <c r="BD40" s="4">
        <f>INT(shadex('Shade - 1'!$D$9,'Shade - 1'!$E$9,'Shade - 1'!$F$9,'Shade - 1'!$D$7,Vertex!BD40,Vertex!BD105,Vertex!BD170,Normal!BD40,Normal!BD105,Normal!BD170)*255)</f>
        <v>98</v>
      </c>
      <c r="BE40" s="4">
        <f>INT(shadex('Shade - 1'!$D$9,'Shade - 1'!$E$9,'Shade - 1'!$F$9,'Shade - 1'!$D$7,Vertex!BE40,Vertex!BE105,Vertex!BE170,Normal!BE40,Normal!BE105,Normal!BE170)*255)</f>
        <v>90</v>
      </c>
      <c r="BF40" s="4">
        <f>INT(shadex('Shade - 1'!$D$9,'Shade - 1'!$E$9,'Shade - 1'!$F$9,'Shade - 1'!$D$7,Vertex!BF40,Vertex!BF105,Vertex!BF170,Normal!BF40,Normal!BF105,Normal!BF170)*255)</f>
        <v>90</v>
      </c>
      <c r="BG40" s="4">
        <f>INT(shadex('Shade - 1'!$D$9,'Shade - 1'!$E$9,'Shade - 1'!$F$9,'Shade - 1'!$D$7,Vertex!BG40,Vertex!BG105,Vertex!BG170,Normal!BG40,Normal!BG105,Normal!BG170)*255)</f>
        <v>81</v>
      </c>
      <c r="BH40" s="4">
        <f>INT(shadex('Shade - 1'!$D$9,'Shade - 1'!$E$9,'Shade - 1'!$F$9,'Shade - 1'!$D$7,Vertex!BH40,Vertex!BH105,Vertex!BH170,Normal!BH40,Normal!BH105,Normal!BH170)*255)</f>
        <v>79</v>
      </c>
      <c r="BI40" s="4">
        <f>INT(shadex('Shade - 1'!$D$9,'Shade - 1'!$E$9,'Shade - 1'!$F$9,'Shade - 1'!$D$7,Vertex!BI40,Vertex!BI105,Vertex!BI170,Normal!BI40,Normal!BI105,Normal!BI170)*255)</f>
        <v>87</v>
      </c>
      <c r="BJ40" s="4">
        <f>INT(shadex('Shade - 1'!$D$9,'Shade - 1'!$E$9,'Shade - 1'!$F$9,'Shade - 1'!$D$7,Vertex!BJ40,Vertex!BJ105,Vertex!BJ170,Normal!BJ40,Normal!BJ105,Normal!BJ170)*255)</f>
        <v>89</v>
      </c>
      <c r="BK40" s="4">
        <f>INT(shadex('Shade - 1'!$D$9,'Shade - 1'!$E$9,'Shade - 1'!$F$9,'Shade - 1'!$D$7,Vertex!BK40,Vertex!BK105,Vertex!BK170,Normal!BK40,Normal!BK105,Normal!BK170)*255)</f>
        <v>83</v>
      </c>
      <c r="BL40" s="4">
        <f>INT(shadex('Shade - 1'!$D$9,'Shade - 1'!$E$9,'Shade - 1'!$F$9,'Shade - 1'!$D$7,Vertex!BL40,Vertex!BL105,Vertex!BL170,Normal!BL40,Normal!BL105,Normal!BL170)*255)</f>
        <v>71</v>
      </c>
    </row>
    <row r="41" spans="1:64" x14ac:dyDescent="0.25">
      <c r="A41">
        <f>INT(shadex('Shade - 1'!$D$9,'Shade - 1'!$E$9,'Shade - 1'!$F$9,'Shade - 1'!$D$7,Vertex!A41,Vertex!A106,Vertex!A171,Normal!A41,Normal!A106,Normal!A171)*255)</f>
        <v>71</v>
      </c>
      <c r="B41">
        <f>INT(shadex('Shade - 1'!$D$9,'Shade - 1'!$E$9,'Shade - 1'!$F$9,'Shade - 1'!$D$7,Vertex!B41,Vertex!B106,Vertex!B171,Normal!B41,Normal!B106,Normal!B171)*255)</f>
        <v>75</v>
      </c>
      <c r="C41">
        <f>INT(shadex('Shade - 1'!$D$9,'Shade - 1'!$E$9,'Shade - 1'!$F$9,'Shade - 1'!$D$7,Vertex!C41,Vertex!C106,Vertex!C171,Normal!C41,Normal!C106,Normal!C171)*255)</f>
        <v>87</v>
      </c>
      <c r="D41">
        <f>INT(shadex('Shade - 1'!$D$9,'Shade - 1'!$E$9,'Shade - 1'!$F$9,'Shade - 1'!$D$7,Vertex!D41,Vertex!D106,Vertex!D171,Normal!D41,Normal!D106,Normal!D171)*255)</f>
        <v>89</v>
      </c>
      <c r="E41">
        <f>INT(shadex('Shade - 1'!$D$9,'Shade - 1'!$E$9,'Shade - 1'!$F$9,'Shade - 1'!$D$7,Vertex!E41,Vertex!E106,Vertex!E171,Normal!E41,Normal!E106,Normal!E171)*255)</f>
        <v>67</v>
      </c>
      <c r="F41">
        <f>INT(shadex('Shade - 1'!$D$9,'Shade - 1'!$E$9,'Shade - 1'!$F$9,'Shade - 1'!$D$7,Vertex!F41,Vertex!F106,Vertex!F171,Normal!F41,Normal!F106,Normal!F171)*255)</f>
        <v>53</v>
      </c>
      <c r="G41">
        <f>INT(shadex('Shade - 1'!$D$9,'Shade - 1'!$E$9,'Shade - 1'!$F$9,'Shade - 1'!$D$7,Vertex!G41,Vertex!G106,Vertex!G171,Normal!G41,Normal!G106,Normal!G171)*255)</f>
        <v>46</v>
      </c>
      <c r="H41">
        <f>INT(shadex('Shade - 1'!$D$9,'Shade - 1'!$E$9,'Shade - 1'!$F$9,'Shade - 1'!$D$7,Vertex!H41,Vertex!H106,Vertex!H171,Normal!H41,Normal!H106,Normal!H171)*255)</f>
        <v>35</v>
      </c>
      <c r="I41">
        <f>INT(shadex('Shade - 1'!$D$9,'Shade - 1'!$E$9,'Shade - 1'!$F$9,'Shade - 1'!$D$7,Vertex!I41,Vertex!I106,Vertex!I171,Normal!I41,Normal!I106,Normal!I171)*255)</f>
        <v>57</v>
      </c>
      <c r="J41">
        <f>INT(shadex('Shade - 1'!$D$9,'Shade - 1'!$E$9,'Shade - 1'!$F$9,'Shade - 1'!$D$7,Vertex!J41,Vertex!J106,Vertex!J171,Normal!J41,Normal!J106,Normal!J171)*255)</f>
        <v>52</v>
      </c>
      <c r="K41">
        <f>INT(shadex('Shade - 1'!$D$9,'Shade - 1'!$E$9,'Shade - 1'!$F$9,'Shade - 1'!$D$7,Vertex!K41,Vertex!K106,Vertex!K171,Normal!K41,Normal!K106,Normal!K171)*255)</f>
        <v>41</v>
      </c>
      <c r="L41">
        <f>INT(shadex('Shade - 1'!$D$9,'Shade - 1'!$E$9,'Shade - 1'!$F$9,'Shade - 1'!$D$7,Vertex!L41,Vertex!L106,Vertex!L171,Normal!L41,Normal!L106,Normal!L171)*255)</f>
        <v>57</v>
      </c>
      <c r="M41">
        <f>INT(shadex('Shade - 1'!$D$9,'Shade - 1'!$E$9,'Shade - 1'!$F$9,'Shade - 1'!$D$7,Vertex!M41,Vertex!M106,Vertex!M171,Normal!M41,Normal!M106,Normal!M171)*255)</f>
        <v>57</v>
      </c>
      <c r="N41">
        <f>INT(shadex('Shade - 1'!$D$9,'Shade - 1'!$E$9,'Shade - 1'!$F$9,'Shade - 1'!$D$7,Vertex!N41,Vertex!N106,Vertex!N171,Normal!N41,Normal!N106,Normal!N171)*255)</f>
        <v>36</v>
      </c>
      <c r="O41">
        <f>INT(shadex('Shade - 1'!$D$9,'Shade - 1'!$E$9,'Shade - 1'!$F$9,'Shade - 1'!$D$7,Vertex!O41,Vertex!O106,Vertex!O171,Normal!O41,Normal!O106,Normal!O171)*255)</f>
        <v>43</v>
      </c>
      <c r="P41">
        <f>INT(shadex('Shade - 1'!$D$9,'Shade - 1'!$E$9,'Shade - 1'!$F$9,'Shade - 1'!$D$7,Vertex!P41,Vertex!P106,Vertex!P171,Normal!P41,Normal!P106,Normal!P171)*255)</f>
        <v>40</v>
      </c>
      <c r="Q41">
        <f>INT(shadex('Shade - 1'!$D$9,'Shade - 1'!$E$9,'Shade - 1'!$F$9,'Shade - 1'!$D$7,Vertex!Q41,Vertex!Q106,Vertex!Q171,Normal!Q41,Normal!Q106,Normal!Q171)*255)</f>
        <v>38</v>
      </c>
      <c r="R41">
        <f>INT(shadex('Shade - 1'!$D$9,'Shade - 1'!$E$9,'Shade - 1'!$F$9,'Shade - 1'!$D$7,Vertex!R41,Vertex!R106,Vertex!R171,Normal!R41,Normal!R106,Normal!R171)*255)</f>
        <v>64</v>
      </c>
      <c r="S41">
        <f>INT(shadex('Shade - 1'!$D$9,'Shade - 1'!$E$9,'Shade - 1'!$F$9,'Shade - 1'!$D$7,Vertex!S41,Vertex!S106,Vertex!S171,Normal!S41,Normal!S106,Normal!S171)*255)</f>
        <v>38</v>
      </c>
      <c r="T41">
        <f>INT(shadex('Shade - 1'!$D$9,'Shade - 1'!$E$9,'Shade - 1'!$F$9,'Shade - 1'!$D$7,Vertex!T41,Vertex!T106,Vertex!T171,Normal!T41,Normal!T106,Normal!T171)*255)</f>
        <v>39</v>
      </c>
      <c r="U41">
        <f>INT(shadex('Shade - 1'!$D$9,'Shade - 1'!$E$9,'Shade - 1'!$F$9,'Shade - 1'!$D$7,Vertex!U41,Vertex!U106,Vertex!U171,Normal!U41,Normal!U106,Normal!U171)*255)</f>
        <v>95</v>
      </c>
      <c r="V41">
        <f>INT(shadex('Shade - 1'!$D$9,'Shade - 1'!$E$9,'Shade - 1'!$F$9,'Shade - 1'!$D$7,Vertex!V41,Vertex!V106,Vertex!V171,Normal!V41,Normal!V106,Normal!V171)*255)</f>
        <v>98</v>
      </c>
      <c r="W41">
        <f>INT(shadex('Shade - 1'!$D$9,'Shade - 1'!$E$9,'Shade - 1'!$F$9,'Shade - 1'!$D$7,Vertex!W41,Vertex!W106,Vertex!W171,Normal!W41,Normal!W106,Normal!W171)*255)</f>
        <v>94</v>
      </c>
      <c r="X41">
        <f>INT(shadex('Shade - 1'!$D$9,'Shade - 1'!$E$9,'Shade - 1'!$F$9,'Shade - 1'!$D$7,Vertex!X41,Vertex!X106,Vertex!X171,Normal!X41,Normal!X106,Normal!X171)*255)</f>
        <v>80</v>
      </c>
      <c r="Y41">
        <f>INT(shadex('Shade - 1'!$D$9,'Shade - 1'!$E$9,'Shade - 1'!$F$9,'Shade - 1'!$D$7,Vertex!Y41,Vertex!Y106,Vertex!Y171,Normal!Y41,Normal!Y106,Normal!Y171)*255)</f>
        <v>60</v>
      </c>
      <c r="Z41">
        <f>INT(shadex('Shade - 1'!$D$9,'Shade - 1'!$E$9,'Shade - 1'!$F$9,'Shade - 1'!$D$7,Vertex!Z41,Vertex!Z106,Vertex!Z171,Normal!Z41,Normal!Z106,Normal!Z171)*255)</f>
        <v>59</v>
      </c>
      <c r="AA41">
        <f>INT(shadex('Shade - 1'!$D$9,'Shade - 1'!$E$9,'Shade - 1'!$F$9,'Shade - 1'!$D$7,Vertex!AA41,Vertex!AA106,Vertex!AA171,Normal!AA41,Normal!AA106,Normal!AA171)*255)</f>
        <v>70</v>
      </c>
      <c r="AB41">
        <f>INT(shadex('Shade - 1'!$D$9,'Shade - 1'!$E$9,'Shade - 1'!$F$9,'Shade - 1'!$D$7,Vertex!AB41,Vertex!AB106,Vertex!AB171,Normal!AB41,Normal!AB106,Normal!AB171)*255)</f>
        <v>68</v>
      </c>
      <c r="AC41">
        <f>INT(shadex('Shade - 1'!$D$9,'Shade - 1'!$E$9,'Shade - 1'!$F$9,'Shade - 1'!$D$7,Vertex!AC41,Vertex!AC106,Vertex!AC171,Normal!AC41,Normal!AC106,Normal!AC171)*255)</f>
        <v>90</v>
      </c>
      <c r="AD41">
        <f>INT(shadex('Shade - 1'!$D$9,'Shade - 1'!$E$9,'Shade - 1'!$F$9,'Shade - 1'!$D$7,Vertex!AD41,Vertex!AD106,Vertex!AD171,Normal!AD41,Normal!AD106,Normal!AD171)*255)</f>
        <v>92</v>
      </c>
      <c r="AE41">
        <f>INT(shadex('Shade - 1'!$D$9,'Shade - 1'!$E$9,'Shade - 1'!$F$9,'Shade - 1'!$D$7,Vertex!AE41,Vertex!AE106,Vertex!AE171,Normal!AE41,Normal!AE106,Normal!AE171)*255)</f>
        <v>83</v>
      </c>
      <c r="AF41">
        <f>INT(shadex('Shade - 1'!$D$9,'Shade - 1'!$E$9,'Shade - 1'!$F$9,'Shade - 1'!$D$7,Vertex!AF41,Vertex!AF106,Vertex!AF171,Normal!AF41,Normal!AF106,Normal!AF171)*255)</f>
        <v>68</v>
      </c>
      <c r="AG41">
        <f>INT(shadex('Shade - 1'!$D$9,'Shade - 1'!$E$9,'Shade - 1'!$F$9,'Shade - 1'!$D$7,Vertex!AG41,Vertex!AG106,Vertex!AG171,Normal!AG41,Normal!AG106,Normal!AG171)*255)</f>
        <v>60</v>
      </c>
      <c r="AH41">
        <f>INT(shadex('Shade - 1'!$D$9,'Shade - 1'!$E$9,'Shade - 1'!$F$9,'Shade - 1'!$D$7,Vertex!AH41,Vertex!AH106,Vertex!AH171,Normal!AH41,Normal!AH106,Normal!AH171)*255)</f>
        <v>67</v>
      </c>
      <c r="AI41" s="4">
        <f>INT(shadex('Shade - 1'!$D$9,'Shade - 1'!$E$9,'Shade - 1'!$F$9,'Shade - 1'!$D$7,Vertex!AI41,Vertex!AI106,Vertex!AI171,Normal!AI41,Normal!AI106,Normal!AI171)*255)</f>
        <v>68</v>
      </c>
      <c r="AJ41" s="4">
        <f>INT(shadex('Shade - 1'!$D$9,'Shade - 1'!$E$9,'Shade - 1'!$F$9,'Shade - 1'!$D$7,Vertex!AJ41,Vertex!AJ106,Vertex!AJ171,Normal!AJ41,Normal!AJ106,Normal!AJ171)*255)</f>
        <v>33</v>
      </c>
      <c r="AK41" s="4">
        <f>INT(shadex('Shade - 1'!$D$9,'Shade - 1'!$E$9,'Shade - 1'!$F$9,'Shade - 1'!$D$7,Vertex!AK41,Vertex!AK106,Vertex!AK171,Normal!AK41,Normal!AK106,Normal!AK171)*255)</f>
        <v>61</v>
      </c>
      <c r="AL41" s="4">
        <f>INT(shadex('Shade - 1'!$D$9,'Shade - 1'!$E$9,'Shade - 1'!$F$9,'Shade - 1'!$D$7,Vertex!AL41,Vertex!AL106,Vertex!AL171,Normal!AL41,Normal!AL106,Normal!AL171)*255)</f>
        <v>92</v>
      </c>
      <c r="AM41" s="4">
        <f>INT(shadex('Shade - 1'!$D$9,'Shade - 1'!$E$9,'Shade - 1'!$F$9,'Shade - 1'!$D$7,Vertex!AM41,Vertex!AM106,Vertex!AM171,Normal!AM41,Normal!AM106,Normal!AM171)*255)</f>
        <v>95</v>
      </c>
      <c r="AN41" s="4">
        <f>INT(shadex('Shade - 1'!$D$9,'Shade - 1'!$E$9,'Shade - 1'!$F$9,'Shade - 1'!$D$7,Vertex!AN41,Vertex!AN106,Vertex!AN171,Normal!AN41,Normal!AN106,Normal!AN171)*255)</f>
        <v>90</v>
      </c>
      <c r="AO41" s="4">
        <f>INT(shadex('Shade - 1'!$D$9,'Shade - 1'!$E$9,'Shade - 1'!$F$9,'Shade - 1'!$D$7,Vertex!AO41,Vertex!AO106,Vertex!AO171,Normal!AO41,Normal!AO106,Normal!AO171)*255)</f>
        <v>86</v>
      </c>
      <c r="AP41" s="4">
        <f>INT(shadex('Shade - 1'!$D$9,'Shade - 1'!$E$9,'Shade - 1'!$F$9,'Shade - 1'!$D$7,Vertex!AP41,Vertex!AP106,Vertex!AP171,Normal!AP41,Normal!AP106,Normal!AP171)*255)</f>
        <v>95</v>
      </c>
      <c r="AQ41" s="4">
        <f>INT(shadex('Shade - 1'!$D$9,'Shade - 1'!$E$9,'Shade - 1'!$F$9,'Shade - 1'!$D$7,Vertex!AQ41,Vertex!AQ106,Vertex!AQ171,Normal!AQ41,Normal!AQ106,Normal!AQ171)*255)</f>
        <v>94</v>
      </c>
      <c r="AR41" s="4">
        <f>INT(shadex('Shade - 1'!$D$9,'Shade - 1'!$E$9,'Shade - 1'!$F$9,'Shade - 1'!$D$7,Vertex!AR41,Vertex!AR106,Vertex!AR171,Normal!AR41,Normal!AR106,Normal!AR171)*255)</f>
        <v>94</v>
      </c>
      <c r="AS41" s="4">
        <f>INT(shadex('Shade - 1'!$D$9,'Shade - 1'!$E$9,'Shade - 1'!$F$9,'Shade - 1'!$D$7,Vertex!AS41,Vertex!AS106,Vertex!AS171,Normal!AS41,Normal!AS106,Normal!AS171)*255)</f>
        <v>95</v>
      </c>
      <c r="AT41" s="4">
        <f>INT(shadex('Shade - 1'!$D$9,'Shade - 1'!$E$9,'Shade - 1'!$F$9,'Shade - 1'!$D$7,Vertex!AT41,Vertex!AT106,Vertex!AT171,Normal!AT41,Normal!AT106,Normal!AT171)*255)</f>
        <v>94</v>
      </c>
      <c r="AU41" s="4">
        <f>INT(shadex('Shade - 1'!$D$9,'Shade - 1'!$E$9,'Shade - 1'!$F$9,'Shade - 1'!$D$7,Vertex!AU41,Vertex!AU106,Vertex!AU171,Normal!AU41,Normal!AU106,Normal!AU171)*255)</f>
        <v>89</v>
      </c>
      <c r="AV41" s="4">
        <f>INT(shadex('Shade - 1'!$D$9,'Shade - 1'!$E$9,'Shade - 1'!$F$9,'Shade - 1'!$D$7,Vertex!AV41,Vertex!AV106,Vertex!AV171,Normal!AV41,Normal!AV106,Normal!AV171)*255)</f>
        <v>84</v>
      </c>
      <c r="AW41" s="4">
        <f>INT(shadex('Shade - 1'!$D$9,'Shade - 1'!$E$9,'Shade - 1'!$F$9,'Shade - 1'!$D$7,Vertex!AW41,Vertex!AW106,Vertex!AW171,Normal!AW41,Normal!AW106,Normal!AW171)*255)</f>
        <v>81</v>
      </c>
      <c r="AX41" s="4">
        <f>INT(shadex('Shade - 1'!$D$9,'Shade - 1'!$E$9,'Shade - 1'!$F$9,'Shade - 1'!$D$7,Vertex!AX41,Vertex!AX106,Vertex!AX171,Normal!AX41,Normal!AX106,Normal!AX171)*255)</f>
        <v>78</v>
      </c>
      <c r="AY41" s="4">
        <f>INT(shadex('Shade - 1'!$D$9,'Shade - 1'!$E$9,'Shade - 1'!$F$9,'Shade - 1'!$D$7,Vertex!AY41,Vertex!AY106,Vertex!AY171,Normal!AY41,Normal!AY106,Normal!AY171)*255)</f>
        <v>80</v>
      </c>
      <c r="AZ41" s="4">
        <f>INT(shadex('Shade - 1'!$D$9,'Shade - 1'!$E$9,'Shade - 1'!$F$9,'Shade - 1'!$D$7,Vertex!AZ41,Vertex!AZ106,Vertex!AZ171,Normal!AZ41,Normal!AZ106,Normal!AZ171)*255)</f>
        <v>93</v>
      </c>
      <c r="BA41" s="4">
        <f>INT(shadex('Shade - 1'!$D$9,'Shade - 1'!$E$9,'Shade - 1'!$F$9,'Shade - 1'!$D$7,Vertex!BA41,Vertex!BA106,Vertex!BA171,Normal!BA41,Normal!BA106,Normal!BA171)*255)</f>
        <v>81</v>
      </c>
      <c r="BB41" s="4">
        <f>INT(shadex('Shade - 1'!$D$9,'Shade - 1'!$E$9,'Shade - 1'!$F$9,'Shade - 1'!$D$7,Vertex!BB41,Vertex!BB106,Vertex!BB171,Normal!BB41,Normal!BB106,Normal!BB171)*255)</f>
        <v>65</v>
      </c>
      <c r="BC41" s="4">
        <f>INT(shadex('Shade - 1'!$D$9,'Shade - 1'!$E$9,'Shade - 1'!$F$9,'Shade - 1'!$D$7,Vertex!BC41,Vertex!BC106,Vertex!BC171,Normal!BC41,Normal!BC106,Normal!BC171)*255)</f>
        <v>76</v>
      </c>
      <c r="BD41" s="4">
        <f>INT(shadex('Shade - 1'!$D$9,'Shade - 1'!$E$9,'Shade - 1'!$F$9,'Shade - 1'!$D$7,Vertex!BD41,Vertex!BD106,Vertex!BD171,Normal!BD41,Normal!BD106,Normal!BD171)*255)</f>
        <v>77</v>
      </c>
      <c r="BE41" s="4">
        <f>INT(shadex('Shade - 1'!$D$9,'Shade - 1'!$E$9,'Shade - 1'!$F$9,'Shade - 1'!$D$7,Vertex!BE41,Vertex!BE106,Vertex!BE171,Normal!BE41,Normal!BE106,Normal!BE171)*255)</f>
        <v>77</v>
      </c>
      <c r="BF41" s="4">
        <f>INT(shadex('Shade - 1'!$D$9,'Shade - 1'!$E$9,'Shade - 1'!$F$9,'Shade - 1'!$D$7,Vertex!BF41,Vertex!BF106,Vertex!BF171,Normal!BF41,Normal!BF106,Normal!BF171)*255)</f>
        <v>80</v>
      </c>
      <c r="BG41" s="4">
        <f>INT(shadex('Shade - 1'!$D$9,'Shade - 1'!$E$9,'Shade - 1'!$F$9,'Shade - 1'!$D$7,Vertex!BG41,Vertex!BG106,Vertex!BG171,Normal!BG41,Normal!BG106,Normal!BG171)*255)</f>
        <v>82</v>
      </c>
      <c r="BH41" s="4">
        <f>INT(shadex('Shade - 1'!$D$9,'Shade - 1'!$E$9,'Shade - 1'!$F$9,'Shade - 1'!$D$7,Vertex!BH41,Vertex!BH106,Vertex!BH171,Normal!BH41,Normal!BH106,Normal!BH171)*255)</f>
        <v>79</v>
      </c>
      <c r="BI41" s="4">
        <f>INT(shadex('Shade - 1'!$D$9,'Shade - 1'!$E$9,'Shade - 1'!$F$9,'Shade - 1'!$D$7,Vertex!BI41,Vertex!BI106,Vertex!BI171,Normal!BI41,Normal!BI106,Normal!BI171)*255)</f>
        <v>81</v>
      </c>
      <c r="BJ41" s="4">
        <f>INT(shadex('Shade - 1'!$D$9,'Shade - 1'!$E$9,'Shade - 1'!$F$9,'Shade - 1'!$D$7,Vertex!BJ41,Vertex!BJ106,Vertex!BJ171,Normal!BJ41,Normal!BJ106,Normal!BJ171)*255)</f>
        <v>80</v>
      </c>
      <c r="BK41" s="4">
        <f>INT(shadex('Shade - 1'!$D$9,'Shade - 1'!$E$9,'Shade - 1'!$F$9,'Shade - 1'!$D$7,Vertex!BK41,Vertex!BK106,Vertex!BK171,Normal!BK41,Normal!BK106,Normal!BK171)*255)</f>
        <v>73</v>
      </c>
      <c r="BL41" s="4">
        <f>INT(shadex('Shade - 1'!$D$9,'Shade - 1'!$E$9,'Shade - 1'!$F$9,'Shade - 1'!$D$7,Vertex!BL41,Vertex!BL106,Vertex!BL171,Normal!BL41,Normal!BL106,Normal!BL171)*255)</f>
        <v>65</v>
      </c>
    </row>
    <row r="42" spans="1:64" x14ac:dyDescent="0.25">
      <c r="A42">
        <f>INT(shadex('Shade - 1'!$D$9,'Shade - 1'!$E$9,'Shade - 1'!$F$9,'Shade - 1'!$D$7,Vertex!A42,Vertex!A107,Vertex!A172,Normal!A42,Normal!A107,Normal!A172)*255)</f>
        <v>66</v>
      </c>
      <c r="B42">
        <f>INT(shadex('Shade - 1'!$D$9,'Shade - 1'!$E$9,'Shade - 1'!$F$9,'Shade - 1'!$D$7,Vertex!B42,Vertex!B107,Vertex!B172,Normal!B42,Normal!B107,Normal!B172)*255)</f>
        <v>70</v>
      </c>
      <c r="C42">
        <f>INT(shadex('Shade - 1'!$D$9,'Shade - 1'!$E$9,'Shade - 1'!$F$9,'Shade - 1'!$D$7,Vertex!C42,Vertex!C107,Vertex!C172,Normal!C42,Normal!C107,Normal!C172)*255)</f>
        <v>86</v>
      </c>
      <c r="D42">
        <f>INT(shadex('Shade - 1'!$D$9,'Shade - 1'!$E$9,'Shade - 1'!$F$9,'Shade - 1'!$D$7,Vertex!D42,Vertex!D107,Vertex!D172,Normal!D42,Normal!D107,Normal!D172)*255)</f>
        <v>93</v>
      </c>
      <c r="E42">
        <f>INT(shadex('Shade - 1'!$D$9,'Shade - 1'!$E$9,'Shade - 1'!$F$9,'Shade - 1'!$D$7,Vertex!E42,Vertex!E107,Vertex!E172,Normal!E42,Normal!E107,Normal!E172)*255)</f>
        <v>76</v>
      </c>
      <c r="F42">
        <f>INT(shadex('Shade - 1'!$D$9,'Shade - 1'!$E$9,'Shade - 1'!$F$9,'Shade - 1'!$D$7,Vertex!F42,Vertex!F107,Vertex!F172,Normal!F42,Normal!F107,Normal!F172)*255)</f>
        <v>56</v>
      </c>
      <c r="G42">
        <f>INT(shadex('Shade - 1'!$D$9,'Shade - 1'!$E$9,'Shade - 1'!$F$9,'Shade - 1'!$D$7,Vertex!G42,Vertex!G107,Vertex!G172,Normal!G42,Normal!G107,Normal!G172)*255)</f>
        <v>27</v>
      </c>
      <c r="H42">
        <f>INT(shadex('Shade - 1'!$D$9,'Shade - 1'!$E$9,'Shade - 1'!$F$9,'Shade - 1'!$D$7,Vertex!H42,Vertex!H107,Vertex!H172,Normal!H42,Normal!H107,Normal!H172)*255)</f>
        <v>0</v>
      </c>
      <c r="I42">
        <f>INT(shadex('Shade - 1'!$D$9,'Shade - 1'!$E$9,'Shade - 1'!$F$9,'Shade - 1'!$D$7,Vertex!I42,Vertex!I107,Vertex!I172,Normal!I42,Normal!I107,Normal!I172)*255)</f>
        <v>47</v>
      </c>
      <c r="J42">
        <f>INT(shadex('Shade - 1'!$D$9,'Shade - 1'!$E$9,'Shade - 1'!$F$9,'Shade - 1'!$D$7,Vertex!J42,Vertex!J107,Vertex!J172,Normal!J42,Normal!J107,Normal!J172)*255)</f>
        <v>54</v>
      </c>
      <c r="K42">
        <f>INT(shadex('Shade - 1'!$D$9,'Shade - 1'!$E$9,'Shade - 1'!$F$9,'Shade - 1'!$D$7,Vertex!K42,Vertex!K107,Vertex!K172,Normal!K42,Normal!K107,Normal!K172)*255)</f>
        <v>33</v>
      </c>
      <c r="L42">
        <f>INT(shadex('Shade - 1'!$D$9,'Shade - 1'!$E$9,'Shade - 1'!$F$9,'Shade - 1'!$D$7,Vertex!L42,Vertex!L107,Vertex!L172,Normal!L42,Normal!L107,Normal!L172)*255)</f>
        <v>37</v>
      </c>
      <c r="M42">
        <f>INT(shadex('Shade - 1'!$D$9,'Shade - 1'!$E$9,'Shade - 1'!$F$9,'Shade - 1'!$D$7,Vertex!M42,Vertex!M107,Vertex!M172,Normal!M42,Normal!M107,Normal!M172)*255)</f>
        <v>48</v>
      </c>
      <c r="N42">
        <f>INT(shadex('Shade - 1'!$D$9,'Shade - 1'!$E$9,'Shade - 1'!$F$9,'Shade - 1'!$D$7,Vertex!N42,Vertex!N107,Vertex!N172,Normal!N42,Normal!N107,Normal!N172)*255)</f>
        <v>26</v>
      </c>
      <c r="O42">
        <f>INT(shadex('Shade - 1'!$D$9,'Shade - 1'!$E$9,'Shade - 1'!$F$9,'Shade - 1'!$D$7,Vertex!O42,Vertex!O107,Vertex!O172,Normal!O42,Normal!O107,Normal!O172)*255)</f>
        <v>32</v>
      </c>
      <c r="P42">
        <f>INT(shadex('Shade - 1'!$D$9,'Shade - 1'!$E$9,'Shade - 1'!$F$9,'Shade - 1'!$D$7,Vertex!P42,Vertex!P107,Vertex!P172,Normal!P42,Normal!P107,Normal!P172)*255)</f>
        <v>37</v>
      </c>
      <c r="Q42">
        <f>INT(shadex('Shade - 1'!$D$9,'Shade - 1'!$E$9,'Shade - 1'!$F$9,'Shade - 1'!$D$7,Vertex!Q42,Vertex!Q107,Vertex!Q172,Normal!Q42,Normal!Q107,Normal!Q172)*255)</f>
        <v>33</v>
      </c>
      <c r="R42">
        <f>INT(shadex('Shade - 1'!$D$9,'Shade - 1'!$E$9,'Shade - 1'!$F$9,'Shade - 1'!$D$7,Vertex!R42,Vertex!R107,Vertex!R172,Normal!R42,Normal!R107,Normal!R172)*255)</f>
        <v>41</v>
      </c>
      <c r="S42">
        <f>INT(shadex('Shade - 1'!$D$9,'Shade - 1'!$E$9,'Shade - 1'!$F$9,'Shade - 1'!$D$7,Vertex!S42,Vertex!S107,Vertex!S172,Normal!S42,Normal!S107,Normal!S172)*255)</f>
        <v>30</v>
      </c>
      <c r="T42">
        <f>INT(shadex('Shade - 1'!$D$9,'Shade - 1'!$E$9,'Shade - 1'!$F$9,'Shade - 1'!$D$7,Vertex!T42,Vertex!T107,Vertex!T172,Normal!T42,Normal!T107,Normal!T172)*255)</f>
        <v>37</v>
      </c>
      <c r="U42">
        <f>INT(shadex('Shade - 1'!$D$9,'Shade - 1'!$E$9,'Shade - 1'!$F$9,'Shade - 1'!$D$7,Vertex!U42,Vertex!U107,Vertex!U172,Normal!U42,Normal!U107,Normal!U172)*255)</f>
        <v>93</v>
      </c>
      <c r="V42">
        <f>INT(shadex('Shade - 1'!$D$9,'Shade - 1'!$E$9,'Shade - 1'!$F$9,'Shade - 1'!$D$7,Vertex!V42,Vertex!V107,Vertex!V172,Normal!V42,Normal!V107,Normal!V172)*255)</f>
        <v>98</v>
      </c>
      <c r="W42">
        <f>INT(shadex('Shade - 1'!$D$9,'Shade - 1'!$E$9,'Shade - 1'!$F$9,'Shade - 1'!$D$7,Vertex!W42,Vertex!W107,Vertex!W172,Normal!W42,Normal!W107,Normal!W172)*255)</f>
        <v>98</v>
      </c>
      <c r="X42">
        <f>INT(shadex('Shade - 1'!$D$9,'Shade - 1'!$E$9,'Shade - 1'!$F$9,'Shade - 1'!$D$7,Vertex!X42,Vertex!X107,Vertex!X172,Normal!X42,Normal!X107,Normal!X172)*255)</f>
        <v>95</v>
      </c>
      <c r="Y42">
        <f>INT(shadex('Shade - 1'!$D$9,'Shade - 1'!$E$9,'Shade - 1'!$F$9,'Shade - 1'!$D$7,Vertex!Y42,Vertex!Y107,Vertex!Y172,Normal!Y42,Normal!Y107,Normal!Y172)*255)</f>
        <v>83</v>
      </c>
      <c r="Z42">
        <f>INT(shadex('Shade - 1'!$D$9,'Shade - 1'!$E$9,'Shade - 1'!$F$9,'Shade - 1'!$D$7,Vertex!Z42,Vertex!Z107,Vertex!Z172,Normal!Z42,Normal!Z107,Normal!Z172)*255)</f>
        <v>79</v>
      </c>
      <c r="AA42">
        <f>INT(shadex('Shade - 1'!$D$9,'Shade - 1'!$E$9,'Shade - 1'!$F$9,'Shade - 1'!$D$7,Vertex!AA42,Vertex!AA107,Vertex!AA172,Normal!AA42,Normal!AA107,Normal!AA172)*255)</f>
        <v>78</v>
      </c>
      <c r="AB42">
        <f>INT(shadex('Shade - 1'!$D$9,'Shade - 1'!$E$9,'Shade - 1'!$F$9,'Shade - 1'!$D$7,Vertex!AB42,Vertex!AB107,Vertex!AB172,Normal!AB42,Normal!AB107,Normal!AB172)*255)</f>
        <v>60</v>
      </c>
      <c r="AC42">
        <f>INT(shadex('Shade - 1'!$D$9,'Shade - 1'!$E$9,'Shade - 1'!$F$9,'Shade - 1'!$D$7,Vertex!AC42,Vertex!AC107,Vertex!AC172,Normal!AC42,Normal!AC107,Normal!AC172)*255)</f>
        <v>73</v>
      </c>
      <c r="AD42">
        <f>INT(shadex('Shade - 1'!$D$9,'Shade - 1'!$E$9,'Shade - 1'!$F$9,'Shade - 1'!$D$7,Vertex!AD42,Vertex!AD107,Vertex!AD172,Normal!AD42,Normal!AD107,Normal!AD172)*255)</f>
        <v>90</v>
      </c>
      <c r="AE42">
        <f>INT(shadex('Shade - 1'!$D$9,'Shade - 1'!$E$9,'Shade - 1'!$F$9,'Shade - 1'!$D$7,Vertex!AE42,Vertex!AE107,Vertex!AE172,Normal!AE42,Normal!AE107,Normal!AE172)*255)</f>
        <v>93</v>
      </c>
      <c r="AF42">
        <f>INT(shadex('Shade - 1'!$D$9,'Shade - 1'!$E$9,'Shade - 1'!$F$9,'Shade - 1'!$D$7,Vertex!AF42,Vertex!AF107,Vertex!AF172,Normal!AF42,Normal!AF107,Normal!AF172)*255)</f>
        <v>88</v>
      </c>
      <c r="AG42">
        <f>INT(shadex('Shade - 1'!$D$9,'Shade - 1'!$E$9,'Shade - 1'!$F$9,'Shade - 1'!$D$7,Vertex!AG42,Vertex!AG107,Vertex!AG172,Normal!AG42,Normal!AG107,Normal!AG172)*255)</f>
        <v>71</v>
      </c>
      <c r="AH42">
        <f>INT(shadex('Shade - 1'!$D$9,'Shade - 1'!$E$9,'Shade - 1'!$F$9,'Shade - 1'!$D$7,Vertex!AH42,Vertex!AH107,Vertex!AH172,Normal!AH42,Normal!AH107,Normal!AH172)*255)</f>
        <v>67</v>
      </c>
      <c r="AI42" s="4">
        <f>INT(shadex('Shade - 1'!$D$9,'Shade - 1'!$E$9,'Shade - 1'!$F$9,'Shade - 1'!$D$7,Vertex!AI42,Vertex!AI107,Vertex!AI172,Normal!AI42,Normal!AI107,Normal!AI172)*255)</f>
        <v>75</v>
      </c>
      <c r="AJ42" s="4">
        <f>INT(shadex('Shade - 1'!$D$9,'Shade - 1'!$E$9,'Shade - 1'!$F$9,'Shade - 1'!$D$7,Vertex!AJ42,Vertex!AJ107,Vertex!AJ172,Normal!AJ42,Normal!AJ107,Normal!AJ172)*255)</f>
        <v>50</v>
      </c>
      <c r="AK42" s="4">
        <f>INT(shadex('Shade - 1'!$D$9,'Shade - 1'!$E$9,'Shade - 1'!$F$9,'Shade - 1'!$D$7,Vertex!AK42,Vertex!AK107,Vertex!AK172,Normal!AK42,Normal!AK107,Normal!AK172)*255)</f>
        <v>45</v>
      </c>
      <c r="AL42" s="4">
        <f>INT(shadex('Shade - 1'!$D$9,'Shade - 1'!$E$9,'Shade - 1'!$F$9,'Shade - 1'!$D$7,Vertex!AL42,Vertex!AL107,Vertex!AL172,Normal!AL42,Normal!AL107,Normal!AL172)*255)</f>
        <v>70</v>
      </c>
      <c r="AM42" s="4">
        <f>INT(shadex('Shade - 1'!$D$9,'Shade - 1'!$E$9,'Shade - 1'!$F$9,'Shade - 1'!$D$7,Vertex!AM42,Vertex!AM107,Vertex!AM172,Normal!AM42,Normal!AM107,Normal!AM172)*255)</f>
        <v>81</v>
      </c>
      <c r="AN42" s="4">
        <f>INT(shadex('Shade - 1'!$D$9,'Shade - 1'!$E$9,'Shade - 1'!$F$9,'Shade - 1'!$D$7,Vertex!AN42,Vertex!AN107,Vertex!AN172,Normal!AN42,Normal!AN107,Normal!AN172)*255)</f>
        <v>72</v>
      </c>
      <c r="AO42" s="4">
        <f>INT(shadex('Shade - 1'!$D$9,'Shade - 1'!$E$9,'Shade - 1'!$F$9,'Shade - 1'!$D$7,Vertex!AO42,Vertex!AO107,Vertex!AO172,Normal!AO42,Normal!AO107,Normal!AO172)*255)</f>
        <v>51</v>
      </c>
      <c r="AP42" s="4">
        <f>INT(shadex('Shade - 1'!$D$9,'Shade - 1'!$E$9,'Shade - 1'!$F$9,'Shade - 1'!$D$7,Vertex!AP42,Vertex!AP107,Vertex!AP172,Normal!AP42,Normal!AP107,Normal!AP172)*255)</f>
        <v>52</v>
      </c>
      <c r="AQ42" s="4">
        <f>INT(shadex('Shade - 1'!$D$9,'Shade - 1'!$E$9,'Shade - 1'!$F$9,'Shade - 1'!$D$7,Vertex!AQ42,Vertex!AQ107,Vertex!AQ172,Normal!AQ42,Normal!AQ107,Normal!AQ172)*255)</f>
        <v>61</v>
      </c>
      <c r="AR42" s="4">
        <f>INT(shadex('Shade - 1'!$D$9,'Shade - 1'!$E$9,'Shade - 1'!$F$9,'Shade - 1'!$D$7,Vertex!AR42,Vertex!AR107,Vertex!AR172,Normal!AR42,Normal!AR107,Normal!AR172)*255)</f>
        <v>64</v>
      </c>
      <c r="AS42" s="4">
        <f>INT(shadex('Shade - 1'!$D$9,'Shade - 1'!$E$9,'Shade - 1'!$F$9,'Shade - 1'!$D$7,Vertex!AS42,Vertex!AS107,Vertex!AS172,Normal!AS42,Normal!AS107,Normal!AS172)*255)</f>
        <v>75</v>
      </c>
      <c r="AT42" s="4">
        <f>INT(shadex('Shade - 1'!$D$9,'Shade - 1'!$E$9,'Shade - 1'!$F$9,'Shade - 1'!$D$7,Vertex!AT42,Vertex!AT107,Vertex!AT172,Normal!AT42,Normal!AT107,Normal!AT172)*255)</f>
        <v>83</v>
      </c>
      <c r="AU42" s="4">
        <f>INT(shadex('Shade - 1'!$D$9,'Shade - 1'!$E$9,'Shade - 1'!$F$9,'Shade - 1'!$D$7,Vertex!AU42,Vertex!AU107,Vertex!AU172,Normal!AU42,Normal!AU107,Normal!AU172)*255)</f>
        <v>78</v>
      </c>
      <c r="AV42" s="4">
        <f>INT(shadex('Shade - 1'!$D$9,'Shade - 1'!$E$9,'Shade - 1'!$F$9,'Shade - 1'!$D$7,Vertex!AV42,Vertex!AV107,Vertex!AV172,Normal!AV42,Normal!AV107,Normal!AV172)*255)</f>
        <v>76</v>
      </c>
      <c r="AW42" s="4">
        <f>INT(shadex('Shade - 1'!$D$9,'Shade - 1'!$E$9,'Shade - 1'!$F$9,'Shade - 1'!$D$7,Vertex!AW42,Vertex!AW107,Vertex!AW172,Normal!AW42,Normal!AW107,Normal!AW172)*255)</f>
        <v>77</v>
      </c>
      <c r="AX42" s="4">
        <f>INT(shadex('Shade - 1'!$D$9,'Shade - 1'!$E$9,'Shade - 1'!$F$9,'Shade - 1'!$D$7,Vertex!AX42,Vertex!AX107,Vertex!AX172,Normal!AX42,Normal!AX107,Normal!AX172)*255)</f>
        <v>69</v>
      </c>
      <c r="AY42" s="4">
        <f>INT(shadex('Shade - 1'!$D$9,'Shade - 1'!$E$9,'Shade - 1'!$F$9,'Shade - 1'!$D$7,Vertex!AY42,Vertex!AY107,Vertex!AY172,Normal!AY42,Normal!AY107,Normal!AY172)*255)</f>
        <v>67</v>
      </c>
      <c r="AZ42" s="4">
        <f>INT(shadex('Shade - 1'!$D$9,'Shade - 1'!$E$9,'Shade - 1'!$F$9,'Shade - 1'!$D$7,Vertex!AZ42,Vertex!AZ107,Vertex!AZ172,Normal!AZ42,Normal!AZ107,Normal!AZ172)*255)</f>
        <v>84</v>
      </c>
      <c r="BA42" s="4">
        <f>INT(shadex('Shade - 1'!$D$9,'Shade - 1'!$E$9,'Shade - 1'!$F$9,'Shade - 1'!$D$7,Vertex!BA42,Vertex!BA107,Vertex!BA172,Normal!BA42,Normal!BA107,Normal!BA172)*255)</f>
        <v>78</v>
      </c>
      <c r="BB42" s="4">
        <f>INT(shadex('Shade - 1'!$D$9,'Shade - 1'!$E$9,'Shade - 1'!$F$9,'Shade - 1'!$D$7,Vertex!BB42,Vertex!BB107,Vertex!BB172,Normal!BB42,Normal!BB107,Normal!BB172)*255)</f>
        <v>72</v>
      </c>
      <c r="BC42" s="4">
        <f>INT(shadex('Shade - 1'!$D$9,'Shade - 1'!$E$9,'Shade - 1'!$F$9,'Shade - 1'!$D$7,Vertex!BC42,Vertex!BC107,Vertex!BC172,Normal!BC42,Normal!BC107,Normal!BC172)*255)</f>
        <v>85</v>
      </c>
      <c r="BD42" s="4">
        <f>INT(shadex('Shade - 1'!$D$9,'Shade - 1'!$E$9,'Shade - 1'!$F$9,'Shade - 1'!$D$7,Vertex!BD42,Vertex!BD107,Vertex!BD172,Normal!BD42,Normal!BD107,Normal!BD172)*255)</f>
        <v>89</v>
      </c>
      <c r="BE42" s="4">
        <f>INT(shadex('Shade - 1'!$D$9,'Shade - 1'!$E$9,'Shade - 1'!$F$9,'Shade - 1'!$D$7,Vertex!BE42,Vertex!BE107,Vertex!BE172,Normal!BE42,Normal!BE107,Normal!BE172)*255)</f>
        <v>84</v>
      </c>
      <c r="BF42" s="4">
        <f>INT(shadex('Shade - 1'!$D$9,'Shade - 1'!$E$9,'Shade - 1'!$F$9,'Shade - 1'!$D$7,Vertex!BF42,Vertex!BF107,Vertex!BF172,Normal!BF42,Normal!BF107,Normal!BF172)*255)</f>
        <v>73</v>
      </c>
      <c r="BG42" s="4">
        <f>INT(shadex('Shade - 1'!$D$9,'Shade - 1'!$E$9,'Shade - 1'!$F$9,'Shade - 1'!$D$7,Vertex!BG42,Vertex!BG107,Vertex!BG172,Normal!BG42,Normal!BG107,Normal!BG172)*255)</f>
        <v>67</v>
      </c>
      <c r="BH42" s="4">
        <f>INT(shadex('Shade - 1'!$D$9,'Shade - 1'!$E$9,'Shade - 1'!$F$9,'Shade - 1'!$D$7,Vertex!BH42,Vertex!BH107,Vertex!BH172,Normal!BH42,Normal!BH107,Normal!BH172)*255)</f>
        <v>62</v>
      </c>
      <c r="BI42" s="4">
        <f>INT(shadex('Shade - 1'!$D$9,'Shade - 1'!$E$9,'Shade - 1'!$F$9,'Shade - 1'!$D$7,Vertex!BI42,Vertex!BI107,Vertex!BI172,Normal!BI42,Normal!BI107,Normal!BI172)*255)</f>
        <v>61</v>
      </c>
      <c r="BJ42" s="4">
        <f>INT(shadex('Shade - 1'!$D$9,'Shade - 1'!$E$9,'Shade - 1'!$F$9,'Shade - 1'!$D$7,Vertex!BJ42,Vertex!BJ107,Vertex!BJ172,Normal!BJ42,Normal!BJ107,Normal!BJ172)*255)</f>
        <v>67</v>
      </c>
      <c r="BK42" s="4">
        <f>INT(shadex('Shade - 1'!$D$9,'Shade - 1'!$E$9,'Shade - 1'!$F$9,'Shade - 1'!$D$7,Vertex!BK42,Vertex!BK107,Vertex!BK172,Normal!BK42,Normal!BK107,Normal!BK172)*255)</f>
        <v>69</v>
      </c>
      <c r="BL42" s="4">
        <f>INT(shadex('Shade - 1'!$D$9,'Shade - 1'!$E$9,'Shade - 1'!$F$9,'Shade - 1'!$D$7,Vertex!BL42,Vertex!BL107,Vertex!BL172,Normal!BL42,Normal!BL107,Normal!BL172)*255)</f>
        <v>66</v>
      </c>
    </row>
    <row r="43" spans="1:64" x14ac:dyDescent="0.25">
      <c r="A43">
        <f>INT(shadex('Shade - 1'!$D$9,'Shade - 1'!$E$9,'Shade - 1'!$F$9,'Shade - 1'!$D$7,Vertex!A43,Vertex!A108,Vertex!A173,Normal!A43,Normal!A108,Normal!A173)*255)</f>
        <v>43</v>
      </c>
      <c r="B43">
        <f>INT(shadex('Shade - 1'!$D$9,'Shade - 1'!$E$9,'Shade - 1'!$F$9,'Shade - 1'!$D$7,Vertex!B43,Vertex!B108,Vertex!B173,Normal!B43,Normal!B108,Normal!B173)*255)</f>
        <v>48</v>
      </c>
      <c r="C43">
        <f>INT(shadex('Shade - 1'!$D$9,'Shade - 1'!$E$9,'Shade - 1'!$F$9,'Shade - 1'!$D$7,Vertex!C43,Vertex!C108,Vertex!C173,Normal!C43,Normal!C108,Normal!C173)*255)</f>
        <v>55</v>
      </c>
      <c r="D43">
        <f>INT(shadex('Shade - 1'!$D$9,'Shade - 1'!$E$9,'Shade - 1'!$F$9,'Shade - 1'!$D$7,Vertex!D43,Vertex!D108,Vertex!D173,Normal!D43,Normal!D108,Normal!D173)*255)</f>
        <v>63</v>
      </c>
      <c r="E43">
        <f>INT(shadex('Shade - 1'!$D$9,'Shade - 1'!$E$9,'Shade - 1'!$F$9,'Shade - 1'!$D$7,Vertex!E43,Vertex!E108,Vertex!E173,Normal!E43,Normal!E108,Normal!E173)*255)</f>
        <v>60</v>
      </c>
      <c r="F43">
        <f>INT(shadex('Shade - 1'!$D$9,'Shade - 1'!$E$9,'Shade - 1'!$F$9,'Shade - 1'!$D$7,Vertex!F43,Vertex!F108,Vertex!F173,Normal!F43,Normal!F108,Normal!F173)*255)</f>
        <v>64</v>
      </c>
      <c r="G43">
        <f>INT(shadex('Shade - 1'!$D$9,'Shade - 1'!$E$9,'Shade - 1'!$F$9,'Shade - 1'!$D$7,Vertex!G43,Vertex!G108,Vertex!G173,Normal!G43,Normal!G108,Normal!G173)*255)</f>
        <v>38</v>
      </c>
      <c r="H43">
        <f>INT(shadex('Shade - 1'!$D$9,'Shade - 1'!$E$9,'Shade - 1'!$F$9,'Shade - 1'!$D$7,Vertex!H43,Vertex!H108,Vertex!H173,Normal!H43,Normal!H108,Normal!H173)*255)</f>
        <v>0</v>
      </c>
      <c r="I43">
        <f>INT(shadex('Shade - 1'!$D$9,'Shade - 1'!$E$9,'Shade - 1'!$F$9,'Shade - 1'!$D$7,Vertex!I43,Vertex!I108,Vertex!I173,Normal!I43,Normal!I108,Normal!I173)*255)</f>
        <v>34</v>
      </c>
      <c r="J43">
        <f>INT(shadex('Shade - 1'!$D$9,'Shade - 1'!$E$9,'Shade - 1'!$F$9,'Shade - 1'!$D$7,Vertex!J43,Vertex!J108,Vertex!J173,Normal!J43,Normal!J108,Normal!J173)*255)</f>
        <v>58</v>
      </c>
      <c r="K43">
        <f>INT(shadex('Shade - 1'!$D$9,'Shade - 1'!$E$9,'Shade - 1'!$F$9,'Shade - 1'!$D$7,Vertex!K43,Vertex!K108,Vertex!K173,Normal!K43,Normal!K108,Normal!K173)*255)</f>
        <v>57</v>
      </c>
      <c r="L43">
        <f>INT(shadex('Shade - 1'!$D$9,'Shade - 1'!$E$9,'Shade - 1'!$F$9,'Shade - 1'!$D$7,Vertex!L43,Vertex!L108,Vertex!L173,Normal!L43,Normal!L108,Normal!L173)*255)</f>
        <v>45</v>
      </c>
      <c r="M43">
        <f>INT(shadex('Shade - 1'!$D$9,'Shade - 1'!$E$9,'Shade - 1'!$F$9,'Shade - 1'!$D$7,Vertex!M43,Vertex!M108,Vertex!M173,Normal!M43,Normal!M108,Normal!M173)*255)</f>
        <v>41</v>
      </c>
      <c r="N43">
        <f>INT(shadex('Shade - 1'!$D$9,'Shade - 1'!$E$9,'Shade - 1'!$F$9,'Shade - 1'!$D$7,Vertex!N43,Vertex!N108,Vertex!N173,Normal!N43,Normal!N108,Normal!N173)*255)</f>
        <v>0</v>
      </c>
      <c r="O43">
        <f>INT(shadex('Shade - 1'!$D$9,'Shade - 1'!$E$9,'Shade - 1'!$F$9,'Shade - 1'!$D$7,Vertex!O43,Vertex!O108,Vertex!O173,Normal!O43,Normal!O108,Normal!O173)*255)</f>
        <v>0</v>
      </c>
      <c r="P43">
        <f>INT(shadex('Shade - 1'!$D$9,'Shade - 1'!$E$9,'Shade - 1'!$F$9,'Shade - 1'!$D$7,Vertex!P43,Vertex!P108,Vertex!P173,Normal!P43,Normal!P108,Normal!P173)*255)</f>
        <v>0</v>
      </c>
      <c r="Q43">
        <f>INT(shadex('Shade - 1'!$D$9,'Shade - 1'!$E$9,'Shade - 1'!$F$9,'Shade - 1'!$D$7,Vertex!Q43,Vertex!Q108,Vertex!Q173,Normal!Q43,Normal!Q108,Normal!Q173)*255)</f>
        <v>32</v>
      </c>
      <c r="R43">
        <f>INT(shadex('Shade - 1'!$D$9,'Shade - 1'!$E$9,'Shade - 1'!$F$9,'Shade - 1'!$D$7,Vertex!R43,Vertex!R108,Vertex!R173,Normal!R43,Normal!R108,Normal!R173)*255)</f>
        <v>39</v>
      </c>
      <c r="S43">
        <f>INT(shadex('Shade - 1'!$D$9,'Shade - 1'!$E$9,'Shade - 1'!$F$9,'Shade - 1'!$D$7,Vertex!S43,Vertex!S108,Vertex!S173,Normal!S43,Normal!S108,Normal!S173)*255)</f>
        <v>33</v>
      </c>
      <c r="T43">
        <f>INT(shadex('Shade - 1'!$D$9,'Shade - 1'!$E$9,'Shade - 1'!$F$9,'Shade - 1'!$D$7,Vertex!T43,Vertex!T108,Vertex!T173,Normal!T43,Normal!T108,Normal!T173)*255)</f>
        <v>44</v>
      </c>
      <c r="U43">
        <f>INT(shadex('Shade - 1'!$D$9,'Shade - 1'!$E$9,'Shade - 1'!$F$9,'Shade - 1'!$D$7,Vertex!U43,Vertex!U108,Vertex!U173,Normal!U43,Normal!U108,Normal!U173)*255)</f>
        <v>79</v>
      </c>
      <c r="V43">
        <f>INT(shadex('Shade - 1'!$D$9,'Shade - 1'!$E$9,'Shade - 1'!$F$9,'Shade - 1'!$D$7,Vertex!V43,Vertex!V108,Vertex!V173,Normal!V43,Normal!V108,Normal!V173)*255)</f>
        <v>88</v>
      </c>
      <c r="W43">
        <f>INT(shadex('Shade - 1'!$D$9,'Shade - 1'!$E$9,'Shade - 1'!$F$9,'Shade - 1'!$D$7,Vertex!W43,Vertex!W108,Vertex!W173,Normal!W43,Normal!W108,Normal!W173)*255)</f>
        <v>92</v>
      </c>
      <c r="X43">
        <f>INT(shadex('Shade - 1'!$D$9,'Shade - 1'!$E$9,'Shade - 1'!$F$9,'Shade - 1'!$D$7,Vertex!X43,Vertex!X108,Vertex!X173,Normal!X43,Normal!X108,Normal!X173)*255)</f>
        <v>95</v>
      </c>
      <c r="Y43">
        <f>INT(shadex('Shade - 1'!$D$9,'Shade - 1'!$E$9,'Shade - 1'!$F$9,'Shade - 1'!$D$7,Vertex!Y43,Vertex!Y108,Vertex!Y173,Normal!Y43,Normal!Y108,Normal!Y173)*255)</f>
        <v>95</v>
      </c>
      <c r="Z43">
        <f>INT(shadex('Shade - 1'!$D$9,'Shade - 1'!$E$9,'Shade - 1'!$F$9,'Shade - 1'!$D$7,Vertex!Z43,Vertex!Z108,Vertex!Z173,Normal!Z43,Normal!Z108,Normal!Z173)*255)</f>
        <v>95</v>
      </c>
      <c r="AA43">
        <f>INT(shadex('Shade - 1'!$D$9,'Shade - 1'!$E$9,'Shade - 1'!$F$9,'Shade - 1'!$D$7,Vertex!AA43,Vertex!AA108,Vertex!AA173,Normal!AA43,Normal!AA108,Normal!AA173)*255)</f>
        <v>94</v>
      </c>
      <c r="AB43">
        <f>INT(shadex('Shade - 1'!$D$9,'Shade - 1'!$E$9,'Shade - 1'!$F$9,'Shade - 1'!$D$7,Vertex!AB43,Vertex!AB108,Vertex!AB173,Normal!AB43,Normal!AB108,Normal!AB173)*255)</f>
        <v>80</v>
      </c>
      <c r="AC43">
        <f>INT(shadex('Shade - 1'!$D$9,'Shade - 1'!$E$9,'Shade - 1'!$F$9,'Shade - 1'!$D$7,Vertex!AC43,Vertex!AC108,Vertex!AC173,Normal!AC43,Normal!AC108,Normal!AC173)*255)</f>
        <v>80</v>
      </c>
      <c r="AD43">
        <f>INT(shadex('Shade - 1'!$D$9,'Shade - 1'!$E$9,'Shade - 1'!$F$9,'Shade - 1'!$D$7,Vertex!AD43,Vertex!AD108,Vertex!AD173,Normal!AD43,Normal!AD108,Normal!AD173)*255)</f>
        <v>96</v>
      </c>
      <c r="AE43">
        <f>INT(shadex('Shade - 1'!$D$9,'Shade - 1'!$E$9,'Shade - 1'!$F$9,'Shade - 1'!$D$7,Vertex!AE43,Vertex!AE108,Vertex!AE173,Normal!AE43,Normal!AE108,Normal!AE173)*255)</f>
        <v>98</v>
      </c>
      <c r="AF43">
        <f>INT(shadex('Shade - 1'!$D$9,'Shade - 1'!$E$9,'Shade - 1'!$F$9,'Shade - 1'!$D$7,Vertex!AF43,Vertex!AF108,Vertex!AF173,Normal!AF43,Normal!AF108,Normal!AF173)*255)</f>
        <v>97</v>
      </c>
      <c r="AG43">
        <f>INT(shadex('Shade - 1'!$D$9,'Shade - 1'!$E$9,'Shade - 1'!$F$9,'Shade - 1'!$D$7,Vertex!AG43,Vertex!AG108,Vertex!AG173,Normal!AG43,Normal!AG108,Normal!AG173)*255)</f>
        <v>79</v>
      </c>
      <c r="AH43">
        <f>INT(shadex('Shade - 1'!$D$9,'Shade - 1'!$E$9,'Shade - 1'!$F$9,'Shade - 1'!$D$7,Vertex!AH43,Vertex!AH108,Vertex!AH173,Normal!AH43,Normal!AH108,Normal!AH173)*255)</f>
        <v>61</v>
      </c>
      <c r="AI43" s="4">
        <f>INT(shadex('Shade - 1'!$D$9,'Shade - 1'!$E$9,'Shade - 1'!$F$9,'Shade - 1'!$D$7,Vertex!AI43,Vertex!AI108,Vertex!AI173,Normal!AI43,Normal!AI108,Normal!AI173)*255)</f>
        <v>71</v>
      </c>
      <c r="AJ43" s="4">
        <f>INT(shadex('Shade - 1'!$D$9,'Shade - 1'!$E$9,'Shade - 1'!$F$9,'Shade - 1'!$D$7,Vertex!AJ43,Vertex!AJ108,Vertex!AJ173,Normal!AJ43,Normal!AJ108,Normal!AJ173)*255)</f>
        <v>73</v>
      </c>
      <c r="AK43" s="4">
        <f>INT(shadex('Shade - 1'!$D$9,'Shade - 1'!$E$9,'Shade - 1'!$F$9,'Shade - 1'!$D$7,Vertex!AK43,Vertex!AK108,Vertex!AK173,Normal!AK43,Normal!AK108,Normal!AK173)*255)</f>
        <v>59</v>
      </c>
      <c r="AL43" s="4">
        <f>INT(shadex('Shade - 1'!$D$9,'Shade - 1'!$E$9,'Shade - 1'!$F$9,'Shade - 1'!$D$7,Vertex!AL43,Vertex!AL108,Vertex!AL173,Normal!AL43,Normal!AL108,Normal!AL173)*255)</f>
        <v>58</v>
      </c>
      <c r="AM43" s="4">
        <f>INT(shadex('Shade - 1'!$D$9,'Shade - 1'!$E$9,'Shade - 1'!$F$9,'Shade - 1'!$D$7,Vertex!AM43,Vertex!AM108,Vertex!AM173,Normal!AM43,Normal!AM108,Normal!AM173)*255)</f>
        <v>76</v>
      </c>
      <c r="AN43" s="4">
        <f>INT(shadex('Shade - 1'!$D$9,'Shade - 1'!$E$9,'Shade - 1'!$F$9,'Shade - 1'!$D$7,Vertex!AN43,Vertex!AN108,Vertex!AN173,Normal!AN43,Normal!AN108,Normal!AN173)*255)</f>
        <v>79</v>
      </c>
      <c r="AO43" s="4">
        <f>INT(shadex('Shade - 1'!$D$9,'Shade - 1'!$E$9,'Shade - 1'!$F$9,'Shade - 1'!$D$7,Vertex!AO43,Vertex!AO108,Vertex!AO173,Normal!AO43,Normal!AO108,Normal!AO173)*255)</f>
        <v>60</v>
      </c>
      <c r="AP43" s="4">
        <f>INT(shadex('Shade - 1'!$D$9,'Shade - 1'!$E$9,'Shade - 1'!$F$9,'Shade - 1'!$D$7,Vertex!AP43,Vertex!AP108,Vertex!AP173,Normal!AP43,Normal!AP108,Normal!AP173)*255)</f>
        <v>45</v>
      </c>
      <c r="AQ43" s="4">
        <f>INT(shadex('Shade - 1'!$D$9,'Shade - 1'!$E$9,'Shade - 1'!$F$9,'Shade - 1'!$D$7,Vertex!AQ43,Vertex!AQ108,Vertex!AQ173,Normal!AQ43,Normal!AQ108,Normal!AQ173)*255)</f>
        <v>61</v>
      </c>
      <c r="AR43" s="4">
        <f>INT(shadex('Shade - 1'!$D$9,'Shade - 1'!$E$9,'Shade - 1'!$F$9,'Shade - 1'!$D$7,Vertex!AR43,Vertex!AR108,Vertex!AR173,Normal!AR43,Normal!AR108,Normal!AR173)*255)</f>
        <v>62</v>
      </c>
      <c r="AS43" s="4">
        <f>INT(shadex('Shade - 1'!$D$9,'Shade - 1'!$E$9,'Shade - 1'!$F$9,'Shade - 1'!$D$7,Vertex!AS43,Vertex!AS108,Vertex!AS173,Normal!AS43,Normal!AS108,Normal!AS173)*255)</f>
        <v>61</v>
      </c>
      <c r="AT43" s="4">
        <f>INT(shadex('Shade - 1'!$D$9,'Shade - 1'!$E$9,'Shade - 1'!$F$9,'Shade - 1'!$D$7,Vertex!AT43,Vertex!AT108,Vertex!AT173,Normal!AT43,Normal!AT108,Normal!AT173)*255)</f>
        <v>74</v>
      </c>
      <c r="AU43" s="4">
        <f>INT(shadex('Shade - 1'!$D$9,'Shade - 1'!$E$9,'Shade - 1'!$F$9,'Shade - 1'!$D$7,Vertex!AU43,Vertex!AU108,Vertex!AU173,Normal!AU43,Normal!AU108,Normal!AU173)*255)</f>
        <v>83</v>
      </c>
      <c r="AV43" s="4">
        <f>INT(shadex('Shade - 1'!$D$9,'Shade - 1'!$E$9,'Shade - 1'!$F$9,'Shade - 1'!$D$7,Vertex!AV43,Vertex!AV108,Vertex!AV173,Normal!AV43,Normal!AV108,Normal!AV173)*255)</f>
        <v>86</v>
      </c>
      <c r="AW43" s="4">
        <f>INT(shadex('Shade - 1'!$D$9,'Shade - 1'!$E$9,'Shade - 1'!$F$9,'Shade - 1'!$D$7,Vertex!AW43,Vertex!AW108,Vertex!AW173,Normal!AW43,Normal!AW108,Normal!AW173)*255)</f>
        <v>84</v>
      </c>
      <c r="AX43" s="4">
        <f>INT(shadex('Shade - 1'!$D$9,'Shade - 1'!$E$9,'Shade - 1'!$F$9,'Shade - 1'!$D$7,Vertex!AX43,Vertex!AX108,Vertex!AX173,Normal!AX43,Normal!AX108,Normal!AX173)*255)</f>
        <v>66</v>
      </c>
      <c r="AY43" s="4">
        <f>INT(shadex('Shade - 1'!$D$9,'Shade - 1'!$E$9,'Shade - 1'!$F$9,'Shade - 1'!$D$7,Vertex!AY43,Vertex!AY108,Vertex!AY173,Normal!AY43,Normal!AY108,Normal!AY173)*255)</f>
        <v>60</v>
      </c>
      <c r="AZ43" s="4">
        <f>INT(shadex('Shade - 1'!$D$9,'Shade - 1'!$E$9,'Shade - 1'!$F$9,'Shade - 1'!$D$7,Vertex!AZ43,Vertex!AZ108,Vertex!AZ173,Normal!AZ43,Normal!AZ108,Normal!AZ173)*255)</f>
        <v>68</v>
      </c>
      <c r="BA43" s="4">
        <f>INT(shadex('Shade - 1'!$D$9,'Shade - 1'!$E$9,'Shade - 1'!$F$9,'Shade - 1'!$D$7,Vertex!BA43,Vertex!BA108,Vertex!BA173,Normal!BA43,Normal!BA108,Normal!BA173)*255)</f>
        <v>72</v>
      </c>
      <c r="BB43" s="4">
        <f>INT(shadex('Shade - 1'!$D$9,'Shade - 1'!$E$9,'Shade - 1'!$F$9,'Shade - 1'!$D$7,Vertex!BB43,Vertex!BB108,Vertex!BB173,Normal!BB43,Normal!BB108,Normal!BB173)*255)</f>
        <v>73</v>
      </c>
      <c r="BC43" s="4">
        <f>INT(shadex('Shade - 1'!$D$9,'Shade - 1'!$E$9,'Shade - 1'!$F$9,'Shade - 1'!$D$7,Vertex!BC43,Vertex!BC108,Vertex!BC173,Normal!BC43,Normal!BC108,Normal!BC173)*255)</f>
        <v>86</v>
      </c>
      <c r="BD43" s="4">
        <f>INT(shadex('Shade - 1'!$D$9,'Shade - 1'!$E$9,'Shade - 1'!$F$9,'Shade - 1'!$D$7,Vertex!BD43,Vertex!BD108,Vertex!BD173,Normal!BD43,Normal!BD108,Normal!BD173)*255)</f>
        <v>89</v>
      </c>
      <c r="BE43" s="4">
        <f>INT(shadex('Shade - 1'!$D$9,'Shade - 1'!$E$9,'Shade - 1'!$F$9,'Shade - 1'!$D$7,Vertex!BE43,Vertex!BE108,Vertex!BE173,Normal!BE43,Normal!BE108,Normal!BE173)*255)</f>
        <v>85</v>
      </c>
      <c r="BF43" s="4">
        <f>INT(shadex('Shade - 1'!$D$9,'Shade - 1'!$E$9,'Shade - 1'!$F$9,'Shade - 1'!$D$7,Vertex!BF43,Vertex!BF108,Vertex!BF173,Normal!BF43,Normal!BF108,Normal!BF173)*255)</f>
        <v>79</v>
      </c>
      <c r="BG43" s="4">
        <f>INT(shadex('Shade - 1'!$D$9,'Shade - 1'!$E$9,'Shade - 1'!$F$9,'Shade - 1'!$D$7,Vertex!BG43,Vertex!BG108,Vertex!BG173,Normal!BG43,Normal!BG108,Normal!BG173)*255)</f>
        <v>66</v>
      </c>
      <c r="BH43" s="4">
        <f>INT(shadex('Shade - 1'!$D$9,'Shade - 1'!$E$9,'Shade - 1'!$F$9,'Shade - 1'!$D$7,Vertex!BH43,Vertex!BH108,Vertex!BH173,Normal!BH43,Normal!BH108,Normal!BH173)*255)</f>
        <v>57</v>
      </c>
      <c r="BI43" s="4">
        <f>INT(shadex('Shade - 1'!$D$9,'Shade - 1'!$E$9,'Shade - 1'!$F$9,'Shade - 1'!$D$7,Vertex!BI43,Vertex!BI108,Vertex!BI173,Normal!BI43,Normal!BI108,Normal!BI173)*255)</f>
        <v>52</v>
      </c>
      <c r="BJ43" s="4">
        <f>INT(shadex('Shade - 1'!$D$9,'Shade - 1'!$E$9,'Shade - 1'!$F$9,'Shade - 1'!$D$7,Vertex!BJ43,Vertex!BJ108,Vertex!BJ173,Normal!BJ43,Normal!BJ108,Normal!BJ173)*255)</f>
        <v>57</v>
      </c>
      <c r="BK43" s="4">
        <f>INT(shadex('Shade - 1'!$D$9,'Shade - 1'!$E$9,'Shade - 1'!$F$9,'Shade - 1'!$D$7,Vertex!BK43,Vertex!BK108,Vertex!BK173,Normal!BK43,Normal!BK108,Normal!BK173)*255)</f>
        <v>67</v>
      </c>
      <c r="BL43" s="4">
        <f>INT(shadex('Shade - 1'!$D$9,'Shade - 1'!$E$9,'Shade - 1'!$F$9,'Shade - 1'!$D$7,Vertex!BL43,Vertex!BL108,Vertex!BL173,Normal!BL43,Normal!BL108,Normal!BL173)*255)</f>
        <v>69</v>
      </c>
    </row>
    <row r="44" spans="1:64" x14ac:dyDescent="0.25">
      <c r="A44">
        <f>INT(shadex('Shade - 1'!$D$9,'Shade - 1'!$E$9,'Shade - 1'!$F$9,'Shade - 1'!$D$7,Vertex!A44,Vertex!A109,Vertex!A174,Normal!A44,Normal!A109,Normal!A174)*255)</f>
        <v>38</v>
      </c>
      <c r="B44">
        <f>INT(shadex('Shade - 1'!$D$9,'Shade - 1'!$E$9,'Shade - 1'!$F$9,'Shade - 1'!$D$7,Vertex!B44,Vertex!B109,Vertex!B174,Normal!B44,Normal!B109,Normal!B174)*255)</f>
        <v>48</v>
      </c>
      <c r="C44">
        <f>INT(shadex('Shade - 1'!$D$9,'Shade - 1'!$E$9,'Shade - 1'!$F$9,'Shade - 1'!$D$7,Vertex!C44,Vertex!C109,Vertex!C174,Normal!C44,Normal!C109,Normal!C174)*255)</f>
        <v>52</v>
      </c>
      <c r="D44">
        <f>INT(shadex('Shade - 1'!$D$9,'Shade - 1'!$E$9,'Shade - 1'!$F$9,'Shade - 1'!$D$7,Vertex!D44,Vertex!D109,Vertex!D174,Normal!D44,Normal!D109,Normal!D174)*255)</f>
        <v>55</v>
      </c>
      <c r="E44">
        <f>INT(shadex('Shade - 1'!$D$9,'Shade - 1'!$E$9,'Shade - 1'!$F$9,'Shade - 1'!$D$7,Vertex!E44,Vertex!E109,Vertex!E174,Normal!E44,Normal!E109,Normal!E174)*255)</f>
        <v>51</v>
      </c>
      <c r="F44">
        <f>INT(shadex('Shade - 1'!$D$9,'Shade - 1'!$E$9,'Shade - 1'!$F$9,'Shade - 1'!$D$7,Vertex!F44,Vertex!F109,Vertex!F174,Normal!F44,Normal!F109,Normal!F174)*255)</f>
        <v>44</v>
      </c>
      <c r="G44">
        <f>INT(shadex('Shade - 1'!$D$9,'Shade - 1'!$E$9,'Shade - 1'!$F$9,'Shade - 1'!$D$7,Vertex!G44,Vertex!G109,Vertex!G174,Normal!G44,Normal!G109,Normal!G174)*255)</f>
        <v>37</v>
      </c>
      <c r="H44">
        <f>INT(shadex('Shade - 1'!$D$9,'Shade - 1'!$E$9,'Shade - 1'!$F$9,'Shade - 1'!$D$7,Vertex!H44,Vertex!H109,Vertex!H174,Normal!H44,Normal!H109,Normal!H174)*255)</f>
        <v>0</v>
      </c>
      <c r="I44">
        <f>INT(shadex('Shade - 1'!$D$9,'Shade - 1'!$E$9,'Shade - 1'!$F$9,'Shade - 1'!$D$7,Vertex!I44,Vertex!I109,Vertex!I174,Normal!I44,Normal!I109,Normal!I174)*255)</f>
        <v>31</v>
      </c>
      <c r="J44">
        <f>INT(shadex('Shade - 1'!$D$9,'Shade - 1'!$E$9,'Shade - 1'!$F$9,'Shade - 1'!$D$7,Vertex!J44,Vertex!J109,Vertex!J174,Normal!J44,Normal!J109,Normal!J174)*255)</f>
        <v>48</v>
      </c>
      <c r="K44">
        <f>INT(shadex('Shade - 1'!$D$9,'Shade - 1'!$E$9,'Shade - 1'!$F$9,'Shade - 1'!$D$7,Vertex!K44,Vertex!K109,Vertex!K174,Normal!K44,Normal!K109,Normal!K174)*255)</f>
        <v>53</v>
      </c>
      <c r="L44">
        <f>INT(shadex('Shade - 1'!$D$9,'Shade - 1'!$E$9,'Shade - 1'!$F$9,'Shade - 1'!$D$7,Vertex!L44,Vertex!L109,Vertex!L174,Normal!L44,Normal!L109,Normal!L174)*255)</f>
        <v>38</v>
      </c>
      <c r="M44">
        <f>INT(shadex('Shade - 1'!$D$9,'Shade - 1'!$E$9,'Shade - 1'!$F$9,'Shade - 1'!$D$7,Vertex!M44,Vertex!M109,Vertex!M174,Normal!M44,Normal!M109,Normal!M174)*255)</f>
        <v>39</v>
      </c>
      <c r="N44">
        <f>INT(shadex('Shade - 1'!$D$9,'Shade - 1'!$E$9,'Shade - 1'!$F$9,'Shade - 1'!$D$7,Vertex!N44,Vertex!N109,Vertex!N174,Normal!N44,Normal!N109,Normal!N174)*255)</f>
        <v>43</v>
      </c>
      <c r="O44">
        <f>INT(shadex('Shade - 1'!$D$9,'Shade - 1'!$E$9,'Shade - 1'!$F$9,'Shade - 1'!$D$7,Vertex!O44,Vertex!O109,Vertex!O174,Normal!O44,Normal!O109,Normal!O174)*255)</f>
        <v>32</v>
      </c>
      <c r="P44">
        <f>INT(shadex('Shade - 1'!$D$9,'Shade - 1'!$E$9,'Shade - 1'!$F$9,'Shade - 1'!$D$7,Vertex!P44,Vertex!P109,Vertex!P174,Normal!P44,Normal!P109,Normal!P174)*255)</f>
        <v>0</v>
      </c>
      <c r="Q44">
        <f>INT(shadex('Shade - 1'!$D$9,'Shade - 1'!$E$9,'Shade - 1'!$F$9,'Shade - 1'!$D$7,Vertex!Q44,Vertex!Q109,Vertex!Q174,Normal!Q44,Normal!Q109,Normal!Q174)*255)</f>
        <v>0</v>
      </c>
      <c r="R44">
        <f>INT(shadex('Shade - 1'!$D$9,'Shade - 1'!$E$9,'Shade - 1'!$F$9,'Shade - 1'!$D$7,Vertex!R44,Vertex!R109,Vertex!R174,Normal!R44,Normal!R109,Normal!R174)*255)</f>
        <v>42</v>
      </c>
      <c r="S44">
        <f>INT(shadex('Shade - 1'!$D$9,'Shade - 1'!$E$9,'Shade - 1'!$F$9,'Shade - 1'!$D$7,Vertex!S44,Vertex!S109,Vertex!S174,Normal!S44,Normal!S109,Normal!S174)*255)</f>
        <v>42</v>
      </c>
      <c r="T44">
        <f>INT(shadex('Shade - 1'!$D$9,'Shade - 1'!$E$9,'Shade - 1'!$F$9,'Shade - 1'!$D$7,Vertex!T44,Vertex!T109,Vertex!T174,Normal!T44,Normal!T109,Normal!T174)*255)</f>
        <v>56</v>
      </c>
      <c r="U44">
        <f>INT(shadex('Shade - 1'!$D$9,'Shade - 1'!$E$9,'Shade - 1'!$F$9,'Shade - 1'!$D$7,Vertex!U44,Vertex!U109,Vertex!U174,Normal!U44,Normal!U109,Normal!U174)*255)</f>
        <v>72</v>
      </c>
      <c r="V44">
        <f>INT(shadex('Shade - 1'!$D$9,'Shade - 1'!$E$9,'Shade - 1'!$F$9,'Shade - 1'!$D$7,Vertex!V44,Vertex!V109,Vertex!V174,Normal!V44,Normal!V109,Normal!V174)*255)</f>
        <v>72</v>
      </c>
      <c r="W44">
        <f>INT(shadex('Shade - 1'!$D$9,'Shade - 1'!$E$9,'Shade - 1'!$F$9,'Shade - 1'!$D$7,Vertex!W44,Vertex!W109,Vertex!W174,Normal!W44,Normal!W109,Normal!W174)*255)</f>
        <v>82</v>
      </c>
      <c r="X44">
        <f>INT(shadex('Shade - 1'!$D$9,'Shade - 1'!$E$9,'Shade - 1'!$F$9,'Shade - 1'!$D$7,Vertex!X44,Vertex!X109,Vertex!X174,Normal!X44,Normal!X109,Normal!X174)*255)</f>
        <v>93</v>
      </c>
      <c r="Y44">
        <f>INT(shadex('Shade - 1'!$D$9,'Shade - 1'!$E$9,'Shade - 1'!$F$9,'Shade - 1'!$D$7,Vertex!Y44,Vertex!Y109,Vertex!Y174,Normal!Y44,Normal!Y109,Normal!Y174)*255)</f>
        <v>91</v>
      </c>
      <c r="Z44">
        <f>INT(shadex('Shade - 1'!$D$9,'Shade - 1'!$E$9,'Shade - 1'!$F$9,'Shade - 1'!$D$7,Vertex!Z44,Vertex!Z109,Vertex!Z174,Normal!Z44,Normal!Z109,Normal!Z174)*255)</f>
        <v>95</v>
      </c>
      <c r="AA44">
        <f>INT(shadex('Shade - 1'!$D$9,'Shade - 1'!$E$9,'Shade - 1'!$F$9,'Shade - 1'!$D$7,Vertex!AA44,Vertex!AA109,Vertex!AA174,Normal!AA44,Normal!AA109,Normal!AA174)*255)</f>
        <v>97</v>
      </c>
      <c r="AB44">
        <f>INT(shadex('Shade - 1'!$D$9,'Shade - 1'!$E$9,'Shade - 1'!$F$9,'Shade - 1'!$D$7,Vertex!AB44,Vertex!AB109,Vertex!AB174,Normal!AB44,Normal!AB109,Normal!AB174)*255)</f>
        <v>93</v>
      </c>
      <c r="AC44">
        <f>INT(shadex('Shade - 1'!$D$9,'Shade - 1'!$E$9,'Shade - 1'!$F$9,'Shade - 1'!$D$7,Vertex!AC44,Vertex!AC109,Vertex!AC174,Normal!AC44,Normal!AC109,Normal!AC174)*255)</f>
        <v>88</v>
      </c>
      <c r="AD44">
        <f>INT(shadex('Shade - 1'!$D$9,'Shade - 1'!$E$9,'Shade - 1'!$F$9,'Shade - 1'!$D$7,Vertex!AD44,Vertex!AD109,Vertex!AD174,Normal!AD44,Normal!AD109,Normal!AD174)*255)</f>
        <v>97</v>
      </c>
      <c r="AE44">
        <f>INT(shadex('Shade - 1'!$D$9,'Shade - 1'!$E$9,'Shade - 1'!$F$9,'Shade - 1'!$D$7,Vertex!AE44,Vertex!AE109,Vertex!AE174,Normal!AE44,Normal!AE109,Normal!AE174)*255)</f>
        <v>99</v>
      </c>
      <c r="AF44">
        <f>INT(shadex('Shade - 1'!$D$9,'Shade - 1'!$E$9,'Shade - 1'!$F$9,'Shade - 1'!$D$7,Vertex!AF44,Vertex!AF109,Vertex!AF174,Normal!AF44,Normal!AF109,Normal!AF174)*255)</f>
        <v>100</v>
      </c>
      <c r="AG44">
        <f>INT(shadex('Shade - 1'!$D$9,'Shade - 1'!$E$9,'Shade - 1'!$F$9,'Shade - 1'!$D$7,Vertex!AG44,Vertex!AG109,Vertex!AG174,Normal!AG44,Normal!AG109,Normal!AG174)*255)</f>
        <v>93</v>
      </c>
      <c r="AH44">
        <f>INT(shadex('Shade - 1'!$D$9,'Shade - 1'!$E$9,'Shade - 1'!$F$9,'Shade - 1'!$D$7,Vertex!AH44,Vertex!AH109,Vertex!AH174,Normal!AH44,Normal!AH109,Normal!AH174)*255)</f>
        <v>68</v>
      </c>
      <c r="AI44" s="4">
        <f>INT(shadex('Shade - 1'!$D$9,'Shade - 1'!$E$9,'Shade - 1'!$F$9,'Shade - 1'!$D$7,Vertex!AI44,Vertex!AI109,Vertex!AI174,Normal!AI44,Normal!AI109,Normal!AI174)*255)</f>
        <v>75</v>
      </c>
      <c r="AJ44" s="4">
        <f>INT(shadex('Shade - 1'!$D$9,'Shade - 1'!$E$9,'Shade - 1'!$F$9,'Shade - 1'!$D$7,Vertex!AJ44,Vertex!AJ109,Vertex!AJ174,Normal!AJ44,Normal!AJ109,Normal!AJ174)*255)</f>
        <v>87</v>
      </c>
      <c r="AK44" s="4">
        <f>INT(shadex('Shade - 1'!$D$9,'Shade - 1'!$E$9,'Shade - 1'!$F$9,'Shade - 1'!$D$7,Vertex!AK44,Vertex!AK109,Vertex!AK174,Normal!AK44,Normal!AK109,Normal!AK174)*255)</f>
        <v>81</v>
      </c>
      <c r="AL44" s="4">
        <f>INT(shadex('Shade - 1'!$D$9,'Shade - 1'!$E$9,'Shade - 1'!$F$9,'Shade - 1'!$D$7,Vertex!AL44,Vertex!AL109,Vertex!AL174,Normal!AL44,Normal!AL109,Normal!AL174)*255)</f>
        <v>73</v>
      </c>
      <c r="AM44" s="4">
        <f>INT(shadex('Shade - 1'!$D$9,'Shade - 1'!$E$9,'Shade - 1'!$F$9,'Shade - 1'!$D$7,Vertex!AM44,Vertex!AM109,Vertex!AM174,Normal!AM44,Normal!AM109,Normal!AM174)*255)</f>
        <v>78</v>
      </c>
      <c r="AN44" s="4">
        <f>INT(shadex('Shade - 1'!$D$9,'Shade - 1'!$E$9,'Shade - 1'!$F$9,'Shade - 1'!$D$7,Vertex!AN44,Vertex!AN109,Vertex!AN174,Normal!AN44,Normal!AN109,Normal!AN174)*255)</f>
        <v>81</v>
      </c>
      <c r="AO44" s="4">
        <f>INT(shadex('Shade - 1'!$D$9,'Shade - 1'!$E$9,'Shade - 1'!$F$9,'Shade - 1'!$D$7,Vertex!AO44,Vertex!AO109,Vertex!AO174,Normal!AO44,Normal!AO109,Normal!AO174)*255)</f>
        <v>76</v>
      </c>
      <c r="AP44" s="4">
        <f>INT(shadex('Shade - 1'!$D$9,'Shade - 1'!$E$9,'Shade - 1'!$F$9,'Shade - 1'!$D$7,Vertex!AP44,Vertex!AP109,Vertex!AP174,Normal!AP44,Normal!AP109,Normal!AP174)*255)</f>
        <v>58</v>
      </c>
      <c r="AQ44" s="4">
        <f>INT(shadex('Shade - 1'!$D$9,'Shade - 1'!$E$9,'Shade - 1'!$F$9,'Shade - 1'!$D$7,Vertex!AQ44,Vertex!AQ109,Vertex!AQ174,Normal!AQ44,Normal!AQ109,Normal!AQ174)*255)</f>
        <v>80</v>
      </c>
      <c r="AR44" s="4">
        <f>INT(shadex('Shade - 1'!$D$9,'Shade - 1'!$E$9,'Shade - 1'!$F$9,'Shade - 1'!$D$7,Vertex!AR44,Vertex!AR109,Vertex!AR174,Normal!AR44,Normal!AR109,Normal!AR174)*255)</f>
        <v>92</v>
      </c>
      <c r="AS44" s="4">
        <f>INT(shadex('Shade - 1'!$D$9,'Shade - 1'!$E$9,'Shade - 1'!$F$9,'Shade - 1'!$D$7,Vertex!AS44,Vertex!AS109,Vertex!AS174,Normal!AS44,Normal!AS109,Normal!AS174)*255)</f>
        <v>95</v>
      </c>
      <c r="AT44" s="4">
        <f>INT(shadex('Shade - 1'!$D$9,'Shade - 1'!$E$9,'Shade - 1'!$F$9,'Shade - 1'!$D$7,Vertex!AT44,Vertex!AT109,Vertex!AT174,Normal!AT44,Normal!AT109,Normal!AT174)*255)</f>
        <v>92</v>
      </c>
      <c r="AU44" s="4">
        <f>INT(shadex('Shade - 1'!$D$9,'Shade - 1'!$E$9,'Shade - 1'!$F$9,'Shade - 1'!$D$7,Vertex!AU44,Vertex!AU109,Vertex!AU174,Normal!AU44,Normal!AU109,Normal!AU174)*255)</f>
        <v>87</v>
      </c>
      <c r="AV44" s="4">
        <f>INT(shadex('Shade - 1'!$D$9,'Shade - 1'!$E$9,'Shade - 1'!$F$9,'Shade - 1'!$D$7,Vertex!AV44,Vertex!AV109,Vertex!AV174,Normal!AV44,Normal!AV109,Normal!AV174)*255)</f>
        <v>86</v>
      </c>
      <c r="AW44" s="4">
        <f>INT(shadex('Shade - 1'!$D$9,'Shade - 1'!$E$9,'Shade - 1'!$F$9,'Shade - 1'!$D$7,Vertex!AW44,Vertex!AW109,Vertex!AW174,Normal!AW44,Normal!AW109,Normal!AW174)*255)</f>
        <v>84</v>
      </c>
      <c r="AX44" s="4">
        <f>INT(shadex('Shade - 1'!$D$9,'Shade - 1'!$E$9,'Shade - 1'!$F$9,'Shade - 1'!$D$7,Vertex!AX44,Vertex!AX109,Vertex!AX174,Normal!AX44,Normal!AX109,Normal!AX174)*255)</f>
        <v>74</v>
      </c>
      <c r="AY44" s="4">
        <f>INT(shadex('Shade - 1'!$D$9,'Shade - 1'!$E$9,'Shade - 1'!$F$9,'Shade - 1'!$D$7,Vertex!AY44,Vertex!AY109,Vertex!AY174,Normal!AY44,Normal!AY109,Normal!AY174)*255)</f>
        <v>71</v>
      </c>
      <c r="AZ44" s="4">
        <f>INT(shadex('Shade - 1'!$D$9,'Shade - 1'!$E$9,'Shade - 1'!$F$9,'Shade - 1'!$D$7,Vertex!AZ44,Vertex!AZ109,Vertex!AZ174,Normal!AZ44,Normal!AZ109,Normal!AZ174)*255)</f>
        <v>59</v>
      </c>
      <c r="BA44" s="4">
        <f>INT(shadex('Shade - 1'!$D$9,'Shade - 1'!$E$9,'Shade - 1'!$F$9,'Shade - 1'!$D$7,Vertex!BA44,Vertex!BA109,Vertex!BA174,Normal!BA44,Normal!BA109,Normal!BA174)*255)</f>
        <v>72</v>
      </c>
      <c r="BB44" s="4">
        <f>INT(shadex('Shade - 1'!$D$9,'Shade - 1'!$E$9,'Shade - 1'!$F$9,'Shade - 1'!$D$7,Vertex!BB44,Vertex!BB109,Vertex!BB174,Normal!BB44,Normal!BB109,Normal!BB174)*255)</f>
        <v>77</v>
      </c>
      <c r="BC44" s="4">
        <f>INT(shadex('Shade - 1'!$D$9,'Shade - 1'!$E$9,'Shade - 1'!$F$9,'Shade - 1'!$D$7,Vertex!BC44,Vertex!BC109,Vertex!BC174,Normal!BC44,Normal!BC109,Normal!BC174)*255)</f>
        <v>69</v>
      </c>
      <c r="BD44" s="4">
        <f>INT(shadex('Shade - 1'!$D$9,'Shade - 1'!$E$9,'Shade - 1'!$F$9,'Shade - 1'!$D$7,Vertex!BD44,Vertex!BD109,Vertex!BD174,Normal!BD44,Normal!BD109,Normal!BD174)*255)</f>
        <v>67</v>
      </c>
      <c r="BE44" s="4">
        <f>INT(shadex('Shade - 1'!$D$9,'Shade - 1'!$E$9,'Shade - 1'!$F$9,'Shade - 1'!$D$7,Vertex!BE44,Vertex!BE109,Vertex!BE174,Normal!BE44,Normal!BE109,Normal!BE174)*255)</f>
        <v>67</v>
      </c>
      <c r="BF44" s="4">
        <f>INT(shadex('Shade - 1'!$D$9,'Shade - 1'!$E$9,'Shade - 1'!$F$9,'Shade - 1'!$D$7,Vertex!BF44,Vertex!BF109,Vertex!BF174,Normal!BF44,Normal!BF109,Normal!BF174)*255)</f>
        <v>78</v>
      </c>
      <c r="BG44" s="4">
        <f>INT(shadex('Shade - 1'!$D$9,'Shade - 1'!$E$9,'Shade - 1'!$F$9,'Shade - 1'!$D$7,Vertex!BG44,Vertex!BG109,Vertex!BG174,Normal!BG44,Normal!BG109,Normal!BG174)*255)</f>
        <v>80</v>
      </c>
      <c r="BH44" s="4">
        <f>INT(shadex('Shade - 1'!$D$9,'Shade - 1'!$E$9,'Shade - 1'!$F$9,'Shade - 1'!$D$7,Vertex!BH44,Vertex!BH109,Vertex!BH174,Normal!BH44,Normal!BH109,Normal!BH174)*255)</f>
        <v>70</v>
      </c>
      <c r="BI44" s="4">
        <f>INT(shadex('Shade - 1'!$D$9,'Shade - 1'!$E$9,'Shade - 1'!$F$9,'Shade - 1'!$D$7,Vertex!BI44,Vertex!BI109,Vertex!BI174,Normal!BI44,Normal!BI109,Normal!BI174)*255)</f>
        <v>56</v>
      </c>
      <c r="BJ44" s="4">
        <f>INT(shadex('Shade - 1'!$D$9,'Shade - 1'!$E$9,'Shade - 1'!$F$9,'Shade - 1'!$D$7,Vertex!BJ44,Vertex!BJ109,Vertex!BJ174,Normal!BJ44,Normal!BJ109,Normal!BJ174)*255)</f>
        <v>59</v>
      </c>
      <c r="BK44" s="4">
        <f>INT(shadex('Shade - 1'!$D$9,'Shade - 1'!$E$9,'Shade - 1'!$F$9,'Shade - 1'!$D$7,Vertex!BK44,Vertex!BK109,Vertex!BK174,Normal!BK44,Normal!BK109,Normal!BK174)*255)</f>
        <v>77</v>
      </c>
      <c r="BL44" s="4">
        <f>INT(shadex('Shade - 1'!$D$9,'Shade - 1'!$E$9,'Shade - 1'!$F$9,'Shade - 1'!$D$7,Vertex!BL44,Vertex!BL109,Vertex!BL174,Normal!BL44,Normal!BL109,Normal!BL174)*255)</f>
        <v>85</v>
      </c>
    </row>
    <row r="45" spans="1:64" x14ac:dyDescent="0.25">
      <c r="A45">
        <f>INT(shadex('Shade - 1'!$D$9,'Shade - 1'!$E$9,'Shade - 1'!$F$9,'Shade - 1'!$D$7,Vertex!A45,Vertex!A110,Vertex!A175,Normal!A45,Normal!A110,Normal!A175)*255)</f>
        <v>41</v>
      </c>
      <c r="B45">
        <f>INT(shadex('Shade - 1'!$D$9,'Shade - 1'!$E$9,'Shade - 1'!$F$9,'Shade - 1'!$D$7,Vertex!B45,Vertex!B110,Vertex!B175,Normal!B45,Normal!B110,Normal!B175)*255)</f>
        <v>43</v>
      </c>
      <c r="C45">
        <f>INT(shadex('Shade - 1'!$D$9,'Shade - 1'!$E$9,'Shade - 1'!$F$9,'Shade - 1'!$D$7,Vertex!C45,Vertex!C110,Vertex!C175,Normal!C45,Normal!C110,Normal!C175)*255)</f>
        <v>47</v>
      </c>
      <c r="D45">
        <f>INT(shadex('Shade - 1'!$D$9,'Shade - 1'!$E$9,'Shade - 1'!$F$9,'Shade - 1'!$D$7,Vertex!D45,Vertex!D110,Vertex!D175,Normal!D45,Normal!D110,Normal!D175)*255)</f>
        <v>55</v>
      </c>
      <c r="E45">
        <f>INT(shadex('Shade - 1'!$D$9,'Shade - 1'!$E$9,'Shade - 1'!$F$9,'Shade - 1'!$D$7,Vertex!E45,Vertex!E110,Vertex!E175,Normal!E45,Normal!E110,Normal!E175)*255)</f>
        <v>51</v>
      </c>
      <c r="F45">
        <f>INT(shadex('Shade - 1'!$D$9,'Shade - 1'!$E$9,'Shade - 1'!$F$9,'Shade - 1'!$D$7,Vertex!F45,Vertex!F110,Vertex!F175,Normal!F45,Normal!F110,Normal!F175)*255)</f>
        <v>31</v>
      </c>
      <c r="G45">
        <f>INT(shadex('Shade - 1'!$D$9,'Shade - 1'!$E$9,'Shade - 1'!$F$9,'Shade - 1'!$D$7,Vertex!G45,Vertex!G110,Vertex!G175,Normal!G45,Normal!G110,Normal!G175)*255)</f>
        <v>27</v>
      </c>
      <c r="H45">
        <f>INT(shadex('Shade - 1'!$D$9,'Shade - 1'!$E$9,'Shade - 1'!$F$9,'Shade - 1'!$D$7,Vertex!H45,Vertex!H110,Vertex!H175,Normal!H45,Normal!H110,Normal!H175)*255)</f>
        <v>25</v>
      </c>
      <c r="I45">
        <f>INT(shadex('Shade - 1'!$D$9,'Shade - 1'!$E$9,'Shade - 1'!$F$9,'Shade - 1'!$D$7,Vertex!I45,Vertex!I110,Vertex!I175,Normal!I45,Normal!I110,Normal!I175)*255)</f>
        <v>27</v>
      </c>
      <c r="J45">
        <f>INT(shadex('Shade - 1'!$D$9,'Shade - 1'!$E$9,'Shade - 1'!$F$9,'Shade - 1'!$D$7,Vertex!J45,Vertex!J110,Vertex!J175,Normal!J45,Normal!J110,Normal!J175)*255)</f>
        <v>41</v>
      </c>
      <c r="K45">
        <f>INT(shadex('Shade - 1'!$D$9,'Shade - 1'!$E$9,'Shade - 1'!$F$9,'Shade - 1'!$D$7,Vertex!K45,Vertex!K110,Vertex!K175,Normal!K45,Normal!K110,Normal!K175)*255)</f>
        <v>37</v>
      </c>
      <c r="L45">
        <f>INT(shadex('Shade - 1'!$D$9,'Shade - 1'!$E$9,'Shade - 1'!$F$9,'Shade - 1'!$D$7,Vertex!L45,Vertex!L110,Vertex!L175,Normal!L45,Normal!L110,Normal!L175)*255)</f>
        <v>0</v>
      </c>
      <c r="M45">
        <f>INT(shadex('Shade - 1'!$D$9,'Shade - 1'!$E$9,'Shade - 1'!$F$9,'Shade - 1'!$D$7,Vertex!M45,Vertex!M110,Vertex!M175,Normal!M45,Normal!M110,Normal!M175)*255)</f>
        <v>29</v>
      </c>
      <c r="N45">
        <f>INT(shadex('Shade - 1'!$D$9,'Shade - 1'!$E$9,'Shade - 1'!$F$9,'Shade - 1'!$D$7,Vertex!N45,Vertex!N110,Vertex!N175,Normal!N45,Normal!N110,Normal!N175)*255)</f>
        <v>48</v>
      </c>
      <c r="O45">
        <f>INT(shadex('Shade - 1'!$D$9,'Shade - 1'!$E$9,'Shade - 1'!$F$9,'Shade - 1'!$D$7,Vertex!O45,Vertex!O110,Vertex!O175,Normal!O45,Normal!O110,Normal!O175)*255)</f>
        <v>36</v>
      </c>
      <c r="P45">
        <f>INT(shadex('Shade - 1'!$D$9,'Shade - 1'!$E$9,'Shade - 1'!$F$9,'Shade - 1'!$D$7,Vertex!P45,Vertex!P110,Vertex!P175,Normal!P45,Normal!P110,Normal!P175)*255)</f>
        <v>0</v>
      </c>
      <c r="Q45">
        <f>INT(shadex('Shade - 1'!$D$9,'Shade - 1'!$E$9,'Shade - 1'!$F$9,'Shade - 1'!$D$7,Vertex!Q45,Vertex!Q110,Vertex!Q175,Normal!Q45,Normal!Q110,Normal!Q175)*255)</f>
        <v>0</v>
      </c>
      <c r="R45">
        <f>INT(shadex('Shade - 1'!$D$9,'Shade - 1'!$E$9,'Shade - 1'!$F$9,'Shade - 1'!$D$7,Vertex!R45,Vertex!R110,Vertex!R175,Normal!R45,Normal!R110,Normal!R175)*255)</f>
        <v>45</v>
      </c>
      <c r="S45">
        <f>INT(shadex('Shade - 1'!$D$9,'Shade - 1'!$E$9,'Shade - 1'!$F$9,'Shade - 1'!$D$7,Vertex!S45,Vertex!S110,Vertex!S175,Normal!S45,Normal!S110,Normal!S175)*255)</f>
        <v>50</v>
      </c>
      <c r="T45">
        <f>INT(shadex('Shade - 1'!$D$9,'Shade - 1'!$E$9,'Shade - 1'!$F$9,'Shade - 1'!$D$7,Vertex!T45,Vertex!T110,Vertex!T175,Normal!T45,Normal!T110,Normal!T175)*255)</f>
        <v>60</v>
      </c>
      <c r="U45">
        <f>INT(shadex('Shade - 1'!$D$9,'Shade - 1'!$E$9,'Shade - 1'!$F$9,'Shade - 1'!$D$7,Vertex!U45,Vertex!U110,Vertex!U175,Normal!U45,Normal!U110,Normal!U175)*255)</f>
        <v>80</v>
      </c>
      <c r="V45">
        <f>INT(shadex('Shade - 1'!$D$9,'Shade - 1'!$E$9,'Shade - 1'!$F$9,'Shade - 1'!$D$7,Vertex!V45,Vertex!V110,Vertex!V175,Normal!V45,Normal!V110,Normal!V175)*255)</f>
        <v>82</v>
      </c>
      <c r="W45">
        <f>INT(shadex('Shade - 1'!$D$9,'Shade - 1'!$E$9,'Shade - 1'!$F$9,'Shade - 1'!$D$7,Vertex!W45,Vertex!W110,Vertex!W175,Normal!W45,Normal!W110,Normal!W175)*255)</f>
        <v>80</v>
      </c>
      <c r="X45">
        <f>INT(shadex('Shade - 1'!$D$9,'Shade - 1'!$E$9,'Shade - 1'!$F$9,'Shade - 1'!$D$7,Vertex!X45,Vertex!X110,Vertex!X175,Normal!X45,Normal!X110,Normal!X175)*255)</f>
        <v>79</v>
      </c>
      <c r="Y45">
        <f>INT(shadex('Shade - 1'!$D$9,'Shade - 1'!$E$9,'Shade - 1'!$F$9,'Shade - 1'!$D$7,Vertex!Y45,Vertex!Y110,Vertex!Y175,Normal!Y45,Normal!Y110,Normal!Y175)*255)</f>
        <v>70</v>
      </c>
      <c r="Z45">
        <f>INT(shadex('Shade - 1'!$D$9,'Shade - 1'!$E$9,'Shade - 1'!$F$9,'Shade - 1'!$D$7,Vertex!Z45,Vertex!Z110,Vertex!Z175,Normal!Z45,Normal!Z110,Normal!Z175)*255)</f>
        <v>81</v>
      </c>
      <c r="AA45">
        <f>INT(shadex('Shade - 1'!$D$9,'Shade - 1'!$E$9,'Shade - 1'!$F$9,'Shade - 1'!$D$7,Vertex!AA45,Vertex!AA110,Vertex!AA175,Normal!AA45,Normal!AA110,Normal!AA175)*255)</f>
        <v>92</v>
      </c>
      <c r="AB45">
        <f>INT(shadex('Shade - 1'!$D$9,'Shade - 1'!$E$9,'Shade - 1'!$F$9,'Shade - 1'!$D$7,Vertex!AB45,Vertex!AB110,Vertex!AB175,Normal!AB45,Normal!AB110,Normal!AB175)*255)</f>
        <v>90</v>
      </c>
      <c r="AC45">
        <f>INT(shadex('Shade - 1'!$D$9,'Shade - 1'!$E$9,'Shade - 1'!$F$9,'Shade - 1'!$D$7,Vertex!AC45,Vertex!AC110,Vertex!AC175,Normal!AC45,Normal!AC110,Normal!AC175)*255)</f>
        <v>86</v>
      </c>
      <c r="AD45">
        <f>INT(shadex('Shade - 1'!$D$9,'Shade - 1'!$E$9,'Shade - 1'!$F$9,'Shade - 1'!$D$7,Vertex!AD45,Vertex!AD110,Vertex!AD175,Normal!AD45,Normal!AD110,Normal!AD175)*255)</f>
        <v>92</v>
      </c>
      <c r="AE45">
        <f>INT(shadex('Shade - 1'!$D$9,'Shade - 1'!$E$9,'Shade - 1'!$F$9,'Shade - 1'!$D$7,Vertex!AE45,Vertex!AE110,Vertex!AE175,Normal!AE45,Normal!AE110,Normal!AE175)*255)</f>
        <v>98</v>
      </c>
      <c r="AF45">
        <f>INT(shadex('Shade - 1'!$D$9,'Shade - 1'!$E$9,'Shade - 1'!$F$9,'Shade - 1'!$D$7,Vertex!AF45,Vertex!AF110,Vertex!AF175,Normal!AF45,Normal!AF110,Normal!AF175)*255)</f>
        <v>97</v>
      </c>
      <c r="AG45">
        <f>INT(shadex('Shade - 1'!$D$9,'Shade - 1'!$E$9,'Shade - 1'!$F$9,'Shade - 1'!$D$7,Vertex!AG45,Vertex!AG110,Vertex!AG175,Normal!AG45,Normal!AG110,Normal!AG175)*255)</f>
        <v>94</v>
      </c>
      <c r="AH45">
        <f>INT(shadex('Shade - 1'!$D$9,'Shade - 1'!$E$9,'Shade - 1'!$F$9,'Shade - 1'!$D$7,Vertex!AH45,Vertex!AH110,Vertex!AH175,Normal!AH45,Normal!AH110,Normal!AH175)*255)</f>
        <v>68</v>
      </c>
      <c r="AI45" s="4">
        <f>INT(shadex('Shade - 1'!$D$9,'Shade - 1'!$E$9,'Shade - 1'!$F$9,'Shade - 1'!$D$7,Vertex!AI45,Vertex!AI110,Vertex!AI175,Normal!AI45,Normal!AI110,Normal!AI175)*255)</f>
        <v>87</v>
      </c>
      <c r="AJ45" s="4">
        <f>INT(shadex('Shade - 1'!$D$9,'Shade - 1'!$E$9,'Shade - 1'!$F$9,'Shade - 1'!$D$7,Vertex!AJ45,Vertex!AJ110,Vertex!AJ175,Normal!AJ45,Normal!AJ110,Normal!AJ175)*255)</f>
        <v>96</v>
      </c>
      <c r="AK45" s="4">
        <f>INT(shadex('Shade - 1'!$D$9,'Shade - 1'!$E$9,'Shade - 1'!$F$9,'Shade - 1'!$D$7,Vertex!AK45,Vertex!AK110,Vertex!AK175,Normal!AK45,Normal!AK110,Normal!AK175)*255)</f>
        <v>84</v>
      </c>
      <c r="AL45" s="4">
        <f>INT(shadex('Shade - 1'!$D$9,'Shade - 1'!$E$9,'Shade - 1'!$F$9,'Shade - 1'!$D$7,Vertex!AL45,Vertex!AL110,Vertex!AL175,Normal!AL45,Normal!AL110,Normal!AL175)*255)</f>
        <v>78</v>
      </c>
      <c r="AM45" s="4">
        <f>INT(shadex('Shade - 1'!$D$9,'Shade - 1'!$E$9,'Shade - 1'!$F$9,'Shade - 1'!$D$7,Vertex!AM45,Vertex!AM110,Vertex!AM175,Normal!AM45,Normal!AM110,Normal!AM175)*255)</f>
        <v>84</v>
      </c>
      <c r="AN45" s="4">
        <f>INT(shadex('Shade - 1'!$D$9,'Shade - 1'!$E$9,'Shade - 1'!$F$9,'Shade - 1'!$D$7,Vertex!AN45,Vertex!AN110,Vertex!AN175,Normal!AN45,Normal!AN110,Normal!AN175)*255)</f>
        <v>86</v>
      </c>
      <c r="AO45" s="4">
        <f>INT(shadex('Shade - 1'!$D$9,'Shade - 1'!$E$9,'Shade - 1'!$F$9,'Shade - 1'!$D$7,Vertex!AO45,Vertex!AO110,Vertex!AO175,Normal!AO45,Normal!AO110,Normal!AO175)*255)</f>
        <v>91</v>
      </c>
      <c r="AP45" s="4">
        <f>INT(shadex('Shade - 1'!$D$9,'Shade - 1'!$E$9,'Shade - 1'!$F$9,'Shade - 1'!$D$7,Vertex!AP45,Vertex!AP110,Vertex!AP175,Normal!AP45,Normal!AP110,Normal!AP175)*255)</f>
        <v>72</v>
      </c>
      <c r="AQ45" s="4">
        <f>INT(shadex('Shade - 1'!$D$9,'Shade - 1'!$E$9,'Shade - 1'!$F$9,'Shade - 1'!$D$7,Vertex!AQ45,Vertex!AQ110,Vertex!AQ175,Normal!AQ45,Normal!AQ110,Normal!AQ175)*255)</f>
        <v>76</v>
      </c>
      <c r="AR45" s="4">
        <f>INT(shadex('Shade - 1'!$D$9,'Shade - 1'!$E$9,'Shade - 1'!$F$9,'Shade - 1'!$D$7,Vertex!AR45,Vertex!AR110,Vertex!AR175,Normal!AR45,Normal!AR110,Normal!AR175)*255)</f>
        <v>85</v>
      </c>
      <c r="AS45" s="4">
        <f>INT(shadex('Shade - 1'!$D$9,'Shade - 1'!$E$9,'Shade - 1'!$F$9,'Shade - 1'!$D$7,Vertex!AS45,Vertex!AS110,Vertex!AS175,Normal!AS45,Normal!AS110,Normal!AS175)*255)</f>
        <v>95</v>
      </c>
      <c r="AT45" s="4">
        <f>INT(shadex('Shade - 1'!$D$9,'Shade - 1'!$E$9,'Shade - 1'!$F$9,'Shade - 1'!$D$7,Vertex!AT45,Vertex!AT110,Vertex!AT175,Normal!AT45,Normal!AT110,Normal!AT175)*255)</f>
        <v>94</v>
      </c>
      <c r="AU45" s="4">
        <f>INT(shadex('Shade - 1'!$D$9,'Shade - 1'!$E$9,'Shade - 1'!$F$9,'Shade - 1'!$D$7,Vertex!AU45,Vertex!AU110,Vertex!AU175,Normal!AU45,Normal!AU110,Normal!AU175)*255)</f>
        <v>90</v>
      </c>
      <c r="AV45" s="4">
        <f>INT(shadex('Shade - 1'!$D$9,'Shade - 1'!$E$9,'Shade - 1'!$F$9,'Shade - 1'!$D$7,Vertex!AV45,Vertex!AV110,Vertex!AV175,Normal!AV45,Normal!AV110,Normal!AV175)*255)</f>
        <v>90</v>
      </c>
      <c r="AW45" s="4">
        <f>INT(shadex('Shade - 1'!$D$9,'Shade - 1'!$E$9,'Shade - 1'!$F$9,'Shade - 1'!$D$7,Vertex!AW45,Vertex!AW110,Vertex!AW175,Normal!AW45,Normal!AW110,Normal!AW175)*255)</f>
        <v>81</v>
      </c>
      <c r="AX45" s="4">
        <f>INT(shadex('Shade - 1'!$D$9,'Shade - 1'!$E$9,'Shade - 1'!$F$9,'Shade - 1'!$D$7,Vertex!AX45,Vertex!AX110,Vertex!AX175,Normal!AX45,Normal!AX110,Normal!AX175)*255)</f>
        <v>69</v>
      </c>
      <c r="AY45" s="4">
        <f>INT(shadex('Shade - 1'!$D$9,'Shade - 1'!$E$9,'Shade - 1'!$F$9,'Shade - 1'!$D$7,Vertex!AY45,Vertex!AY110,Vertex!AY175,Normal!AY45,Normal!AY110,Normal!AY175)*255)</f>
        <v>73</v>
      </c>
      <c r="AZ45" s="4">
        <f>INT(shadex('Shade - 1'!$D$9,'Shade - 1'!$E$9,'Shade - 1'!$F$9,'Shade - 1'!$D$7,Vertex!AZ45,Vertex!AZ110,Vertex!AZ175,Normal!AZ45,Normal!AZ110,Normal!AZ175)*255)</f>
        <v>50</v>
      </c>
      <c r="BA45" s="4">
        <f>INT(shadex('Shade - 1'!$D$9,'Shade - 1'!$E$9,'Shade - 1'!$F$9,'Shade - 1'!$D$7,Vertex!BA45,Vertex!BA110,Vertex!BA175,Normal!BA45,Normal!BA110,Normal!BA175)*255)</f>
        <v>68</v>
      </c>
      <c r="BB45" s="4">
        <f>INT(shadex('Shade - 1'!$D$9,'Shade - 1'!$E$9,'Shade - 1'!$F$9,'Shade - 1'!$D$7,Vertex!BB45,Vertex!BB110,Vertex!BB175,Normal!BB45,Normal!BB110,Normal!BB175)*255)</f>
        <v>71</v>
      </c>
      <c r="BC45" s="4">
        <f>INT(shadex('Shade - 1'!$D$9,'Shade - 1'!$E$9,'Shade - 1'!$F$9,'Shade - 1'!$D$7,Vertex!BC45,Vertex!BC110,Vertex!BC175,Normal!BC45,Normal!BC110,Normal!BC175)*255)</f>
        <v>67</v>
      </c>
      <c r="BD45" s="4">
        <f>INT(shadex('Shade - 1'!$D$9,'Shade - 1'!$E$9,'Shade - 1'!$F$9,'Shade - 1'!$D$7,Vertex!BD45,Vertex!BD110,Vertex!BD175,Normal!BD45,Normal!BD110,Normal!BD175)*255)</f>
        <v>80</v>
      </c>
      <c r="BE45" s="4">
        <f>INT(shadex('Shade - 1'!$D$9,'Shade - 1'!$E$9,'Shade - 1'!$F$9,'Shade - 1'!$D$7,Vertex!BE45,Vertex!BE110,Vertex!BE175,Normal!BE45,Normal!BE110,Normal!BE175)*255)</f>
        <v>88</v>
      </c>
      <c r="BF45" s="4">
        <f>INT(shadex('Shade - 1'!$D$9,'Shade - 1'!$E$9,'Shade - 1'!$F$9,'Shade - 1'!$D$7,Vertex!BF45,Vertex!BF110,Vertex!BF175,Normal!BF45,Normal!BF110,Normal!BF175)*255)</f>
        <v>89</v>
      </c>
      <c r="BG45" s="4">
        <f>INT(shadex('Shade - 1'!$D$9,'Shade - 1'!$E$9,'Shade - 1'!$F$9,'Shade - 1'!$D$7,Vertex!BG45,Vertex!BG110,Vertex!BG175,Normal!BG45,Normal!BG110,Normal!BG175)*255)</f>
        <v>88</v>
      </c>
      <c r="BH45" s="4">
        <f>INT(shadex('Shade - 1'!$D$9,'Shade - 1'!$E$9,'Shade - 1'!$F$9,'Shade - 1'!$D$7,Vertex!BH45,Vertex!BH110,Vertex!BH175,Normal!BH45,Normal!BH110,Normal!BH175)*255)</f>
        <v>84</v>
      </c>
      <c r="BI45" s="4">
        <f>INT(shadex('Shade - 1'!$D$9,'Shade - 1'!$E$9,'Shade - 1'!$F$9,'Shade - 1'!$D$7,Vertex!BI45,Vertex!BI110,Vertex!BI175,Normal!BI45,Normal!BI110,Normal!BI175)*255)</f>
        <v>77</v>
      </c>
      <c r="BJ45" s="4">
        <f>INT(shadex('Shade - 1'!$D$9,'Shade - 1'!$E$9,'Shade - 1'!$F$9,'Shade - 1'!$D$7,Vertex!BJ45,Vertex!BJ110,Vertex!BJ175,Normal!BJ45,Normal!BJ110,Normal!BJ175)*255)</f>
        <v>68</v>
      </c>
      <c r="BK45" s="4">
        <f>INT(shadex('Shade - 1'!$D$9,'Shade - 1'!$E$9,'Shade - 1'!$F$9,'Shade - 1'!$D$7,Vertex!BK45,Vertex!BK110,Vertex!BK175,Normal!BK45,Normal!BK110,Normal!BK175)*255)</f>
        <v>80</v>
      </c>
      <c r="BL45" s="4">
        <f>INT(shadex('Shade - 1'!$D$9,'Shade - 1'!$E$9,'Shade - 1'!$F$9,'Shade - 1'!$D$7,Vertex!BL45,Vertex!BL110,Vertex!BL175,Normal!BL45,Normal!BL110,Normal!BL175)*255)</f>
        <v>85</v>
      </c>
    </row>
    <row r="46" spans="1:64" x14ac:dyDescent="0.25">
      <c r="A46">
        <f>INT(shadex('Shade - 1'!$D$9,'Shade - 1'!$E$9,'Shade - 1'!$F$9,'Shade - 1'!$D$7,Vertex!A46,Vertex!A111,Vertex!A176,Normal!A46,Normal!A111,Normal!A176)*255)</f>
        <v>37</v>
      </c>
      <c r="B46">
        <f>INT(shadex('Shade - 1'!$D$9,'Shade - 1'!$E$9,'Shade - 1'!$F$9,'Shade - 1'!$D$7,Vertex!B46,Vertex!B111,Vertex!B176,Normal!B46,Normal!B111,Normal!B176)*255)</f>
        <v>37</v>
      </c>
      <c r="C46">
        <f>INT(shadex('Shade - 1'!$D$9,'Shade - 1'!$E$9,'Shade - 1'!$F$9,'Shade - 1'!$D$7,Vertex!C46,Vertex!C111,Vertex!C176,Normal!C46,Normal!C111,Normal!C176)*255)</f>
        <v>39</v>
      </c>
      <c r="D46">
        <f>INT(shadex('Shade - 1'!$D$9,'Shade - 1'!$E$9,'Shade - 1'!$F$9,'Shade - 1'!$D$7,Vertex!D46,Vertex!D111,Vertex!D176,Normal!D46,Normal!D111,Normal!D176)*255)</f>
        <v>51</v>
      </c>
      <c r="E46">
        <f>INT(shadex('Shade - 1'!$D$9,'Shade - 1'!$E$9,'Shade - 1'!$F$9,'Shade - 1'!$D$7,Vertex!E46,Vertex!E111,Vertex!E176,Normal!E46,Normal!E111,Normal!E176)*255)</f>
        <v>51</v>
      </c>
      <c r="F46">
        <f>INT(shadex('Shade - 1'!$D$9,'Shade - 1'!$E$9,'Shade - 1'!$F$9,'Shade - 1'!$D$7,Vertex!F46,Vertex!F111,Vertex!F176,Normal!F46,Normal!F111,Normal!F176)*255)</f>
        <v>32</v>
      </c>
      <c r="G46">
        <f>INT(shadex('Shade - 1'!$D$9,'Shade - 1'!$E$9,'Shade - 1'!$F$9,'Shade - 1'!$D$7,Vertex!G46,Vertex!G111,Vertex!G176,Normal!G46,Normal!G111,Normal!G176)*255)</f>
        <v>28</v>
      </c>
      <c r="H46">
        <f>INT(shadex('Shade - 1'!$D$9,'Shade - 1'!$E$9,'Shade - 1'!$F$9,'Shade - 1'!$D$7,Vertex!H46,Vertex!H111,Vertex!H176,Normal!H46,Normal!H111,Normal!H176)*255)</f>
        <v>0</v>
      </c>
      <c r="I46">
        <f>INT(shadex('Shade - 1'!$D$9,'Shade - 1'!$E$9,'Shade - 1'!$F$9,'Shade - 1'!$D$7,Vertex!I46,Vertex!I111,Vertex!I176,Normal!I46,Normal!I111,Normal!I176)*255)</f>
        <v>0</v>
      </c>
      <c r="J46">
        <f>INT(shadex('Shade - 1'!$D$9,'Shade - 1'!$E$9,'Shade - 1'!$F$9,'Shade - 1'!$D$7,Vertex!J46,Vertex!J111,Vertex!J176,Normal!J46,Normal!J111,Normal!J176)*255)</f>
        <v>26</v>
      </c>
      <c r="K46">
        <f>INT(shadex('Shade - 1'!$D$9,'Shade - 1'!$E$9,'Shade - 1'!$F$9,'Shade - 1'!$D$7,Vertex!K46,Vertex!K111,Vertex!K176,Normal!K46,Normal!K111,Normal!K176)*255)</f>
        <v>0</v>
      </c>
      <c r="L46">
        <f>INT(shadex('Shade - 1'!$D$9,'Shade - 1'!$E$9,'Shade - 1'!$F$9,'Shade - 1'!$D$7,Vertex!L46,Vertex!L111,Vertex!L176,Normal!L46,Normal!L111,Normal!L176)*255)</f>
        <v>0</v>
      </c>
      <c r="M46">
        <f>INT(shadex('Shade - 1'!$D$9,'Shade - 1'!$E$9,'Shade - 1'!$F$9,'Shade - 1'!$D$7,Vertex!M46,Vertex!M111,Vertex!M176,Normal!M46,Normal!M111,Normal!M176)*255)</f>
        <v>29</v>
      </c>
      <c r="N46">
        <f>INT(shadex('Shade - 1'!$D$9,'Shade - 1'!$E$9,'Shade - 1'!$F$9,'Shade - 1'!$D$7,Vertex!N46,Vertex!N111,Vertex!N176,Normal!N46,Normal!N111,Normal!N176)*255)</f>
        <v>30</v>
      </c>
      <c r="O46">
        <f>INT(shadex('Shade - 1'!$D$9,'Shade - 1'!$E$9,'Shade - 1'!$F$9,'Shade - 1'!$D$7,Vertex!O46,Vertex!O111,Vertex!O176,Normal!O46,Normal!O111,Normal!O176)*255)</f>
        <v>29</v>
      </c>
      <c r="P46">
        <f>INT(shadex('Shade - 1'!$D$9,'Shade - 1'!$E$9,'Shade - 1'!$F$9,'Shade - 1'!$D$7,Vertex!P46,Vertex!P111,Vertex!P176,Normal!P46,Normal!P111,Normal!P176)*255)</f>
        <v>34</v>
      </c>
      <c r="Q46">
        <f>INT(shadex('Shade - 1'!$D$9,'Shade - 1'!$E$9,'Shade - 1'!$F$9,'Shade - 1'!$D$7,Vertex!Q46,Vertex!Q111,Vertex!Q176,Normal!Q46,Normal!Q111,Normal!Q176)*255)</f>
        <v>31</v>
      </c>
      <c r="R46">
        <f>INT(shadex('Shade - 1'!$D$9,'Shade - 1'!$E$9,'Shade - 1'!$F$9,'Shade - 1'!$D$7,Vertex!R46,Vertex!R111,Vertex!R176,Normal!R46,Normal!R111,Normal!R176)*255)</f>
        <v>54</v>
      </c>
      <c r="S46">
        <f>INT(shadex('Shade - 1'!$D$9,'Shade - 1'!$E$9,'Shade - 1'!$F$9,'Shade - 1'!$D$7,Vertex!S46,Vertex!S111,Vertex!S176,Normal!S46,Normal!S111,Normal!S176)*255)</f>
        <v>62</v>
      </c>
      <c r="T46">
        <f>INT(shadex('Shade - 1'!$D$9,'Shade - 1'!$E$9,'Shade - 1'!$F$9,'Shade - 1'!$D$7,Vertex!T46,Vertex!T111,Vertex!T176,Normal!T46,Normal!T111,Normal!T176)*255)</f>
        <v>57</v>
      </c>
      <c r="U46">
        <f>INT(shadex('Shade - 1'!$D$9,'Shade - 1'!$E$9,'Shade - 1'!$F$9,'Shade - 1'!$D$7,Vertex!U46,Vertex!U111,Vertex!U176,Normal!U46,Normal!U111,Normal!U176)*255)</f>
        <v>71</v>
      </c>
      <c r="V46">
        <f>INT(shadex('Shade - 1'!$D$9,'Shade - 1'!$E$9,'Shade - 1'!$F$9,'Shade - 1'!$D$7,Vertex!V46,Vertex!V111,Vertex!V176,Normal!V46,Normal!V111,Normal!V176)*255)</f>
        <v>77</v>
      </c>
      <c r="W46">
        <f>INT(shadex('Shade - 1'!$D$9,'Shade - 1'!$E$9,'Shade - 1'!$F$9,'Shade - 1'!$D$7,Vertex!W46,Vertex!W111,Vertex!W176,Normal!W46,Normal!W111,Normal!W176)*255)</f>
        <v>77</v>
      </c>
      <c r="X46">
        <f>INT(shadex('Shade - 1'!$D$9,'Shade - 1'!$E$9,'Shade - 1'!$F$9,'Shade - 1'!$D$7,Vertex!X46,Vertex!X111,Vertex!X176,Normal!X46,Normal!X111,Normal!X176)*255)</f>
        <v>78</v>
      </c>
      <c r="Y46">
        <f>INT(shadex('Shade - 1'!$D$9,'Shade - 1'!$E$9,'Shade - 1'!$F$9,'Shade - 1'!$D$7,Vertex!Y46,Vertex!Y111,Vertex!Y176,Normal!Y46,Normal!Y111,Normal!Y176)*255)</f>
        <v>67</v>
      </c>
      <c r="Z46">
        <f>INT(shadex('Shade - 1'!$D$9,'Shade - 1'!$E$9,'Shade - 1'!$F$9,'Shade - 1'!$D$7,Vertex!Z46,Vertex!Z111,Vertex!Z176,Normal!Z46,Normal!Z111,Normal!Z176)*255)</f>
        <v>69</v>
      </c>
      <c r="AA46">
        <f>INT(shadex('Shade - 1'!$D$9,'Shade - 1'!$E$9,'Shade - 1'!$F$9,'Shade - 1'!$D$7,Vertex!AA46,Vertex!AA111,Vertex!AA176,Normal!AA46,Normal!AA111,Normal!AA176)*255)</f>
        <v>80</v>
      </c>
      <c r="AB46">
        <f>INT(shadex('Shade - 1'!$D$9,'Shade - 1'!$E$9,'Shade - 1'!$F$9,'Shade - 1'!$D$7,Vertex!AB46,Vertex!AB111,Vertex!AB176,Normal!AB46,Normal!AB111,Normal!AB176)*255)</f>
        <v>75</v>
      </c>
      <c r="AC46">
        <f>INT(shadex('Shade - 1'!$D$9,'Shade - 1'!$E$9,'Shade - 1'!$F$9,'Shade - 1'!$D$7,Vertex!AC46,Vertex!AC111,Vertex!AC176,Normal!AC46,Normal!AC111,Normal!AC176)*255)</f>
        <v>86</v>
      </c>
      <c r="AD46">
        <f>INT(shadex('Shade - 1'!$D$9,'Shade - 1'!$E$9,'Shade - 1'!$F$9,'Shade - 1'!$D$7,Vertex!AD46,Vertex!AD111,Vertex!AD176,Normal!AD46,Normal!AD111,Normal!AD176)*255)</f>
        <v>94</v>
      </c>
      <c r="AE46">
        <f>INT(shadex('Shade - 1'!$D$9,'Shade - 1'!$E$9,'Shade - 1'!$F$9,'Shade - 1'!$D$7,Vertex!AE46,Vertex!AE111,Vertex!AE176,Normal!AE46,Normal!AE111,Normal!AE176)*255)</f>
        <v>98</v>
      </c>
      <c r="AF46">
        <f>INT(shadex('Shade - 1'!$D$9,'Shade - 1'!$E$9,'Shade - 1'!$F$9,'Shade - 1'!$D$7,Vertex!AF46,Vertex!AF111,Vertex!AF176,Normal!AF46,Normal!AF111,Normal!AF176)*255)</f>
        <v>98</v>
      </c>
      <c r="AG46">
        <f>INT(shadex('Shade - 1'!$D$9,'Shade - 1'!$E$9,'Shade - 1'!$F$9,'Shade - 1'!$D$7,Vertex!AG46,Vertex!AG111,Vertex!AG176,Normal!AG46,Normal!AG111,Normal!AG176)*255)</f>
        <v>82</v>
      </c>
      <c r="AH46">
        <f>INT(shadex('Shade - 1'!$D$9,'Shade - 1'!$E$9,'Shade - 1'!$F$9,'Shade - 1'!$D$7,Vertex!AH46,Vertex!AH111,Vertex!AH176,Normal!AH46,Normal!AH111,Normal!AH176)*255)</f>
        <v>78</v>
      </c>
      <c r="AI46" s="4">
        <f>INT(shadex('Shade - 1'!$D$9,'Shade - 1'!$E$9,'Shade - 1'!$F$9,'Shade - 1'!$D$7,Vertex!AI46,Vertex!AI111,Vertex!AI176,Normal!AI46,Normal!AI111,Normal!AI176)*255)</f>
        <v>99</v>
      </c>
      <c r="AJ46" s="4">
        <f>INT(shadex('Shade - 1'!$D$9,'Shade - 1'!$E$9,'Shade - 1'!$F$9,'Shade - 1'!$D$7,Vertex!AJ46,Vertex!AJ111,Vertex!AJ176,Normal!AJ46,Normal!AJ111,Normal!AJ176)*255)</f>
        <v>94</v>
      </c>
      <c r="AK46" s="4">
        <f>INT(shadex('Shade - 1'!$D$9,'Shade - 1'!$E$9,'Shade - 1'!$F$9,'Shade - 1'!$D$7,Vertex!AK46,Vertex!AK111,Vertex!AK176,Normal!AK46,Normal!AK111,Normal!AK176)*255)</f>
        <v>82</v>
      </c>
      <c r="AL46" s="4">
        <f>INT(shadex('Shade - 1'!$D$9,'Shade - 1'!$E$9,'Shade - 1'!$F$9,'Shade - 1'!$D$7,Vertex!AL46,Vertex!AL111,Vertex!AL176,Normal!AL46,Normal!AL111,Normal!AL176)*255)</f>
        <v>72</v>
      </c>
      <c r="AM46" s="4">
        <f>INT(shadex('Shade - 1'!$D$9,'Shade - 1'!$E$9,'Shade - 1'!$F$9,'Shade - 1'!$D$7,Vertex!AM46,Vertex!AM111,Vertex!AM176,Normal!AM46,Normal!AM111,Normal!AM176)*255)</f>
        <v>86</v>
      </c>
      <c r="AN46" s="4">
        <f>INT(shadex('Shade - 1'!$D$9,'Shade - 1'!$E$9,'Shade - 1'!$F$9,'Shade - 1'!$D$7,Vertex!AN46,Vertex!AN111,Vertex!AN176,Normal!AN46,Normal!AN111,Normal!AN176)*255)</f>
        <v>92</v>
      </c>
      <c r="AO46" s="4">
        <f>INT(shadex('Shade - 1'!$D$9,'Shade - 1'!$E$9,'Shade - 1'!$F$9,'Shade - 1'!$D$7,Vertex!AO46,Vertex!AO111,Vertex!AO176,Normal!AO46,Normal!AO111,Normal!AO176)*255)</f>
        <v>95</v>
      </c>
      <c r="AP46" s="4">
        <f>INT(shadex('Shade - 1'!$D$9,'Shade - 1'!$E$9,'Shade - 1'!$F$9,'Shade - 1'!$D$7,Vertex!AP46,Vertex!AP111,Vertex!AP176,Normal!AP46,Normal!AP111,Normal!AP176)*255)</f>
        <v>82</v>
      </c>
      <c r="AQ46" s="4">
        <f>INT(shadex('Shade - 1'!$D$9,'Shade - 1'!$E$9,'Shade - 1'!$F$9,'Shade - 1'!$D$7,Vertex!AQ46,Vertex!AQ111,Vertex!AQ176,Normal!AQ46,Normal!AQ111,Normal!AQ176)*255)</f>
        <v>67</v>
      </c>
      <c r="AR46" s="4">
        <f>INT(shadex('Shade - 1'!$D$9,'Shade - 1'!$E$9,'Shade - 1'!$F$9,'Shade - 1'!$D$7,Vertex!AR46,Vertex!AR111,Vertex!AR176,Normal!AR46,Normal!AR111,Normal!AR176)*255)</f>
        <v>65</v>
      </c>
      <c r="AS46" s="4">
        <f>INT(shadex('Shade - 1'!$D$9,'Shade - 1'!$E$9,'Shade - 1'!$F$9,'Shade - 1'!$D$7,Vertex!AS46,Vertex!AS111,Vertex!AS176,Normal!AS46,Normal!AS111,Normal!AS176)*255)</f>
        <v>73</v>
      </c>
      <c r="AT46" s="4">
        <f>INT(shadex('Shade - 1'!$D$9,'Shade - 1'!$E$9,'Shade - 1'!$F$9,'Shade - 1'!$D$7,Vertex!AT46,Vertex!AT111,Vertex!AT176,Normal!AT46,Normal!AT111,Normal!AT176)*255)</f>
        <v>79</v>
      </c>
      <c r="AU46" s="4">
        <f>INT(shadex('Shade - 1'!$D$9,'Shade - 1'!$E$9,'Shade - 1'!$F$9,'Shade - 1'!$D$7,Vertex!AU46,Vertex!AU111,Vertex!AU176,Normal!AU46,Normal!AU111,Normal!AU176)*255)</f>
        <v>83</v>
      </c>
      <c r="AV46" s="4">
        <f>INT(shadex('Shade - 1'!$D$9,'Shade - 1'!$E$9,'Shade - 1'!$F$9,'Shade - 1'!$D$7,Vertex!AV46,Vertex!AV111,Vertex!AV176,Normal!AV46,Normal!AV111,Normal!AV176)*255)</f>
        <v>90</v>
      </c>
      <c r="AW46" s="4">
        <f>INT(shadex('Shade - 1'!$D$9,'Shade - 1'!$E$9,'Shade - 1'!$F$9,'Shade - 1'!$D$7,Vertex!AW46,Vertex!AW111,Vertex!AW176,Normal!AW46,Normal!AW111,Normal!AW176)*255)</f>
        <v>88</v>
      </c>
      <c r="AX46" s="4">
        <f>INT(shadex('Shade - 1'!$D$9,'Shade - 1'!$E$9,'Shade - 1'!$F$9,'Shade - 1'!$D$7,Vertex!AX46,Vertex!AX111,Vertex!AX176,Normal!AX46,Normal!AX111,Normal!AX176)*255)</f>
        <v>71</v>
      </c>
      <c r="AY46" s="4">
        <f>INT(shadex('Shade - 1'!$D$9,'Shade - 1'!$E$9,'Shade - 1'!$F$9,'Shade - 1'!$D$7,Vertex!AY46,Vertex!AY111,Vertex!AY176,Normal!AY46,Normal!AY111,Normal!AY176)*255)</f>
        <v>67</v>
      </c>
      <c r="AZ46" s="4">
        <f>INT(shadex('Shade - 1'!$D$9,'Shade - 1'!$E$9,'Shade - 1'!$F$9,'Shade - 1'!$D$7,Vertex!AZ46,Vertex!AZ111,Vertex!AZ176,Normal!AZ46,Normal!AZ111,Normal!AZ176)*255)</f>
        <v>58</v>
      </c>
      <c r="BA46" s="4">
        <f>INT(shadex('Shade - 1'!$D$9,'Shade - 1'!$E$9,'Shade - 1'!$F$9,'Shade - 1'!$D$7,Vertex!BA46,Vertex!BA111,Vertex!BA176,Normal!BA46,Normal!BA111,Normal!BA176)*255)</f>
        <v>49</v>
      </c>
      <c r="BB46" s="4">
        <f>INT(shadex('Shade - 1'!$D$9,'Shade - 1'!$E$9,'Shade - 1'!$F$9,'Shade - 1'!$D$7,Vertex!BB46,Vertex!BB111,Vertex!BB176,Normal!BB46,Normal!BB111,Normal!BB176)*255)</f>
        <v>54</v>
      </c>
      <c r="BC46" s="4">
        <f>INT(shadex('Shade - 1'!$D$9,'Shade - 1'!$E$9,'Shade - 1'!$F$9,'Shade - 1'!$D$7,Vertex!BC46,Vertex!BC111,Vertex!BC176,Normal!BC46,Normal!BC111,Normal!BC176)*255)</f>
        <v>59</v>
      </c>
      <c r="BD46" s="4">
        <f>INT(shadex('Shade - 1'!$D$9,'Shade - 1'!$E$9,'Shade - 1'!$F$9,'Shade - 1'!$D$7,Vertex!BD46,Vertex!BD111,Vertex!BD176,Normal!BD46,Normal!BD111,Normal!BD176)*255)</f>
        <v>75</v>
      </c>
      <c r="BE46" s="4">
        <f>INT(shadex('Shade - 1'!$D$9,'Shade - 1'!$E$9,'Shade - 1'!$F$9,'Shade - 1'!$D$7,Vertex!BE46,Vertex!BE111,Vertex!BE176,Normal!BE46,Normal!BE111,Normal!BE176)*255)</f>
        <v>94</v>
      </c>
      <c r="BF46" s="4">
        <f>INT(shadex('Shade - 1'!$D$9,'Shade - 1'!$E$9,'Shade - 1'!$F$9,'Shade - 1'!$D$7,Vertex!BF46,Vertex!BF111,Vertex!BF176,Normal!BF46,Normal!BF111,Normal!BF176)*255)</f>
        <v>92</v>
      </c>
      <c r="BG46" s="4">
        <f>INT(shadex('Shade - 1'!$D$9,'Shade - 1'!$E$9,'Shade - 1'!$F$9,'Shade - 1'!$D$7,Vertex!BG46,Vertex!BG111,Vertex!BG176,Normal!BG46,Normal!BG111,Normal!BG176)*255)</f>
        <v>88</v>
      </c>
      <c r="BH46" s="4">
        <f>INT(shadex('Shade - 1'!$D$9,'Shade - 1'!$E$9,'Shade - 1'!$F$9,'Shade - 1'!$D$7,Vertex!BH46,Vertex!BH111,Vertex!BH176,Normal!BH46,Normal!BH111,Normal!BH176)*255)</f>
        <v>89</v>
      </c>
      <c r="BI46" s="4">
        <f>INT(shadex('Shade - 1'!$D$9,'Shade - 1'!$E$9,'Shade - 1'!$F$9,'Shade - 1'!$D$7,Vertex!BI46,Vertex!BI111,Vertex!BI176,Normal!BI46,Normal!BI111,Normal!BI176)*255)</f>
        <v>92</v>
      </c>
      <c r="BJ46" s="4">
        <f>INT(shadex('Shade - 1'!$D$9,'Shade - 1'!$E$9,'Shade - 1'!$F$9,'Shade - 1'!$D$7,Vertex!BJ46,Vertex!BJ111,Vertex!BJ176,Normal!BJ46,Normal!BJ111,Normal!BJ176)*255)</f>
        <v>83</v>
      </c>
      <c r="BK46" s="4">
        <f>INT(shadex('Shade - 1'!$D$9,'Shade - 1'!$E$9,'Shade - 1'!$F$9,'Shade - 1'!$D$7,Vertex!BK46,Vertex!BK111,Vertex!BK176,Normal!BK46,Normal!BK111,Normal!BK176)*255)</f>
        <v>68</v>
      </c>
      <c r="BL46" s="4">
        <f>INT(shadex('Shade - 1'!$D$9,'Shade - 1'!$E$9,'Shade - 1'!$F$9,'Shade - 1'!$D$7,Vertex!BL46,Vertex!BL111,Vertex!BL176,Normal!BL46,Normal!BL111,Normal!BL176)*255)</f>
        <v>71</v>
      </c>
    </row>
    <row r="47" spans="1:64" x14ac:dyDescent="0.25">
      <c r="A47">
        <f>INT(shadex('Shade - 1'!$D$9,'Shade - 1'!$E$9,'Shade - 1'!$F$9,'Shade - 1'!$D$7,Vertex!A47,Vertex!A112,Vertex!A177,Normal!A47,Normal!A112,Normal!A177)*255)</f>
        <v>0</v>
      </c>
      <c r="B47">
        <f>INT(shadex('Shade - 1'!$D$9,'Shade - 1'!$E$9,'Shade - 1'!$F$9,'Shade - 1'!$D$7,Vertex!B47,Vertex!B112,Vertex!B177,Normal!B47,Normal!B112,Normal!B177)*255)</f>
        <v>0</v>
      </c>
      <c r="C47">
        <f>INT(shadex('Shade - 1'!$D$9,'Shade - 1'!$E$9,'Shade - 1'!$F$9,'Shade - 1'!$D$7,Vertex!C47,Vertex!C112,Vertex!C177,Normal!C47,Normal!C112,Normal!C177)*255)</f>
        <v>36</v>
      </c>
      <c r="D47">
        <f>INT(shadex('Shade - 1'!$D$9,'Shade - 1'!$E$9,'Shade - 1'!$F$9,'Shade - 1'!$D$7,Vertex!D47,Vertex!D112,Vertex!D177,Normal!D47,Normal!D112,Normal!D177)*255)</f>
        <v>54</v>
      </c>
      <c r="E47">
        <f>INT(shadex('Shade - 1'!$D$9,'Shade - 1'!$E$9,'Shade - 1'!$F$9,'Shade - 1'!$D$7,Vertex!E47,Vertex!E112,Vertex!E177,Normal!E47,Normal!E112,Normal!E177)*255)</f>
        <v>52</v>
      </c>
      <c r="F47">
        <f>INT(shadex('Shade - 1'!$D$9,'Shade - 1'!$E$9,'Shade - 1'!$F$9,'Shade - 1'!$D$7,Vertex!F47,Vertex!F112,Vertex!F177,Normal!F47,Normal!F112,Normal!F177)*255)</f>
        <v>40</v>
      </c>
      <c r="G47">
        <f>INT(shadex('Shade - 1'!$D$9,'Shade - 1'!$E$9,'Shade - 1'!$F$9,'Shade - 1'!$D$7,Vertex!G47,Vertex!G112,Vertex!G177,Normal!G47,Normal!G112,Normal!G177)*255)</f>
        <v>41</v>
      </c>
      <c r="H47">
        <f>INT(shadex('Shade - 1'!$D$9,'Shade - 1'!$E$9,'Shade - 1'!$F$9,'Shade - 1'!$D$7,Vertex!H47,Vertex!H112,Vertex!H177,Normal!H47,Normal!H112,Normal!H177)*255)</f>
        <v>29</v>
      </c>
      <c r="I47">
        <f>INT(shadex('Shade - 1'!$D$9,'Shade - 1'!$E$9,'Shade - 1'!$F$9,'Shade - 1'!$D$7,Vertex!I47,Vertex!I112,Vertex!I177,Normal!I47,Normal!I112,Normal!I177)*255)</f>
        <v>0</v>
      </c>
      <c r="J47">
        <f>INT(shadex('Shade - 1'!$D$9,'Shade - 1'!$E$9,'Shade - 1'!$F$9,'Shade - 1'!$D$7,Vertex!J47,Vertex!J112,Vertex!J177,Normal!J47,Normal!J112,Normal!J177)*255)</f>
        <v>0</v>
      </c>
      <c r="K47">
        <f>INT(shadex('Shade - 1'!$D$9,'Shade - 1'!$E$9,'Shade - 1'!$F$9,'Shade - 1'!$D$7,Vertex!K47,Vertex!K112,Vertex!K177,Normal!K47,Normal!K112,Normal!K177)*255)</f>
        <v>0</v>
      </c>
      <c r="L47">
        <f>INT(shadex('Shade - 1'!$D$9,'Shade - 1'!$E$9,'Shade - 1'!$F$9,'Shade - 1'!$D$7,Vertex!L47,Vertex!L112,Vertex!L177,Normal!L47,Normal!L112,Normal!L177)*255)</f>
        <v>0</v>
      </c>
      <c r="M47">
        <f>INT(shadex('Shade - 1'!$D$9,'Shade - 1'!$E$9,'Shade - 1'!$F$9,'Shade - 1'!$D$7,Vertex!M47,Vertex!M112,Vertex!M177,Normal!M47,Normal!M112,Normal!M177)*255)</f>
        <v>26</v>
      </c>
      <c r="N47">
        <f>INT(shadex('Shade - 1'!$D$9,'Shade - 1'!$E$9,'Shade - 1'!$F$9,'Shade - 1'!$D$7,Vertex!N47,Vertex!N112,Vertex!N177,Normal!N47,Normal!N112,Normal!N177)*255)</f>
        <v>0</v>
      </c>
      <c r="O47">
        <f>INT(shadex('Shade - 1'!$D$9,'Shade - 1'!$E$9,'Shade - 1'!$F$9,'Shade - 1'!$D$7,Vertex!O47,Vertex!O112,Vertex!O177,Normal!O47,Normal!O112,Normal!O177)*255)</f>
        <v>0</v>
      </c>
      <c r="P47">
        <f>INT(shadex('Shade - 1'!$D$9,'Shade - 1'!$E$9,'Shade - 1'!$F$9,'Shade - 1'!$D$7,Vertex!P47,Vertex!P112,Vertex!P177,Normal!P47,Normal!P112,Normal!P177)*255)</f>
        <v>29</v>
      </c>
      <c r="Q47">
        <f>INT(shadex('Shade - 1'!$D$9,'Shade - 1'!$E$9,'Shade - 1'!$F$9,'Shade - 1'!$D$7,Vertex!Q47,Vertex!Q112,Vertex!Q177,Normal!Q47,Normal!Q112,Normal!Q177)*255)</f>
        <v>37</v>
      </c>
      <c r="R47">
        <f>INT(shadex('Shade - 1'!$D$9,'Shade - 1'!$E$9,'Shade - 1'!$F$9,'Shade - 1'!$D$7,Vertex!R47,Vertex!R112,Vertex!R177,Normal!R47,Normal!R112,Normal!R177)*255)</f>
        <v>58</v>
      </c>
      <c r="S47">
        <f>INT(shadex('Shade - 1'!$D$9,'Shade - 1'!$E$9,'Shade - 1'!$F$9,'Shade - 1'!$D$7,Vertex!S47,Vertex!S112,Vertex!S177,Normal!S47,Normal!S112,Normal!S177)*255)</f>
        <v>68</v>
      </c>
      <c r="T47">
        <f>INT(shadex('Shade - 1'!$D$9,'Shade - 1'!$E$9,'Shade - 1'!$F$9,'Shade - 1'!$D$7,Vertex!T47,Vertex!T112,Vertex!T177,Normal!T47,Normal!T112,Normal!T177)*255)</f>
        <v>59</v>
      </c>
      <c r="U47">
        <f>INT(shadex('Shade - 1'!$D$9,'Shade - 1'!$E$9,'Shade - 1'!$F$9,'Shade - 1'!$D$7,Vertex!U47,Vertex!U112,Vertex!U177,Normal!U47,Normal!U112,Normal!U177)*255)</f>
        <v>58</v>
      </c>
      <c r="V47">
        <f>INT(shadex('Shade - 1'!$D$9,'Shade - 1'!$E$9,'Shade - 1'!$F$9,'Shade - 1'!$D$7,Vertex!V47,Vertex!V112,Vertex!V177,Normal!V47,Normal!V112,Normal!V177)*255)</f>
        <v>72</v>
      </c>
      <c r="W47">
        <f>INT(shadex('Shade - 1'!$D$9,'Shade - 1'!$E$9,'Shade - 1'!$F$9,'Shade - 1'!$D$7,Vertex!W47,Vertex!W112,Vertex!W177,Normal!W47,Normal!W112,Normal!W177)*255)</f>
        <v>89</v>
      </c>
      <c r="X47">
        <f>INT(shadex('Shade - 1'!$D$9,'Shade - 1'!$E$9,'Shade - 1'!$F$9,'Shade - 1'!$D$7,Vertex!X47,Vertex!X112,Vertex!X177,Normal!X47,Normal!X112,Normal!X177)*255)</f>
        <v>95</v>
      </c>
      <c r="Y47">
        <f>INT(shadex('Shade - 1'!$D$9,'Shade - 1'!$E$9,'Shade - 1'!$F$9,'Shade - 1'!$D$7,Vertex!Y47,Vertex!Y112,Vertex!Y177,Normal!Y47,Normal!Y112,Normal!Y177)*255)</f>
        <v>85</v>
      </c>
      <c r="Z47">
        <f>INT(shadex('Shade - 1'!$D$9,'Shade - 1'!$E$9,'Shade - 1'!$F$9,'Shade - 1'!$D$7,Vertex!Z47,Vertex!Z112,Vertex!Z177,Normal!Z47,Normal!Z112,Normal!Z177)*255)</f>
        <v>80</v>
      </c>
      <c r="AA47">
        <f>INT(shadex('Shade - 1'!$D$9,'Shade - 1'!$E$9,'Shade - 1'!$F$9,'Shade - 1'!$D$7,Vertex!AA47,Vertex!AA112,Vertex!AA177,Normal!AA47,Normal!AA112,Normal!AA177)*255)</f>
        <v>79</v>
      </c>
      <c r="AB47">
        <f>INT(shadex('Shade - 1'!$D$9,'Shade - 1'!$E$9,'Shade - 1'!$F$9,'Shade - 1'!$D$7,Vertex!AB47,Vertex!AB112,Vertex!AB177,Normal!AB47,Normal!AB112,Normal!AB177)*255)</f>
        <v>61</v>
      </c>
      <c r="AC47">
        <f>INT(shadex('Shade - 1'!$D$9,'Shade - 1'!$E$9,'Shade - 1'!$F$9,'Shade - 1'!$D$7,Vertex!AC47,Vertex!AC112,Vertex!AC177,Normal!AC47,Normal!AC112,Normal!AC177)*255)</f>
        <v>84</v>
      </c>
      <c r="AD47">
        <f>INT(shadex('Shade - 1'!$D$9,'Shade - 1'!$E$9,'Shade - 1'!$F$9,'Shade - 1'!$D$7,Vertex!AD47,Vertex!AD112,Vertex!AD177,Normal!AD47,Normal!AD112,Normal!AD177)*255)</f>
        <v>98</v>
      </c>
      <c r="AE47">
        <f>INT(shadex('Shade - 1'!$D$9,'Shade - 1'!$E$9,'Shade - 1'!$F$9,'Shade - 1'!$D$7,Vertex!AE47,Vertex!AE112,Vertex!AE177,Normal!AE47,Normal!AE112,Normal!AE177)*255)</f>
        <v>97</v>
      </c>
      <c r="AF47">
        <f>INT(shadex('Shade - 1'!$D$9,'Shade - 1'!$E$9,'Shade - 1'!$F$9,'Shade - 1'!$D$7,Vertex!AF47,Vertex!AF112,Vertex!AF177,Normal!AF47,Normal!AF112,Normal!AF177)*255)</f>
        <v>88</v>
      </c>
      <c r="AG47">
        <f>INT(shadex('Shade - 1'!$D$9,'Shade - 1'!$E$9,'Shade - 1'!$F$9,'Shade - 1'!$D$7,Vertex!AG47,Vertex!AG112,Vertex!AG177,Normal!AG47,Normal!AG112,Normal!AG177)*255)</f>
        <v>81</v>
      </c>
      <c r="AH47">
        <f>INT(shadex('Shade - 1'!$D$9,'Shade - 1'!$E$9,'Shade - 1'!$F$9,'Shade - 1'!$D$7,Vertex!AH47,Vertex!AH112,Vertex!AH177,Normal!AH47,Normal!AH112,Normal!AH177)*255)</f>
        <v>96</v>
      </c>
      <c r="AI47" s="4">
        <f>INT(shadex('Shade - 1'!$D$9,'Shade - 1'!$E$9,'Shade - 1'!$F$9,'Shade - 1'!$D$7,Vertex!AI47,Vertex!AI112,Vertex!AI177,Normal!AI47,Normal!AI112,Normal!AI177)*255)</f>
        <v>99</v>
      </c>
      <c r="AJ47" s="4">
        <f>INT(shadex('Shade - 1'!$D$9,'Shade - 1'!$E$9,'Shade - 1'!$F$9,'Shade - 1'!$D$7,Vertex!AJ47,Vertex!AJ112,Vertex!AJ177,Normal!AJ47,Normal!AJ112,Normal!AJ177)*255)</f>
        <v>94</v>
      </c>
      <c r="AK47" s="4">
        <f>INT(shadex('Shade - 1'!$D$9,'Shade - 1'!$E$9,'Shade - 1'!$F$9,'Shade - 1'!$D$7,Vertex!AK47,Vertex!AK112,Vertex!AK177,Normal!AK47,Normal!AK112,Normal!AK177)*255)</f>
        <v>92</v>
      </c>
      <c r="AL47" s="4">
        <f>INT(shadex('Shade - 1'!$D$9,'Shade - 1'!$E$9,'Shade - 1'!$F$9,'Shade - 1'!$D$7,Vertex!AL47,Vertex!AL112,Vertex!AL177,Normal!AL47,Normal!AL112,Normal!AL177)*255)</f>
        <v>76</v>
      </c>
      <c r="AM47" s="4">
        <f>INT(shadex('Shade - 1'!$D$9,'Shade - 1'!$E$9,'Shade - 1'!$F$9,'Shade - 1'!$D$7,Vertex!AM47,Vertex!AM112,Vertex!AM177,Normal!AM47,Normal!AM112,Normal!AM177)*255)</f>
        <v>89</v>
      </c>
      <c r="AN47" s="4">
        <f>INT(shadex('Shade - 1'!$D$9,'Shade - 1'!$E$9,'Shade - 1'!$F$9,'Shade - 1'!$D$7,Vertex!AN47,Vertex!AN112,Vertex!AN177,Normal!AN47,Normal!AN112,Normal!AN177)*255)</f>
        <v>92</v>
      </c>
      <c r="AO47" s="4">
        <f>INT(shadex('Shade - 1'!$D$9,'Shade - 1'!$E$9,'Shade - 1'!$F$9,'Shade - 1'!$D$7,Vertex!AO47,Vertex!AO112,Vertex!AO177,Normal!AO47,Normal!AO112,Normal!AO177)*255)</f>
        <v>91</v>
      </c>
      <c r="AP47" s="4">
        <f>INT(shadex('Shade - 1'!$D$9,'Shade - 1'!$E$9,'Shade - 1'!$F$9,'Shade - 1'!$D$7,Vertex!AP47,Vertex!AP112,Vertex!AP177,Normal!AP47,Normal!AP112,Normal!AP177)*255)</f>
        <v>85</v>
      </c>
      <c r="AQ47" s="4">
        <f>INT(shadex('Shade - 1'!$D$9,'Shade - 1'!$E$9,'Shade - 1'!$F$9,'Shade - 1'!$D$7,Vertex!AQ47,Vertex!AQ112,Vertex!AQ177,Normal!AQ47,Normal!AQ112,Normal!AQ177)*255)</f>
        <v>73</v>
      </c>
      <c r="AR47" s="4">
        <f>INT(shadex('Shade - 1'!$D$9,'Shade - 1'!$E$9,'Shade - 1'!$F$9,'Shade - 1'!$D$7,Vertex!AR47,Vertex!AR112,Vertex!AR177,Normal!AR47,Normal!AR112,Normal!AR177)*255)</f>
        <v>71</v>
      </c>
      <c r="AS47" s="4">
        <f>INT(shadex('Shade - 1'!$D$9,'Shade - 1'!$E$9,'Shade - 1'!$F$9,'Shade - 1'!$D$7,Vertex!AS47,Vertex!AS112,Vertex!AS177,Normal!AS47,Normal!AS112,Normal!AS177)*255)</f>
        <v>71</v>
      </c>
      <c r="AT47" s="4">
        <f>INT(shadex('Shade - 1'!$D$9,'Shade - 1'!$E$9,'Shade - 1'!$F$9,'Shade - 1'!$D$7,Vertex!AT47,Vertex!AT112,Vertex!AT177,Normal!AT47,Normal!AT112,Normal!AT177)*255)</f>
        <v>68</v>
      </c>
      <c r="AU47" s="4">
        <f>INT(shadex('Shade - 1'!$D$9,'Shade - 1'!$E$9,'Shade - 1'!$F$9,'Shade - 1'!$D$7,Vertex!AU47,Vertex!AU112,Vertex!AU177,Normal!AU47,Normal!AU112,Normal!AU177)*255)</f>
        <v>68</v>
      </c>
      <c r="AV47" s="4">
        <f>INT(shadex('Shade - 1'!$D$9,'Shade - 1'!$E$9,'Shade - 1'!$F$9,'Shade - 1'!$D$7,Vertex!AV47,Vertex!AV112,Vertex!AV177,Normal!AV47,Normal!AV112,Normal!AV177)*255)</f>
        <v>76</v>
      </c>
      <c r="AW47" s="4">
        <f>INT(shadex('Shade - 1'!$D$9,'Shade - 1'!$E$9,'Shade - 1'!$F$9,'Shade - 1'!$D$7,Vertex!AW47,Vertex!AW112,Vertex!AW177,Normal!AW47,Normal!AW112,Normal!AW177)*255)</f>
        <v>82</v>
      </c>
      <c r="AX47" s="4">
        <f>INT(shadex('Shade - 1'!$D$9,'Shade - 1'!$E$9,'Shade - 1'!$F$9,'Shade - 1'!$D$7,Vertex!AX47,Vertex!AX112,Vertex!AX177,Normal!AX47,Normal!AX112,Normal!AX177)*255)</f>
        <v>69</v>
      </c>
      <c r="AY47" s="4">
        <f>INT(shadex('Shade - 1'!$D$9,'Shade - 1'!$E$9,'Shade - 1'!$F$9,'Shade - 1'!$D$7,Vertex!AY47,Vertex!AY112,Vertex!AY177,Normal!AY47,Normal!AY112,Normal!AY177)*255)</f>
        <v>64</v>
      </c>
      <c r="AZ47" s="4">
        <f>INT(shadex('Shade - 1'!$D$9,'Shade - 1'!$E$9,'Shade - 1'!$F$9,'Shade - 1'!$D$7,Vertex!AZ47,Vertex!AZ112,Vertex!AZ177,Normal!AZ47,Normal!AZ112,Normal!AZ177)*255)</f>
        <v>72</v>
      </c>
      <c r="BA47" s="4">
        <f>INT(shadex('Shade - 1'!$D$9,'Shade - 1'!$E$9,'Shade - 1'!$F$9,'Shade - 1'!$D$7,Vertex!BA47,Vertex!BA112,Vertex!BA177,Normal!BA47,Normal!BA112,Normal!BA177)*255)</f>
        <v>70</v>
      </c>
      <c r="BB47" s="4">
        <f>INT(shadex('Shade - 1'!$D$9,'Shade - 1'!$E$9,'Shade - 1'!$F$9,'Shade - 1'!$D$7,Vertex!BB47,Vertex!BB112,Vertex!BB177,Normal!BB47,Normal!BB112,Normal!BB177)*255)</f>
        <v>66</v>
      </c>
      <c r="BC47" s="4">
        <f>INT(shadex('Shade - 1'!$D$9,'Shade - 1'!$E$9,'Shade - 1'!$F$9,'Shade - 1'!$D$7,Vertex!BC47,Vertex!BC112,Vertex!BC177,Normal!BC47,Normal!BC112,Normal!BC177)*255)</f>
        <v>63</v>
      </c>
      <c r="BD47" s="4">
        <f>INT(shadex('Shade - 1'!$D$9,'Shade - 1'!$E$9,'Shade - 1'!$F$9,'Shade - 1'!$D$7,Vertex!BD47,Vertex!BD112,Vertex!BD177,Normal!BD47,Normal!BD112,Normal!BD177)*255)</f>
        <v>60</v>
      </c>
      <c r="BE47" s="4">
        <f>INT(shadex('Shade - 1'!$D$9,'Shade - 1'!$E$9,'Shade - 1'!$F$9,'Shade - 1'!$D$7,Vertex!BE47,Vertex!BE112,Vertex!BE177,Normal!BE47,Normal!BE112,Normal!BE177)*255)</f>
        <v>84</v>
      </c>
      <c r="BF47" s="4">
        <f>INT(shadex('Shade - 1'!$D$9,'Shade - 1'!$E$9,'Shade - 1'!$F$9,'Shade - 1'!$D$7,Vertex!BF47,Vertex!BF112,Vertex!BF177,Normal!BF47,Normal!BF112,Normal!BF177)*255)</f>
        <v>91</v>
      </c>
      <c r="BG47" s="4">
        <f>INT(shadex('Shade - 1'!$D$9,'Shade - 1'!$E$9,'Shade - 1'!$F$9,'Shade - 1'!$D$7,Vertex!BG47,Vertex!BG112,Vertex!BG177,Normal!BG47,Normal!BG112,Normal!BG177)*255)</f>
        <v>92</v>
      </c>
      <c r="BH47" s="4">
        <f>INT(shadex('Shade - 1'!$D$9,'Shade - 1'!$E$9,'Shade - 1'!$F$9,'Shade - 1'!$D$7,Vertex!BH47,Vertex!BH112,Vertex!BH177,Normal!BH47,Normal!BH112,Normal!BH177)*255)</f>
        <v>91</v>
      </c>
      <c r="BI47" s="4">
        <f>INT(shadex('Shade - 1'!$D$9,'Shade - 1'!$E$9,'Shade - 1'!$F$9,'Shade - 1'!$D$7,Vertex!BI47,Vertex!BI112,Vertex!BI177,Normal!BI47,Normal!BI112,Normal!BI177)*255)</f>
        <v>89</v>
      </c>
      <c r="BJ47" s="4">
        <f>INT(shadex('Shade - 1'!$D$9,'Shade - 1'!$E$9,'Shade - 1'!$F$9,'Shade - 1'!$D$7,Vertex!BJ47,Vertex!BJ112,Vertex!BJ177,Normal!BJ47,Normal!BJ112,Normal!BJ177)*255)</f>
        <v>87</v>
      </c>
      <c r="BK47" s="4">
        <f>INT(shadex('Shade - 1'!$D$9,'Shade - 1'!$E$9,'Shade - 1'!$F$9,'Shade - 1'!$D$7,Vertex!BK47,Vertex!BK112,Vertex!BK177,Normal!BK47,Normal!BK112,Normal!BK177)*255)</f>
        <v>80</v>
      </c>
      <c r="BL47" s="4">
        <f>INT(shadex('Shade - 1'!$D$9,'Shade - 1'!$E$9,'Shade - 1'!$F$9,'Shade - 1'!$D$7,Vertex!BL47,Vertex!BL112,Vertex!BL177,Normal!BL47,Normal!BL112,Normal!BL177)*255)</f>
        <v>77</v>
      </c>
    </row>
    <row r="48" spans="1:64" x14ac:dyDescent="0.25">
      <c r="A48">
        <f>INT(shadex('Shade - 1'!$D$9,'Shade - 1'!$E$9,'Shade - 1'!$F$9,'Shade - 1'!$D$7,Vertex!A48,Vertex!A113,Vertex!A178,Normal!A48,Normal!A113,Normal!A178)*255)</f>
        <v>0</v>
      </c>
      <c r="B48">
        <f>INT(shadex('Shade - 1'!$D$9,'Shade - 1'!$E$9,'Shade - 1'!$F$9,'Shade - 1'!$D$7,Vertex!B48,Vertex!B113,Vertex!B178,Normal!B48,Normal!B113,Normal!B178)*255)</f>
        <v>0</v>
      </c>
      <c r="C48">
        <f>INT(shadex('Shade - 1'!$D$9,'Shade - 1'!$E$9,'Shade - 1'!$F$9,'Shade - 1'!$D$7,Vertex!C48,Vertex!C113,Vertex!C178,Normal!C48,Normal!C113,Normal!C178)*255)</f>
        <v>0</v>
      </c>
      <c r="D48">
        <f>INT(shadex('Shade - 1'!$D$9,'Shade - 1'!$E$9,'Shade - 1'!$F$9,'Shade - 1'!$D$7,Vertex!D48,Vertex!D113,Vertex!D178,Normal!D48,Normal!D113,Normal!D178)*255)</f>
        <v>52</v>
      </c>
      <c r="E48">
        <f>INT(shadex('Shade - 1'!$D$9,'Shade - 1'!$E$9,'Shade - 1'!$F$9,'Shade - 1'!$D$7,Vertex!E48,Vertex!E113,Vertex!E178,Normal!E48,Normal!E113,Normal!E178)*255)</f>
        <v>67</v>
      </c>
      <c r="F48">
        <f>INT(shadex('Shade - 1'!$D$9,'Shade - 1'!$E$9,'Shade - 1'!$F$9,'Shade - 1'!$D$7,Vertex!F48,Vertex!F113,Vertex!F178,Normal!F48,Normal!F113,Normal!F178)*255)</f>
        <v>61</v>
      </c>
      <c r="G48">
        <f>INT(shadex('Shade - 1'!$D$9,'Shade - 1'!$E$9,'Shade - 1'!$F$9,'Shade - 1'!$D$7,Vertex!G48,Vertex!G113,Vertex!G178,Normal!G48,Normal!G113,Normal!G178)*255)</f>
        <v>70</v>
      </c>
      <c r="H48">
        <f>INT(shadex('Shade - 1'!$D$9,'Shade - 1'!$E$9,'Shade - 1'!$F$9,'Shade - 1'!$D$7,Vertex!H48,Vertex!H113,Vertex!H178,Normal!H48,Normal!H113,Normal!H178)*255)</f>
        <v>49</v>
      </c>
      <c r="I48">
        <f>INT(shadex('Shade - 1'!$D$9,'Shade - 1'!$E$9,'Shade - 1'!$F$9,'Shade - 1'!$D$7,Vertex!I48,Vertex!I113,Vertex!I178,Normal!I48,Normal!I113,Normal!I178)*255)</f>
        <v>0</v>
      </c>
      <c r="J48">
        <f>INT(shadex('Shade - 1'!$D$9,'Shade - 1'!$E$9,'Shade - 1'!$F$9,'Shade - 1'!$D$7,Vertex!J48,Vertex!J113,Vertex!J178,Normal!J48,Normal!J113,Normal!J178)*255)</f>
        <v>0</v>
      </c>
      <c r="K48">
        <f>INT(shadex('Shade - 1'!$D$9,'Shade - 1'!$E$9,'Shade - 1'!$F$9,'Shade - 1'!$D$7,Vertex!K48,Vertex!K113,Vertex!K178,Normal!K48,Normal!K113,Normal!K178)*255)</f>
        <v>0</v>
      </c>
      <c r="L48">
        <f>INT(shadex('Shade - 1'!$D$9,'Shade - 1'!$E$9,'Shade - 1'!$F$9,'Shade - 1'!$D$7,Vertex!L48,Vertex!L113,Vertex!L178,Normal!L48,Normal!L113,Normal!L178)*255)</f>
        <v>0</v>
      </c>
      <c r="M48">
        <f>INT(shadex('Shade - 1'!$D$9,'Shade - 1'!$E$9,'Shade - 1'!$F$9,'Shade - 1'!$D$7,Vertex!M48,Vertex!M113,Vertex!M178,Normal!M48,Normal!M113,Normal!M178)*255)</f>
        <v>0</v>
      </c>
      <c r="N48">
        <f>INT(shadex('Shade - 1'!$D$9,'Shade - 1'!$E$9,'Shade - 1'!$F$9,'Shade - 1'!$D$7,Vertex!N48,Vertex!N113,Vertex!N178,Normal!N48,Normal!N113,Normal!N178)*255)</f>
        <v>0</v>
      </c>
      <c r="O48">
        <f>INT(shadex('Shade - 1'!$D$9,'Shade - 1'!$E$9,'Shade - 1'!$F$9,'Shade - 1'!$D$7,Vertex!O48,Vertex!O113,Vertex!O178,Normal!O48,Normal!O113,Normal!O178)*255)</f>
        <v>0</v>
      </c>
      <c r="P48">
        <f>INT(shadex('Shade - 1'!$D$9,'Shade - 1'!$E$9,'Shade - 1'!$F$9,'Shade - 1'!$D$7,Vertex!P48,Vertex!P113,Vertex!P178,Normal!P48,Normal!P113,Normal!P178)*255)</f>
        <v>0</v>
      </c>
      <c r="Q48">
        <f>INT(shadex('Shade - 1'!$D$9,'Shade - 1'!$E$9,'Shade - 1'!$F$9,'Shade - 1'!$D$7,Vertex!Q48,Vertex!Q113,Vertex!Q178,Normal!Q48,Normal!Q113,Normal!Q178)*255)</f>
        <v>31</v>
      </c>
      <c r="R48">
        <f>INT(shadex('Shade - 1'!$D$9,'Shade - 1'!$E$9,'Shade - 1'!$F$9,'Shade - 1'!$D$7,Vertex!R48,Vertex!R113,Vertex!R178,Normal!R48,Normal!R113,Normal!R178)*255)</f>
        <v>55</v>
      </c>
      <c r="S48">
        <f>INT(shadex('Shade - 1'!$D$9,'Shade - 1'!$E$9,'Shade - 1'!$F$9,'Shade - 1'!$D$7,Vertex!S48,Vertex!S113,Vertex!S178,Normal!S48,Normal!S113,Normal!S178)*255)</f>
        <v>69</v>
      </c>
      <c r="T48">
        <f>INT(shadex('Shade - 1'!$D$9,'Shade - 1'!$E$9,'Shade - 1'!$F$9,'Shade - 1'!$D$7,Vertex!T48,Vertex!T113,Vertex!T178,Normal!T48,Normal!T113,Normal!T178)*255)</f>
        <v>77</v>
      </c>
      <c r="U48">
        <f>INT(shadex('Shade - 1'!$D$9,'Shade - 1'!$E$9,'Shade - 1'!$F$9,'Shade - 1'!$D$7,Vertex!U48,Vertex!U113,Vertex!U178,Normal!U48,Normal!U113,Normal!U178)*255)</f>
        <v>63</v>
      </c>
      <c r="V48">
        <f>INT(shadex('Shade - 1'!$D$9,'Shade - 1'!$E$9,'Shade - 1'!$F$9,'Shade - 1'!$D$7,Vertex!V48,Vertex!V113,Vertex!V178,Normal!V48,Normal!V113,Normal!V178)*255)</f>
        <v>53</v>
      </c>
      <c r="W48">
        <f>INT(shadex('Shade - 1'!$D$9,'Shade - 1'!$E$9,'Shade - 1'!$F$9,'Shade - 1'!$D$7,Vertex!W48,Vertex!W113,Vertex!W178,Normal!W48,Normal!W113,Normal!W178)*255)</f>
        <v>69</v>
      </c>
      <c r="X48">
        <f>INT(shadex('Shade - 1'!$D$9,'Shade - 1'!$E$9,'Shade - 1'!$F$9,'Shade - 1'!$D$7,Vertex!X48,Vertex!X113,Vertex!X178,Normal!X48,Normal!X113,Normal!X178)*255)</f>
        <v>87</v>
      </c>
      <c r="Y48">
        <f>INT(shadex('Shade - 1'!$D$9,'Shade - 1'!$E$9,'Shade - 1'!$F$9,'Shade - 1'!$D$7,Vertex!Y48,Vertex!Y113,Vertex!Y178,Normal!Y48,Normal!Y113,Normal!Y178)*255)</f>
        <v>84</v>
      </c>
      <c r="Z48">
        <f>INT(shadex('Shade - 1'!$D$9,'Shade - 1'!$E$9,'Shade - 1'!$F$9,'Shade - 1'!$D$7,Vertex!Z48,Vertex!Z113,Vertex!Z178,Normal!Z48,Normal!Z113,Normal!Z178)*255)</f>
        <v>83</v>
      </c>
      <c r="AA48">
        <f>INT(shadex('Shade - 1'!$D$9,'Shade - 1'!$E$9,'Shade - 1'!$F$9,'Shade - 1'!$D$7,Vertex!AA48,Vertex!AA113,Vertex!AA178,Normal!AA48,Normal!AA113,Normal!AA178)*255)</f>
        <v>86</v>
      </c>
      <c r="AB48">
        <f>INT(shadex('Shade - 1'!$D$9,'Shade - 1'!$E$9,'Shade - 1'!$F$9,'Shade - 1'!$D$7,Vertex!AB48,Vertex!AB113,Vertex!AB178,Normal!AB48,Normal!AB113,Normal!AB178)*255)</f>
        <v>64</v>
      </c>
      <c r="AC48">
        <f>INT(shadex('Shade - 1'!$D$9,'Shade - 1'!$E$9,'Shade - 1'!$F$9,'Shade - 1'!$D$7,Vertex!AC48,Vertex!AC113,Vertex!AC178,Normal!AC48,Normal!AC113,Normal!AC178)*255)</f>
        <v>76</v>
      </c>
      <c r="AD48">
        <f>INT(shadex('Shade - 1'!$D$9,'Shade - 1'!$E$9,'Shade - 1'!$F$9,'Shade - 1'!$D$7,Vertex!AD48,Vertex!AD113,Vertex!AD178,Normal!AD48,Normal!AD113,Normal!AD178)*255)</f>
        <v>99</v>
      </c>
      <c r="AE48">
        <f>INT(shadex('Shade - 1'!$D$9,'Shade - 1'!$E$9,'Shade - 1'!$F$9,'Shade - 1'!$D$7,Vertex!AE48,Vertex!AE113,Vertex!AE178,Normal!AE48,Normal!AE113,Normal!AE178)*255)</f>
        <v>94</v>
      </c>
      <c r="AF48">
        <f>INT(shadex('Shade - 1'!$D$9,'Shade - 1'!$E$9,'Shade - 1'!$F$9,'Shade - 1'!$D$7,Vertex!AF48,Vertex!AF113,Vertex!AF178,Normal!AF48,Normal!AF113,Normal!AF178)*255)</f>
        <v>70</v>
      </c>
      <c r="AG48">
        <f>INT(shadex('Shade - 1'!$D$9,'Shade - 1'!$E$9,'Shade - 1'!$F$9,'Shade - 1'!$D$7,Vertex!AG48,Vertex!AG113,Vertex!AG178,Normal!AG48,Normal!AG113,Normal!AG178)*255)</f>
        <v>87</v>
      </c>
      <c r="AH48">
        <f>INT(shadex('Shade - 1'!$D$9,'Shade - 1'!$E$9,'Shade - 1'!$F$9,'Shade - 1'!$D$7,Vertex!AH48,Vertex!AH113,Vertex!AH178,Normal!AH48,Normal!AH113,Normal!AH178)*255)</f>
        <v>100</v>
      </c>
      <c r="AI48" s="4">
        <f>INT(shadex('Shade - 1'!$D$9,'Shade - 1'!$E$9,'Shade - 1'!$F$9,'Shade - 1'!$D$7,Vertex!AI48,Vertex!AI113,Vertex!AI178,Normal!AI48,Normal!AI113,Normal!AI178)*255)</f>
        <v>96</v>
      </c>
      <c r="AJ48" s="4">
        <f>INT(shadex('Shade - 1'!$D$9,'Shade - 1'!$E$9,'Shade - 1'!$F$9,'Shade - 1'!$D$7,Vertex!AJ48,Vertex!AJ113,Vertex!AJ178,Normal!AJ48,Normal!AJ113,Normal!AJ178)*255)</f>
        <v>95</v>
      </c>
      <c r="AK48" s="4">
        <f>INT(shadex('Shade - 1'!$D$9,'Shade - 1'!$E$9,'Shade - 1'!$F$9,'Shade - 1'!$D$7,Vertex!AK48,Vertex!AK113,Vertex!AK178,Normal!AK48,Normal!AK113,Normal!AK178)*255)</f>
        <v>94</v>
      </c>
      <c r="AL48" s="4">
        <f>INT(shadex('Shade - 1'!$D$9,'Shade - 1'!$E$9,'Shade - 1'!$F$9,'Shade - 1'!$D$7,Vertex!AL48,Vertex!AL113,Vertex!AL178,Normal!AL48,Normal!AL113,Normal!AL178)*255)</f>
        <v>79</v>
      </c>
      <c r="AM48" s="4">
        <f>INT(shadex('Shade - 1'!$D$9,'Shade - 1'!$E$9,'Shade - 1'!$F$9,'Shade - 1'!$D$7,Vertex!AM48,Vertex!AM113,Vertex!AM178,Normal!AM48,Normal!AM113,Normal!AM178)*255)</f>
        <v>75</v>
      </c>
      <c r="AN48" s="4">
        <f>INT(shadex('Shade - 1'!$D$9,'Shade - 1'!$E$9,'Shade - 1'!$F$9,'Shade - 1'!$D$7,Vertex!AN48,Vertex!AN113,Vertex!AN178,Normal!AN48,Normal!AN113,Normal!AN178)*255)</f>
        <v>72</v>
      </c>
      <c r="AO48" s="4">
        <f>INT(shadex('Shade - 1'!$D$9,'Shade - 1'!$E$9,'Shade - 1'!$F$9,'Shade - 1'!$D$7,Vertex!AO48,Vertex!AO113,Vertex!AO178,Normal!AO48,Normal!AO113,Normal!AO178)*255)</f>
        <v>71</v>
      </c>
      <c r="AP48" s="4">
        <f>INT(shadex('Shade - 1'!$D$9,'Shade - 1'!$E$9,'Shade - 1'!$F$9,'Shade - 1'!$D$7,Vertex!AP48,Vertex!AP113,Vertex!AP178,Normal!AP48,Normal!AP113,Normal!AP178)*255)</f>
        <v>70</v>
      </c>
      <c r="AQ48" s="4">
        <f>INT(shadex('Shade - 1'!$D$9,'Shade - 1'!$E$9,'Shade - 1'!$F$9,'Shade - 1'!$D$7,Vertex!AQ48,Vertex!AQ113,Vertex!AQ178,Normal!AQ48,Normal!AQ113,Normal!AQ178)*255)</f>
        <v>68</v>
      </c>
      <c r="AR48" s="4">
        <f>INT(shadex('Shade - 1'!$D$9,'Shade - 1'!$E$9,'Shade - 1'!$F$9,'Shade - 1'!$D$7,Vertex!AR48,Vertex!AR113,Vertex!AR178,Normal!AR48,Normal!AR113,Normal!AR178)*255)</f>
        <v>71</v>
      </c>
      <c r="AS48" s="4">
        <f>INT(shadex('Shade - 1'!$D$9,'Shade - 1'!$E$9,'Shade - 1'!$F$9,'Shade - 1'!$D$7,Vertex!AS48,Vertex!AS113,Vertex!AS178,Normal!AS48,Normal!AS113,Normal!AS178)*255)</f>
        <v>73</v>
      </c>
      <c r="AT48" s="4">
        <f>INT(shadex('Shade - 1'!$D$9,'Shade - 1'!$E$9,'Shade - 1'!$F$9,'Shade - 1'!$D$7,Vertex!AT48,Vertex!AT113,Vertex!AT178,Normal!AT48,Normal!AT113,Normal!AT178)*255)</f>
        <v>63</v>
      </c>
      <c r="AU48" s="4">
        <f>INT(shadex('Shade - 1'!$D$9,'Shade - 1'!$E$9,'Shade - 1'!$F$9,'Shade - 1'!$D$7,Vertex!AU48,Vertex!AU113,Vertex!AU178,Normal!AU48,Normal!AU113,Normal!AU178)*255)</f>
        <v>52</v>
      </c>
      <c r="AV48" s="4">
        <f>INT(shadex('Shade - 1'!$D$9,'Shade - 1'!$E$9,'Shade - 1'!$F$9,'Shade - 1'!$D$7,Vertex!AV48,Vertex!AV113,Vertex!AV178,Normal!AV48,Normal!AV113,Normal!AV178)*255)</f>
        <v>59</v>
      </c>
      <c r="AW48" s="4">
        <f>INT(shadex('Shade - 1'!$D$9,'Shade - 1'!$E$9,'Shade - 1'!$F$9,'Shade - 1'!$D$7,Vertex!AW48,Vertex!AW113,Vertex!AW178,Normal!AW48,Normal!AW113,Normal!AW178)*255)</f>
        <v>68</v>
      </c>
      <c r="AX48" s="4">
        <f>INT(shadex('Shade - 1'!$D$9,'Shade - 1'!$E$9,'Shade - 1'!$F$9,'Shade - 1'!$D$7,Vertex!AX48,Vertex!AX113,Vertex!AX178,Normal!AX48,Normal!AX113,Normal!AX178)*255)</f>
        <v>63</v>
      </c>
      <c r="AY48" s="4">
        <f>INT(shadex('Shade - 1'!$D$9,'Shade - 1'!$E$9,'Shade - 1'!$F$9,'Shade - 1'!$D$7,Vertex!AY48,Vertex!AY113,Vertex!AY178,Normal!AY48,Normal!AY113,Normal!AY178)*255)</f>
        <v>67</v>
      </c>
      <c r="AZ48" s="4">
        <f>INT(shadex('Shade - 1'!$D$9,'Shade - 1'!$E$9,'Shade - 1'!$F$9,'Shade - 1'!$D$7,Vertex!AZ48,Vertex!AZ113,Vertex!AZ178,Normal!AZ48,Normal!AZ113,Normal!AZ178)*255)</f>
        <v>82</v>
      </c>
      <c r="BA48" s="4">
        <f>INT(shadex('Shade - 1'!$D$9,'Shade - 1'!$E$9,'Shade - 1'!$F$9,'Shade - 1'!$D$7,Vertex!BA48,Vertex!BA113,Vertex!BA178,Normal!BA48,Normal!BA113,Normal!BA178)*255)</f>
        <v>79</v>
      </c>
      <c r="BB48" s="4">
        <f>INT(shadex('Shade - 1'!$D$9,'Shade - 1'!$E$9,'Shade - 1'!$F$9,'Shade - 1'!$D$7,Vertex!BB48,Vertex!BB113,Vertex!BB178,Normal!BB48,Normal!BB113,Normal!BB178)*255)</f>
        <v>71</v>
      </c>
      <c r="BC48" s="4">
        <f>INT(shadex('Shade - 1'!$D$9,'Shade - 1'!$E$9,'Shade - 1'!$F$9,'Shade - 1'!$D$7,Vertex!BC48,Vertex!BC113,Vertex!BC178,Normal!BC48,Normal!BC113,Normal!BC178)*255)</f>
        <v>68</v>
      </c>
      <c r="BD48" s="4">
        <f>INT(shadex('Shade - 1'!$D$9,'Shade - 1'!$E$9,'Shade - 1'!$F$9,'Shade - 1'!$D$7,Vertex!BD48,Vertex!BD113,Vertex!BD178,Normal!BD48,Normal!BD113,Normal!BD178)*255)</f>
        <v>56</v>
      </c>
      <c r="BE48" s="4">
        <f>INT(shadex('Shade - 1'!$D$9,'Shade - 1'!$E$9,'Shade - 1'!$F$9,'Shade - 1'!$D$7,Vertex!BE48,Vertex!BE113,Vertex!BE178,Normal!BE48,Normal!BE113,Normal!BE178)*255)</f>
        <v>75</v>
      </c>
      <c r="BF48" s="4">
        <f>INT(shadex('Shade - 1'!$D$9,'Shade - 1'!$E$9,'Shade - 1'!$F$9,'Shade - 1'!$D$7,Vertex!BF48,Vertex!BF113,Vertex!BF178,Normal!BF48,Normal!BF113,Normal!BF178)*255)</f>
        <v>86</v>
      </c>
      <c r="BG48" s="4">
        <f>INT(shadex('Shade - 1'!$D$9,'Shade - 1'!$E$9,'Shade - 1'!$F$9,'Shade - 1'!$D$7,Vertex!BG48,Vertex!BG113,Vertex!BG178,Normal!BG48,Normal!BG113,Normal!BG178)*255)</f>
        <v>92</v>
      </c>
      <c r="BH48" s="4">
        <f>INT(shadex('Shade - 1'!$D$9,'Shade - 1'!$E$9,'Shade - 1'!$F$9,'Shade - 1'!$D$7,Vertex!BH48,Vertex!BH113,Vertex!BH178,Normal!BH48,Normal!BH113,Normal!BH178)*255)</f>
        <v>89</v>
      </c>
      <c r="BI48" s="4">
        <f>INT(shadex('Shade - 1'!$D$9,'Shade - 1'!$E$9,'Shade - 1'!$F$9,'Shade - 1'!$D$7,Vertex!BI48,Vertex!BI113,Vertex!BI178,Normal!BI48,Normal!BI113,Normal!BI178)*255)</f>
        <v>87</v>
      </c>
      <c r="BJ48" s="4">
        <f>INT(shadex('Shade - 1'!$D$9,'Shade - 1'!$E$9,'Shade - 1'!$F$9,'Shade - 1'!$D$7,Vertex!BJ48,Vertex!BJ113,Vertex!BJ178,Normal!BJ48,Normal!BJ113,Normal!BJ178)*255)</f>
        <v>89</v>
      </c>
      <c r="BK48" s="4">
        <f>INT(shadex('Shade - 1'!$D$9,'Shade - 1'!$E$9,'Shade - 1'!$F$9,'Shade - 1'!$D$7,Vertex!BK48,Vertex!BK113,Vertex!BK178,Normal!BK48,Normal!BK113,Normal!BK178)*255)</f>
        <v>91</v>
      </c>
      <c r="BL48" s="4">
        <f>INT(shadex('Shade - 1'!$D$9,'Shade - 1'!$E$9,'Shade - 1'!$F$9,'Shade - 1'!$D$7,Vertex!BL48,Vertex!BL113,Vertex!BL178,Normal!BL48,Normal!BL113,Normal!BL178)*255)</f>
        <v>89</v>
      </c>
    </row>
    <row r="49" spans="1:64" x14ac:dyDescent="0.25">
      <c r="A49">
        <f>INT(shadex('Shade - 1'!$D$9,'Shade - 1'!$E$9,'Shade - 1'!$F$9,'Shade - 1'!$D$7,Vertex!A49,Vertex!A114,Vertex!A179,Normal!A49,Normal!A114,Normal!A179)*255)</f>
        <v>0</v>
      </c>
      <c r="B49">
        <f>INT(shadex('Shade - 1'!$D$9,'Shade - 1'!$E$9,'Shade - 1'!$F$9,'Shade - 1'!$D$7,Vertex!B49,Vertex!B114,Vertex!B179,Normal!B49,Normal!B114,Normal!B179)*255)</f>
        <v>0</v>
      </c>
      <c r="C49">
        <f>INT(shadex('Shade - 1'!$D$9,'Shade - 1'!$E$9,'Shade - 1'!$F$9,'Shade - 1'!$D$7,Vertex!C49,Vertex!C114,Vertex!C179,Normal!C49,Normal!C114,Normal!C179)*255)</f>
        <v>0</v>
      </c>
      <c r="D49">
        <f>INT(shadex('Shade - 1'!$D$9,'Shade - 1'!$E$9,'Shade - 1'!$F$9,'Shade - 1'!$D$7,Vertex!D49,Vertex!D114,Vertex!D179,Normal!D49,Normal!D114,Normal!D179)*255)</f>
        <v>41</v>
      </c>
      <c r="E49">
        <f>INT(shadex('Shade - 1'!$D$9,'Shade - 1'!$E$9,'Shade - 1'!$F$9,'Shade - 1'!$D$7,Vertex!E49,Vertex!E114,Vertex!E179,Normal!E49,Normal!E114,Normal!E179)*255)</f>
        <v>55</v>
      </c>
      <c r="F49">
        <f>INT(shadex('Shade - 1'!$D$9,'Shade - 1'!$E$9,'Shade - 1'!$F$9,'Shade - 1'!$D$7,Vertex!F49,Vertex!F114,Vertex!F179,Normal!F49,Normal!F114,Normal!F179)*255)</f>
        <v>58</v>
      </c>
      <c r="G49">
        <f>INT(shadex('Shade - 1'!$D$9,'Shade - 1'!$E$9,'Shade - 1'!$F$9,'Shade - 1'!$D$7,Vertex!G49,Vertex!G114,Vertex!G179,Normal!G49,Normal!G114,Normal!G179)*255)</f>
        <v>76</v>
      </c>
      <c r="H49">
        <f>INT(shadex('Shade - 1'!$D$9,'Shade - 1'!$E$9,'Shade - 1'!$F$9,'Shade - 1'!$D$7,Vertex!H49,Vertex!H114,Vertex!H179,Normal!H49,Normal!H114,Normal!H179)*255)</f>
        <v>59</v>
      </c>
      <c r="I49">
        <f>INT(shadex('Shade - 1'!$D$9,'Shade - 1'!$E$9,'Shade - 1'!$F$9,'Shade - 1'!$D$7,Vertex!I49,Vertex!I114,Vertex!I179,Normal!I49,Normal!I114,Normal!I179)*255)</f>
        <v>0</v>
      </c>
      <c r="J49">
        <f>INT(shadex('Shade - 1'!$D$9,'Shade - 1'!$E$9,'Shade - 1'!$F$9,'Shade - 1'!$D$7,Vertex!J49,Vertex!J114,Vertex!J179,Normal!J49,Normal!J114,Normal!J179)*255)</f>
        <v>0</v>
      </c>
      <c r="K49">
        <f>INT(shadex('Shade - 1'!$D$9,'Shade - 1'!$E$9,'Shade - 1'!$F$9,'Shade - 1'!$D$7,Vertex!K49,Vertex!K114,Vertex!K179,Normal!K49,Normal!K114,Normal!K179)*255)</f>
        <v>0</v>
      </c>
      <c r="L49">
        <f>INT(shadex('Shade - 1'!$D$9,'Shade - 1'!$E$9,'Shade - 1'!$F$9,'Shade - 1'!$D$7,Vertex!L49,Vertex!L114,Vertex!L179,Normal!L49,Normal!L114,Normal!L179)*255)</f>
        <v>0</v>
      </c>
      <c r="M49">
        <f>INT(shadex('Shade - 1'!$D$9,'Shade - 1'!$E$9,'Shade - 1'!$F$9,'Shade - 1'!$D$7,Vertex!M49,Vertex!M114,Vertex!M179,Normal!M49,Normal!M114,Normal!M179)*255)</f>
        <v>0</v>
      </c>
      <c r="N49">
        <f>INT(shadex('Shade - 1'!$D$9,'Shade - 1'!$E$9,'Shade - 1'!$F$9,'Shade - 1'!$D$7,Vertex!N49,Vertex!N114,Vertex!N179,Normal!N49,Normal!N114,Normal!N179)*255)</f>
        <v>0</v>
      </c>
      <c r="O49">
        <f>INT(shadex('Shade - 1'!$D$9,'Shade - 1'!$E$9,'Shade - 1'!$F$9,'Shade - 1'!$D$7,Vertex!O49,Vertex!O114,Vertex!O179,Normal!O49,Normal!O114,Normal!O179)*255)</f>
        <v>0</v>
      </c>
      <c r="P49">
        <f>INT(shadex('Shade - 1'!$D$9,'Shade - 1'!$E$9,'Shade - 1'!$F$9,'Shade - 1'!$D$7,Vertex!P49,Vertex!P114,Vertex!P179,Normal!P49,Normal!P114,Normal!P179)*255)</f>
        <v>0</v>
      </c>
      <c r="Q49">
        <f>INT(shadex('Shade - 1'!$D$9,'Shade - 1'!$E$9,'Shade - 1'!$F$9,'Shade - 1'!$D$7,Vertex!Q49,Vertex!Q114,Vertex!Q179,Normal!Q49,Normal!Q114,Normal!Q179)*255)</f>
        <v>0</v>
      </c>
      <c r="R49">
        <f>INT(shadex('Shade - 1'!$D$9,'Shade - 1'!$E$9,'Shade - 1'!$F$9,'Shade - 1'!$D$7,Vertex!R49,Vertex!R114,Vertex!R179,Normal!R49,Normal!R114,Normal!R179)*255)</f>
        <v>38</v>
      </c>
      <c r="S49">
        <f>INT(shadex('Shade - 1'!$D$9,'Shade - 1'!$E$9,'Shade - 1'!$F$9,'Shade - 1'!$D$7,Vertex!S49,Vertex!S114,Vertex!S179,Normal!S49,Normal!S114,Normal!S179)*255)</f>
        <v>54</v>
      </c>
      <c r="T49">
        <f>INT(shadex('Shade - 1'!$D$9,'Shade - 1'!$E$9,'Shade - 1'!$F$9,'Shade - 1'!$D$7,Vertex!T49,Vertex!T114,Vertex!T179,Normal!T49,Normal!T114,Normal!T179)*255)</f>
        <v>76</v>
      </c>
      <c r="U49">
        <f>INT(shadex('Shade - 1'!$D$9,'Shade - 1'!$E$9,'Shade - 1'!$F$9,'Shade - 1'!$D$7,Vertex!U49,Vertex!U114,Vertex!U179,Normal!U49,Normal!U114,Normal!U179)*255)</f>
        <v>70</v>
      </c>
      <c r="V49">
        <f>INT(shadex('Shade - 1'!$D$9,'Shade - 1'!$E$9,'Shade - 1'!$F$9,'Shade - 1'!$D$7,Vertex!V49,Vertex!V114,Vertex!V179,Normal!V49,Normal!V114,Normal!V179)*255)</f>
        <v>28</v>
      </c>
      <c r="W49">
        <f>INT(shadex('Shade - 1'!$D$9,'Shade - 1'!$E$9,'Shade - 1'!$F$9,'Shade - 1'!$D$7,Vertex!W49,Vertex!W114,Vertex!W179,Normal!W49,Normal!W114,Normal!W179)*255)</f>
        <v>37</v>
      </c>
      <c r="X49">
        <f>INT(shadex('Shade - 1'!$D$9,'Shade - 1'!$E$9,'Shade - 1'!$F$9,'Shade - 1'!$D$7,Vertex!X49,Vertex!X114,Vertex!X179,Normal!X49,Normal!X114,Normal!X179)*255)</f>
        <v>68</v>
      </c>
      <c r="Y49">
        <f>INT(shadex('Shade - 1'!$D$9,'Shade - 1'!$E$9,'Shade - 1'!$F$9,'Shade - 1'!$D$7,Vertex!Y49,Vertex!Y114,Vertex!Y179,Normal!Y49,Normal!Y114,Normal!Y179)*255)</f>
        <v>80</v>
      </c>
      <c r="Z49">
        <f>INT(shadex('Shade - 1'!$D$9,'Shade - 1'!$E$9,'Shade - 1'!$F$9,'Shade - 1'!$D$7,Vertex!Z49,Vertex!Z114,Vertex!Z179,Normal!Z49,Normal!Z114,Normal!Z179)*255)</f>
        <v>89</v>
      </c>
      <c r="AA49">
        <f>INT(shadex('Shade - 1'!$D$9,'Shade - 1'!$E$9,'Shade - 1'!$F$9,'Shade - 1'!$D$7,Vertex!AA49,Vertex!AA114,Vertex!AA179,Normal!AA49,Normal!AA114,Normal!AA179)*255)</f>
        <v>82</v>
      </c>
      <c r="AB49">
        <f>INT(shadex('Shade - 1'!$D$9,'Shade - 1'!$E$9,'Shade - 1'!$F$9,'Shade - 1'!$D$7,Vertex!AB49,Vertex!AB114,Vertex!AB179,Normal!AB49,Normal!AB114,Normal!AB179)*255)</f>
        <v>60</v>
      </c>
      <c r="AC49">
        <f>INT(shadex('Shade - 1'!$D$9,'Shade - 1'!$E$9,'Shade - 1'!$F$9,'Shade - 1'!$D$7,Vertex!AC49,Vertex!AC114,Vertex!AC179,Normal!AC49,Normal!AC114,Normal!AC179)*255)</f>
        <v>55</v>
      </c>
      <c r="AD49">
        <f>INT(shadex('Shade - 1'!$D$9,'Shade - 1'!$E$9,'Shade - 1'!$F$9,'Shade - 1'!$D$7,Vertex!AD49,Vertex!AD114,Vertex!AD179,Normal!AD49,Normal!AD114,Normal!AD179)*255)</f>
        <v>88</v>
      </c>
      <c r="AE49">
        <f>INT(shadex('Shade - 1'!$D$9,'Shade - 1'!$E$9,'Shade - 1'!$F$9,'Shade - 1'!$D$7,Vertex!AE49,Vertex!AE114,Vertex!AE179,Normal!AE49,Normal!AE114,Normal!AE179)*255)</f>
        <v>89</v>
      </c>
      <c r="AF49">
        <f>INT(shadex('Shade - 1'!$D$9,'Shade - 1'!$E$9,'Shade - 1'!$F$9,'Shade - 1'!$D$7,Vertex!AF49,Vertex!AF114,Vertex!AF179,Normal!AF49,Normal!AF114,Normal!AF179)*255)</f>
        <v>61</v>
      </c>
      <c r="AG49">
        <f>INT(shadex('Shade - 1'!$D$9,'Shade - 1'!$E$9,'Shade - 1'!$F$9,'Shade - 1'!$D$7,Vertex!AG49,Vertex!AG114,Vertex!AG179,Normal!AG49,Normal!AG114,Normal!AG179)*255)</f>
        <v>73</v>
      </c>
      <c r="AH49">
        <f>INT(shadex('Shade - 1'!$D$9,'Shade - 1'!$E$9,'Shade - 1'!$F$9,'Shade - 1'!$D$7,Vertex!AH49,Vertex!AH114,Vertex!AH179,Normal!AH49,Normal!AH114,Normal!AH179)*255)</f>
        <v>84</v>
      </c>
      <c r="AI49" s="4">
        <f>INT(shadex('Shade - 1'!$D$9,'Shade - 1'!$E$9,'Shade - 1'!$F$9,'Shade - 1'!$D$7,Vertex!AI49,Vertex!AI114,Vertex!AI179,Normal!AI49,Normal!AI114,Normal!AI179)*255)</f>
        <v>89</v>
      </c>
      <c r="AJ49" s="4">
        <f>INT(shadex('Shade - 1'!$D$9,'Shade - 1'!$E$9,'Shade - 1'!$F$9,'Shade - 1'!$D$7,Vertex!AJ49,Vertex!AJ114,Vertex!AJ179,Normal!AJ49,Normal!AJ114,Normal!AJ179)*255)</f>
        <v>90</v>
      </c>
      <c r="AK49" s="4">
        <f>INT(shadex('Shade - 1'!$D$9,'Shade - 1'!$E$9,'Shade - 1'!$F$9,'Shade - 1'!$D$7,Vertex!AK49,Vertex!AK114,Vertex!AK179,Normal!AK49,Normal!AK114,Normal!AK179)*255)</f>
        <v>92</v>
      </c>
      <c r="AL49" s="4">
        <f>INT(shadex('Shade - 1'!$D$9,'Shade - 1'!$E$9,'Shade - 1'!$F$9,'Shade - 1'!$D$7,Vertex!AL49,Vertex!AL114,Vertex!AL179,Normal!AL49,Normal!AL114,Normal!AL179)*255)</f>
        <v>89</v>
      </c>
      <c r="AM49" s="4">
        <f>INT(shadex('Shade - 1'!$D$9,'Shade - 1'!$E$9,'Shade - 1'!$F$9,'Shade - 1'!$D$7,Vertex!AM49,Vertex!AM114,Vertex!AM179,Normal!AM49,Normal!AM114,Normal!AM179)*255)</f>
        <v>78</v>
      </c>
      <c r="AN49" s="4">
        <f>INT(shadex('Shade - 1'!$D$9,'Shade - 1'!$E$9,'Shade - 1'!$F$9,'Shade - 1'!$D$7,Vertex!AN49,Vertex!AN114,Vertex!AN179,Normal!AN49,Normal!AN114,Normal!AN179)*255)</f>
        <v>65</v>
      </c>
      <c r="AO49" s="4">
        <f>INT(shadex('Shade - 1'!$D$9,'Shade - 1'!$E$9,'Shade - 1'!$F$9,'Shade - 1'!$D$7,Vertex!AO49,Vertex!AO114,Vertex!AO179,Normal!AO49,Normal!AO114,Normal!AO179)*255)</f>
        <v>59</v>
      </c>
      <c r="AP49" s="4">
        <f>INT(shadex('Shade - 1'!$D$9,'Shade - 1'!$E$9,'Shade - 1'!$F$9,'Shade - 1'!$D$7,Vertex!AP49,Vertex!AP114,Vertex!AP179,Normal!AP49,Normal!AP114,Normal!AP179)*255)</f>
        <v>58</v>
      </c>
      <c r="AQ49" s="4">
        <f>INT(shadex('Shade - 1'!$D$9,'Shade - 1'!$E$9,'Shade - 1'!$F$9,'Shade - 1'!$D$7,Vertex!AQ49,Vertex!AQ114,Vertex!AQ179,Normal!AQ49,Normal!AQ114,Normal!AQ179)*255)</f>
        <v>67</v>
      </c>
      <c r="AR49" s="4">
        <f>INT(shadex('Shade - 1'!$D$9,'Shade - 1'!$E$9,'Shade - 1'!$F$9,'Shade - 1'!$D$7,Vertex!AR49,Vertex!AR114,Vertex!AR179,Normal!AR49,Normal!AR114,Normal!AR179)*255)</f>
        <v>72</v>
      </c>
      <c r="AS49" s="4">
        <f>INT(shadex('Shade - 1'!$D$9,'Shade - 1'!$E$9,'Shade - 1'!$F$9,'Shade - 1'!$D$7,Vertex!AS49,Vertex!AS114,Vertex!AS179,Normal!AS49,Normal!AS114,Normal!AS179)*255)</f>
        <v>76</v>
      </c>
      <c r="AT49" s="4">
        <f>INT(shadex('Shade - 1'!$D$9,'Shade - 1'!$E$9,'Shade - 1'!$F$9,'Shade - 1'!$D$7,Vertex!AT49,Vertex!AT114,Vertex!AT179,Normal!AT49,Normal!AT114,Normal!AT179)*255)</f>
        <v>70</v>
      </c>
      <c r="AU49" s="4">
        <f>INT(shadex('Shade - 1'!$D$9,'Shade - 1'!$E$9,'Shade - 1'!$F$9,'Shade - 1'!$D$7,Vertex!AU49,Vertex!AU114,Vertex!AU179,Normal!AU49,Normal!AU114,Normal!AU179)*255)</f>
        <v>54</v>
      </c>
      <c r="AV49" s="4">
        <f>INT(shadex('Shade - 1'!$D$9,'Shade - 1'!$E$9,'Shade - 1'!$F$9,'Shade - 1'!$D$7,Vertex!AV49,Vertex!AV114,Vertex!AV179,Normal!AV49,Normal!AV114,Normal!AV179)*255)</f>
        <v>44</v>
      </c>
      <c r="AW49" s="4">
        <f>INT(shadex('Shade - 1'!$D$9,'Shade - 1'!$E$9,'Shade - 1'!$F$9,'Shade - 1'!$D$7,Vertex!AW49,Vertex!AW114,Vertex!AW179,Normal!AW49,Normal!AW114,Normal!AW179)*255)</f>
        <v>51</v>
      </c>
      <c r="AX49" s="4">
        <f>INT(shadex('Shade - 1'!$D$9,'Shade - 1'!$E$9,'Shade - 1'!$F$9,'Shade - 1'!$D$7,Vertex!AX49,Vertex!AX114,Vertex!AX179,Normal!AX49,Normal!AX114,Normal!AX179)*255)</f>
        <v>58</v>
      </c>
      <c r="AY49" s="4">
        <f>INT(shadex('Shade - 1'!$D$9,'Shade - 1'!$E$9,'Shade - 1'!$F$9,'Shade - 1'!$D$7,Vertex!AY49,Vertex!AY114,Vertex!AY179,Normal!AY49,Normal!AY114,Normal!AY179)*255)</f>
        <v>58</v>
      </c>
      <c r="AZ49" s="4">
        <f>INT(shadex('Shade - 1'!$D$9,'Shade - 1'!$E$9,'Shade - 1'!$F$9,'Shade - 1'!$D$7,Vertex!AZ49,Vertex!AZ114,Vertex!AZ179,Normal!AZ49,Normal!AZ114,Normal!AZ179)*255)</f>
        <v>71</v>
      </c>
      <c r="BA49" s="4">
        <f>INT(shadex('Shade - 1'!$D$9,'Shade - 1'!$E$9,'Shade - 1'!$F$9,'Shade - 1'!$D$7,Vertex!BA49,Vertex!BA114,Vertex!BA179,Normal!BA49,Normal!BA114,Normal!BA179)*255)</f>
        <v>65</v>
      </c>
      <c r="BB49" s="4">
        <f>INT(shadex('Shade - 1'!$D$9,'Shade - 1'!$E$9,'Shade - 1'!$F$9,'Shade - 1'!$D$7,Vertex!BB49,Vertex!BB114,Vertex!BB179,Normal!BB49,Normal!BB114,Normal!BB179)*255)</f>
        <v>52</v>
      </c>
      <c r="BC49" s="4">
        <f>INT(shadex('Shade - 1'!$D$9,'Shade - 1'!$E$9,'Shade - 1'!$F$9,'Shade - 1'!$D$7,Vertex!BC49,Vertex!BC114,Vertex!BC179,Normal!BC49,Normal!BC114,Normal!BC179)*255)</f>
        <v>58</v>
      </c>
      <c r="BD49" s="4">
        <f>INT(shadex('Shade - 1'!$D$9,'Shade - 1'!$E$9,'Shade - 1'!$F$9,'Shade - 1'!$D$7,Vertex!BD49,Vertex!BD114,Vertex!BD179,Normal!BD49,Normal!BD114,Normal!BD179)*255)</f>
        <v>49</v>
      </c>
      <c r="BE49" s="4">
        <f>INT(shadex('Shade - 1'!$D$9,'Shade - 1'!$E$9,'Shade - 1'!$F$9,'Shade - 1'!$D$7,Vertex!BE49,Vertex!BE114,Vertex!BE179,Normal!BE49,Normal!BE114,Normal!BE179)*255)</f>
        <v>55</v>
      </c>
      <c r="BF49" s="4">
        <f>INT(shadex('Shade - 1'!$D$9,'Shade - 1'!$E$9,'Shade - 1'!$F$9,'Shade - 1'!$D$7,Vertex!BF49,Vertex!BF114,Vertex!BF179,Normal!BF49,Normal!BF114,Normal!BF179)*255)</f>
        <v>73</v>
      </c>
      <c r="BG49" s="4">
        <f>INT(shadex('Shade - 1'!$D$9,'Shade - 1'!$E$9,'Shade - 1'!$F$9,'Shade - 1'!$D$7,Vertex!BG49,Vertex!BG114,Vertex!BG179,Normal!BG49,Normal!BG114,Normal!BG179)*255)</f>
        <v>83</v>
      </c>
      <c r="BH49" s="4">
        <f>INT(shadex('Shade - 1'!$D$9,'Shade - 1'!$E$9,'Shade - 1'!$F$9,'Shade - 1'!$D$7,Vertex!BH49,Vertex!BH114,Vertex!BH179,Normal!BH49,Normal!BH114,Normal!BH179)*255)</f>
        <v>85</v>
      </c>
      <c r="BI49" s="4">
        <f>INT(shadex('Shade - 1'!$D$9,'Shade - 1'!$E$9,'Shade - 1'!$F$9,'Shade - 1'!$D$7,Vertex!BI49,Vertex!BI114,Vertex!BI179,Normal!BI49,Normal!BI114,Normal!BI179)*255)</f>
        <v>87</v>
      </c>
      <c r="BJ49" s="4">
        <f>INT(shadex('Shade - 1'!$D$9,'Shade - 1'!$E$9,'Shade - 1'!$F$9,'Shade - 1'!$D$7,Vertex!BJ49,Vertex!BJ114,Vertex!BJ179,Normal!BJ49,Normal!BJ114,Normal!BJ179)*255)</f>
        <v>90</v>
      </c>
      <c r="BK49" s="4">
        <f>INT(shadex('Shade - 1'!$D$9,'Shade - 1'!$E$9,'Shade - 1'!$F$9,'Shade - 1'!$D$7,Vertex!BK49,Vertex!BK114,Vertex!BK179,Normal!BK49,Normal!BK114,Normal!BK179)*255)</f>
        <v>95</v>
      </c>
      <c r="BL49" s="4">
        <f>INT(shadex('Shade - 1'!$D$9,'Shade - 1'!$E$9,'Shade - 1'!$F$9,'Shade - 1'!$D$7,Vertex!BL49,Vertex!BL114,Vertex!BL179,Normal!BL49,Normal!BL114,Normal!BL179)*255)</f>
        <v>98</v>
      </c>
    </row>
    <row r="50" spans="1:64" x14ac:dyDescent="0.25">
      <c r="A50">
        <f>INT(shadex('Shade - 1'!$D$9,'Shade - 1'!$E$9,'Shade - 1'!$F$9,'Shade - 1'!$D$7,Vertex!A50,Vertex!A115,Vertex!A180,Normal!A50,Normal!A115,Normal!A180)*255)</f>
        <v>35</v>
      </c>
      <c r="B50">
        <f>INT(shadex('Shade - 1'!$D$9,'Shade - 1'!$E$9,'Shade - 1'!$F$9,'Shade - 1'!$D$7,Vertex!B50,Vertex!B115,Vertex!B180,Normal!B50,Normal!B115,Normal!B180)*255)</f>
        <v>43</v>
      </c>
      <c r="C50">
        <f>INT(shadex('Shade - 1'!$D$9,'Shade - 1'!$E$9,'Shade - 1'!$F$9,'Shade - 1'!$D$7,Vertex!C50,Vertex!C115,Vertex!C180,Normal!C50,Normal!C115,Normal!C180)*255)</f>
        <v>43</v>
      </c>
      <c r="D50">
        <f>INT(shadex('Shade - 1'!$D$9,'Shade - 1'!$E$9,'Shade - 1'!$F$9,'Shade - 1'!$D$7,Vertex!D50,Vertex!D115,Vertex!D180,Normal!D50,Normal!D115,Normal!D180)*255)</f>
        <v>43</v>
      </c>
      <c r="E50">
        <f>INT(shadex('Shade - 1'!$D$9,'Shade - 1'!$E$9,'Shade - 1'!$F$9,'Shade - 1'!$D$7,Vertex!E50,Vertex!E115,Vertex!E180,Normal!E50,Normal!E115,Normal!E180)*255)</f>
        <v>50</v>
      </c>
      <c r="F50">
        <f>INT(shadex('Shade - 1'!$D$9,'Shade - 1'!$E$9,'Shade - 1'!$F$9,'Shade - 1'!$D$7,Vertex!F50,Vertex!F115,Vertex!F180,Normal!F50,Normal!F115,Normal!F180)*255)</f>
        <v>56</v>
      </c>
      <c r="G50">
        <f>INT(shadex('Shade - 1'!$D$9,'Shade - 1'!$E$9,'Shade - 1'!$F$9,'Shade - 1'!$D$7,Vertex!G50,Vertex!G115,Vertex!G180,Normal!G50,Normal!G115,Normal!G180)*255)</f>
        <v>59</v>
      </c>
      <c r="H50">
        <f>INT(shadex('Shade - 1'!$D$9,'Shade - 1'!$E$9,'Shade - 1'!$F$9,'Shade - 1'!$D$7,Vertex!H50,Vertex!H115,Vertex!H180,Normal!H50,Normal!H115,Normal!H180)*255)</f>
        <v>50</v>
      </c>
      <c r="I50">
        <f>INT(shadex('Shade - 1'!$D$9,'Shade - 1'!$E$9,'Shade - 1'!$F$9,'Shade - 1'!$D$7,Vertex!I50,Vertex!I115,Vertex!I180,Normal!I50,Normal!I115,Normal!I180)*255)</f>
        <v>0</v>
      </c>
      <c r="J50">
        <f>INT(shadex('Shade - 1'!$D$9,'Shade - 1'!$E$9,'Shade - 1'!$F$9,'Shade - 1'!$D$7,Vertex!J50,Vertex!J115,Vertex!J180,Normal!J50,Normal!J115,Normal!J180)*255)</f>
        <v>0</v>
      </c>
      <c r="K50">
        <f>INT(shadex('Shade - 1'!$D$9,'Shade - 1'!$E$9,'Shade - 1'!$F$9,'Shade - 1'!$D$7,Vertex!K50,Vertex!K115,Vertex!K180,Normal!K50,Normal!K115,Normal!K180)*255)</f>
        <v>0</v>
      </c>
      <c r="L50">
        <f>INT(shadex('Shade - 1'!$D$9,'Shade - 1'!$E$9,'Shade - 1'!$F$9,'Shade - 1'!$D$7,Vertex!L50,Vertex!L115,Vertex!L180,Normal!L50,Normal!L115,Normal!L180)*255)</f>
        <v>0</v>
      </c>
      <c r="M50">
        <f>INT(shadex('Shade - 1'!$D$9,'Shade - 1'!$E$9,'Shade - 1'!$F$9,'Shade - 1'!$D$7,Vertex!M50,Vertex!M115,Vertex!M180,Normal!M50,Normal!M115,Normal!M180)*255)</f>
        <v>0</v>
      </c>
      <c r="N50">
        <f>INT(shadex('Shade - 1'!$D$9,'Shade - 1'!$E$9,'Shade - 1'!$F$9,'Shade - 1'!$D$7,Vertex!N50,Vertex!N115,Vertex!N180,Normal!N50,Normal!N115,Normal!N180)*255)</f>
        <v>0</v>
      </c>
      <c r="O50">
        <f>INT(shadex('Shade - 1'!$D$9,'Shade - 1'!$E$9,'Shade - 1'!$F$9,'Shade - 1'!$D$7,Vertex!O50,Vertex!O115,Vertex!O180,Normal!O50,Normal!O115,Normal!O180)*255)</f>
        <v>0</v>
      </c>
      <c r="P50">
        <f>INT(shadex('Shade - 1'!$D$9,'Shade - 1'!$E$9,'Shade - 1'!$F$9,'Shade - 1'!$D$7,Vertex!P50,Vertex!P115,Vertex!P180,Normal!P50,Normal!P115,Normal!P180)*255)</f>
        <v>0</v>
      </c>
      <c r="Q50">
        <f>INT(shadex('Shade - 1'!$D$9,'Shade - 1'!$E$9,'Shade - 1'!$F$9,'Shade - 1'!$D$7,Vertex!Q50,Vertex!Q115,Vertex!Q180,Normal!Q50,Normal!Q115,Normal!Q180)*255)</f>
        <v>0</v>
      </c>
      <c r="R50">
        <f>INT(shadex('Shade - 1'!$D$9,'Shade - 1'!$E$9,'Shade - 1'!$F$9,'Shade - 1'!$D$7,Vertex!R50,Vertex!R115,Vertex!R180,Normal!R50,Normal!R115,Normal!R180)*255)</f>
        <v>0</v>
      </c>
      <c r="S50">
        <f>INT(shadex('Shade - 1'!$D$9,'Shade - 1'!$E$9,'Shade - 1'!$F$9,'Shade - 1'!$D$7,Vertex!S50,Vertex!S115,Vertex!S180,Normal!S50,Normal!S115,Normal!S180)*255)</f>
        <v>32</v>
      </c>
      <c r="T50">
        <f>INT(shadex('Shade - 1'!$D$9,'Shade - 1'!$E$9,'Shade - 1'!$F$9,'Shade - 1'!$D$7,Vertex!T50,Vertex!T115,Vertex!T180,Normal!T50,Normal!T115,Normal!T180)*255)</f>
        <v>58</v>
      </c>
      <c r="U50">
        <f>INT(shadex('Shade - 1'!$D$9,'Shade - 1'!$E$9,'Shade - 1'!$F$9,'Shade - 1'!$D$7,Vertex!U50,Vertex!U115,Vertex!U180,Normal!U50,Normal!U115,Normal!U180)*255)</f>
        <v>56</v>
      </c>
      <c r="V50">
        <f>INT(shadex('Shade - 1'!$D$9,'Shade - 1'!$E$9,'Shade - 1'!$F$9,'Shade - 1'!$D$7,Vertex!V50,Vertex!V115,Vertex!V180,Normal!V50,Normal!V115,Normal!V180)*255)</f>
        <v>0</v>
      </c>
      <c r="W50">
        <f>INT(shadex('Shade - 1'!$D$9,'Shade - 1'!$E$9,'Shade - 1'!$F$9,'Shade - 1'!$D$7,Vertex!W50,Vertex!W115,Vertex!W180,Normal!W50,Normal!W115,Normal!W180)*255)</f>
        <v>38</v>
      </c>
      <c r="X50">
        <f>INT(shadex('Shade - 1'!$D$9,'Shade - 1'!$E$9,'Shade - 1'!$F$9,'Shade - 1'!$D$7,Vertex!X50,Vertex!X115,Vertex!X180,Normal!X50,Normal!X115,Normal!X180)*255)</f>
        <v>41</v>
      </c>
      <c r="Y50">
        <f>INT(shadex('Shade - 1'!$D$9,'Shade - 1'!$E$9,'Shade - 1'!$F$9,'Shade - 1'!$D$7,Vertex!Y50,Vertex!Y115,Vertex!Y180,Normal!Y50,Normal!Y115,Normal!Y180)*255)</f>
        <v>45</v>
      </c>
      <c r="Z50">
        <f>INT(shadex('Shade - 1'!$D$9,'Shade - 1'!$E$9,'Shade - 1'!$F$9,'Shade - 1'!$D$7,Vertex!Z50,Vertex!Z115,Vertex!Z180,Normal!Z50,Normal!Z115,Normal!Z180)*255)</f>
        <v>55</v>
      </c>
      <c r="AA50">
        <f>INT(shadex('Shade - 1'!$D$9,'Shade - 1'!$E$9,'Shade - 1'!$F$9,'Shade - 1'!$D$7,Vertex!AA50,Vertex!AA115,Vertex!AA180,Normal!AA50,Normal!AA115,Normal!AA180)*255)</f>
        <v>53</v>
      </c>
      <c r="AB50">
        <f>INT(shadex('Shade - 1'!$D$9,'Shade - 1'!$E$9,'Shade - 1'!$F$9,'Shade - 1'!$D$7,Vertex!AB50,Vertex!AB115,Vertex!AB180,Normal!AB50,Normal!AB115,Normal!AB180)*255)</f>
        <v>42</v>
      </c>
      <c r="AC50">
        <f>INT(shadex('Shade - 1'!$D$9,'Shade - 1'!$E$9,'Shade - 1'!$F$9,'Shade - 1'!$D$7,Vertex!AC50,Vertex!AC115,Vertex!AC180,Normal!AC50,Normal!AC115,Normal!AC180)*255)</f>
        <v>34</v>
      </c>
      <c r="AD50">
        <f>INT(shadex('Shade - 1'!$D$9,'Shade - 1'!$E$9,'Shade - 1'!$F$9,'Shade - 1'!$D$7,Vertex!AD50,Vertex!AD115,Vertex!AD180,Normal!AD50,Normal!AD115,Normal!AD180)*255)</f>
        <v>61</v>
      </c>
      <c r="AE50">
        <f>INT(shadex('Shade - 1'!$D$9,'Shade - 1'!$E$9,'Shade - 1'!$F$9,'Shade - 1'!$D$7,Vertex!AE50,Vertex!AE115,Vertex!AE180,Normal!AE50,Normal!AE115,Normal!AE180)*255)</f>
        <v>81</v>
      </c>
      <c r="AF50">
        <f>INT(shadex('Shade - 1'!$D$9,'Shade - 1'!$E$9,'Shade - 1'!$F$9,'Shade - 1'!$D$7,Vertex!AF50,Vertex!AF115,Vertex!AF180,Normal!AF50,Normal!AF115,Normal!AF180)*255)</f>
        <v>62</v>
      </c>
      <c r="AG50">
        <f>INT(shadex('Shade - 1'!$D$9,'Shade - 1'!$E$9,'Shade - 1'!$F$9,'Shade - 1'!$D$7,Vertex!AG50,Vertex!AG115,Vertex!AG180,Normal!AG50,Normal!AG115,Normal!AG180)*255)</f>
        <v>54</v>
      </c>
      <c r="AH50">
        <f>INT(shadex('Shade - 1'!$D$9,'Shade - 1'!$E$9,'Shade - 1'!$F$9,'Shade - 1'!$D$7,Vertex!AH50,Vertex!AH115,Vertex!AH180,Normal!AH50,Normal!AH115,Normal!AH180)*255)</f>
        <v>60</v>
      </c>
      <c r="AI50" s="4">
        <f>INT(shadex('Shade - 1'!$D$9,'Shade - 1'!$E$9,'Shade - 1'!$F$9,'Shade - 1'!$D$7,Vertex!AI50,Vertex!AI115,Vertex!AI180,Normal!AI50,Normal!AI115,Normal!AI180)*255)</f>
        <v>70</v>
      </c>
      <c r="AJ50" s="4">
        <f>INT(shadex('Shade - 1'!$D$9,'Shade - 1'!$E$9,'Shade - 1'!$F$9,'Shade - 1'!$D$7,Vertex!AJ50,Vertex!AJ115,Vertex!AJ180,Normal!AJ50,Normal!AJ115,Normal!AJ180)*255)</f>
        <v>84</v>
      </c>
      <c r="AK50" s="4">
        <f>INT(shadex('Shade - 1'!$D$9,'Shade - 1'!$E$9,'Shade - 1'!$F$9,'Shade - 1'!$D$7,Vertex!AK50,Vertex!AK115,Vertex!AK180,Normal!AK50,Normal!AK115,Normal!AK180)*255)</f>
        <v>90</v>
      </c>
      <c r="AL50" s="4">
        <f>INT(shadex('Shade - 1'!$D$9,'Shade - 1'!$E$9,'Shade - 1'!$F$9,'Shade - 1'!$D$7,Vertex!AL50,Vertex!AL115,Vertex!AL180,Normal!AL50,Normal!AL115,Normal!AL180)*255)</f>
        <v>86</v>
      </c>
      <c r="AM50" s="4">
        <f>INT(shadex('Shade - 1'!$D$9,'Shade - 1'!$E$9,'Shade - 1'!$F$9,'Shade - 1'!$D$7,Vertex!AM50,Vertex!AM115,Vertex!AM180,Normal!AM50,Normal!AM115,Normal!AM180)*255)</f>
        <v>82</v>
      </c>
      <c r="AN50" s="4">
        <f>INT(shadex('Shade - 1'!$D$9,'Shade - 1'!$E$9,'Shade - 1'!$F$9,'Shade - 1'!$D$7,Vertex!AN50,Vertex!AN115,Vertex!AN180,Normal!AN50,Normal!AN115,Normal!AN180)*255)</f>
        <v>78</v>
      </c>
      <c r="AO50" s="4">
        <f>INT(shadex('Shade - 1'!$D$9,'Shade - 1'!$E$9,'Shade - 1'!$F$9,'Shade - 1'!$D$7,Vertex!AO50,Vertex!AO115,Vertex!AO180,Normal!AO50,Normal!AO115,Normal!AO180)*255)</f>
        <v>69</v>
      </c>
      <c r="AP50" s="4">
        <f>INT(shadex('Shade - 1'!$D$9,'Shade - 1'!$E$9,'Shade - 1'!$F$9,'Shade - 1'!$D$7,Vertex!AP50,Vertex!AP115,Vertex!AP180,Normal!AP50,Normal!AP115,Normal!AP180)*255)</f>
        <v>57</v>
      </c>
      <c r="AQ50" s="4">
        <f>INT(shadex('Shade - 1'!$D$9,'Shade - 1'!$E$9,'Shade - 1'!$F$9,'Shade - 1'!$D$7,Vertex!AQ50,Vertex!AQ115,Vertex!AQ180,Normal!AQ50,Normal!AQ115,Normal!AQ180)*255)</f>
        <v>66</v>
      </c>
      <c r="AR50" s="4">
        <f>INT(shadex('Shade - 1'!$D$9,'Shade - 1'!$E$9,'Shade - 1'!$F$9,'Shade - 1'!$D$7,Vertex!AR50,Vertex!AR115,Vertex!AR180,Normal!AR50,Normal!AR115,Normal!AR180)*255)</f>
        <v>72</v>
      </c>
      <c r="AS50" s="4">
        <f>INT(shadex('Shade - 1'!$D$9,'Shade - 1'!$E$9,'Shade - 1'!$F$9,'Shade - 1'!$D$7,Vertex!AS50,Vertex!AS115,Vertex!AS180,Normal!AS50,Normal!AS115,Normal!AS180)*255)</f>
        <v>73</v>
      </c>
      <c r="AT50" s="4">
        <f>INT(shadex('Shade - 1'!$D$9,'Shade - 1'!$E$9,'Shade - 1'!$F$9,'Shade - 1'!$D$7,Vertex!AT50,Vertex!AT115,Vertex!AT180,Normal!AT50,Normal!AT115,Normal!AT180)*255)</f>
        <v>73</v>
      </c>
      <c r="AU50" s="4">
        <f>INT(shadex('Shade - 1'!$D$9,'Shade - 1'!$E$9,'Shade - 1'!$F$9,'Shade - 1'!$D$7,Vertex!AU50,Vertex!AU115,Vertex!AU180,Normal!AU50,Normal!AU115,Normal!AU180)*255)</f>
        <v>66</v>
      </c>
      <c r="AV50" s="4">
        <f>INT(shadex('Shade - 1'!$D$9,'Shade - 1'!$E$9,'Shade - 1'!$F$9,'Shade - 1'!$D$7,Vertex!AV50,Vertex!AV115,Vertex!AV180,Normal!AV50,Normal!AV115,Normal!AV180)*255)</f>
        <v>45</v>
      </c>
      <c r="AW50" s="4">
        <f>INT(shadex('Shade - 1'!$D$9,'Shade - 1'!$E$9,'Shade - 1'!$F$9,'Shade - 1'!$D$7,Vertex!AW50,Vertex!AW115,Vertex!AW180,Normal!AW50,Normal!AW115,Normal!AW180)*255)</f>
        <v>30</v>
      </c>
      <c r="AX50" s="4">
        <f>INT(shadex('Shade - 1'!$D$9,'Shade - 1'!$E$9,'Shade - 1'!$F$9,'Shade - 1'!$D$7,Vertex!AX50,Vertex!AX115,Vertex!AX180,Normal!AX50,Normal!AX115,Normal!AX180)*255)</f>
        <v>36</v>
      </c>
      <c r="AY50" s="4">
        <f>INT(shadex('Shade - 1'!$D$9,'Shade - 1'!$E$9,'Shade - 1'!$F$9,'Shade - 1'!$D$7,Vertex!AY50,Vertex!AY115,Vertex!AY180,Normal!AY50,Normal!AY115,Normal!AY180)*255)</f>
        <v>40</v>
      </c>
      <c r="AZ50" s="4">
        <f>INT(shadex('Shade - 1'!$D$9,'Shade - 1'!$E$9,'Shade - 1'!$F$9,'Shade - 1'!$D$7,Vertex!AZ50,Vertex!AZ115,Vertex!AZ180,Normal!AZ50,Normal!AZ115,Normal!AZ180)*255)</f>
        <v>55</v>
      </c>
      <c r="BA50" s="4">
        <f>INT(shadex('Shade - 1'!$D$9,'Shade - 1'!$E$9,'Shade - 1'!$F$9,'Shade - 1'!$D$7,Vertex!BA50,Vertex!BA115,Vertex!BA180,Normal!BA50,Normal!BA115,Normal!BA180)*255)</f>
        <v>62</v>
      </c>
      <c r="BB50" s="4">
        <f>INT(shadex('Shade - 1'!$D$9,'Shade - 1'!$E$9,'Shade - 1'!$F$9,'Shade - 1'!$D$7,Vertex!BB50,Vertex!BB115,Vertex!BB180,Normal!BB50,Normal!BB115,Normal!BB180)*255)</f>
        <v>52</v>
      </c>
      <c r="BC50" s="4">
        <f>INT(shadex('Shade - 1'!$D$9,'Shade - 1'!$E$9,'Shade - 1'!$F$9,'Shade - 1'!$D$7,Vertex!BC50,Vertex!BC115,Vertex!BC180,Normal!BC50,Normal!BC115,Normal!BC180)*255)</f>
        <v>70</v>
      </c>
      <c r="BD50" s="4">
        <f>INT(shadex('Shade - 1'!$D$9,'Shade - 1'!$E$9,'Shade - 1'!$F$9,'Shade - 1'!$D$7,Vertex!BD50,Vertex!BD115,Vertex!BD180,Normal!BD50,Normal!BD115,Normal!BD180)*255)</f>
        <v>74</v>
      </c>
      <c r="BE50" s="4">
        <f>INT(shadex('Shade - 1'!$D$9,'Shade - 1'!$E$9,'Shade - 1'!$F$9,'Shade - 1'!$D$7,Vertex!BE50,Vertex!BE115,Vertex!BE180,Normal!BE50,Normal!BE115,Normal!BE180)*255)</f>
        <v>61</v>
      </c>
      <c r="BF50" s="4">
        <f>INT(shadex('Shade - 1'!$D$9,'Shade - 1'!$E$9,'Shade - 1'!$F$9,'Shade - 1'!$D$7,Vertex!BF50,Vertex!BF115,Vertex!BF180,Normal!BF50,Normal!BF115,Normal!BF180)*255)</f>
        <v>63</v>
      </c>
      <c r="BG50" s="4">
        <f>INT(shadex('Shade - 1'!$D$9,'Shade - 1'!$E$9,'Shade - 1'!$F$9,'Shade - 1'!$D$7,Vertex!BG50,Vertex!BG115,Vertex!BG180,Normal!BG50,Normal!BG115,Normal!BG180)*255)</f>
        <v>79</v>
      </c>
      <c r="BH50" s="4">
        <f>INT(shadex('Shade - 1'!$D$9,'Shade - 1'!$E$9,'Shade - 1'!$F$9,'Shade - 1'!$D$7,Vertex!BH50,Vertex!BH115,Vertex!BH180,Normal!BH50,Normal!BH115,Normal!BH180)*255)</f>
        <v>90</v>
      </c>
      <c r="BI50" s="4">
        <f>INT(shadex('Shade - 1'!$D$9,'Shade - 1'!$E$9,'Shade - 1'!$F$9,'Shade - 1'!$D$7,Vertex!BI50,Vertex!BI115,Vertex!BI180,Normal!BI50,Normal!BI115,Normal!BI180)*255)</f>
        <v>93</v>
      </c>
      <c r="BJ50" s="4">
        <f>INT(shadex('Shade - 1'!$D$9,'Shade - 1'!$E$9,'Shade - 1'!$F$9,'Shade - 1'!$D$7,Vertex!BJ50,Vertex!BJ115,Vertex!BJ180,Normal!BJ50,Normal!BJ115,Normal!BJ180)*255)</f>
        <v>94</v>
      </c>
      <c r="BK50" s="4">
        <f>INT(shadex('Shade - 1'!$D$9,'Shade - 1'!$E$9,'Shade - 1'!$F$9,'Shade - 1'!$D$7,Vertex!BK50,Vertex!BK115,Vertex!BK180,Normal!BK50,Normal!BK115,Normal!BK180)*255)</f>
        <v>97</v>
      </c>
      <c r="BL50" s="4">
        <f>INT(shadex('Shade - 1'!$D$9,'Shade - 1'!$E$9,'Shade - 1'!$F$9,'Shade - 1'!$D$7,Vertex!BL50,Vertex!BL115,Vertex!BL180,Normal!BL50,Normal!BL115,Normal!BL180)*255)</f>
        <v>100</v>
      </c>
    </row>
    <row r="51" spans="1:64" x14ac:dyDescent="0.25">
      <c r="A51">
        <f>INT(shadex('Shade - 1'!$D$9,'Shade - 1'!$E$9,'Shade - 1'!$F$9,'Shade - 1'!$D$7,Vertex!A51,Vertex!A116,Vertex!A181,Normal!A51,Normal!A116,Normal!A181)*255)</f>
        <v>66</v>
      </c>
      <c r="B51">
        <f>INT(shadex('Shade - 1'!$D$9,'Shade - 1'!$E$9,'Shade - 1'!$F$9,'Shade - 1'!$D$7,Vertex!B51,Vertex!B116,Vertex!B181,Normal!B51,Normal!B116,Normal!B181)*255)</f>
        <v>64</v>
      </c>
      <c r="C51">
        <f>INT(shadex('Shade - 1'!$D$9,'Shade - 1'!$E$9,'Shade - 1'!$F$9,'Shade - 1'!$D$7,Vertex!C51,Vertex!C116,Vertex!C181,Normal!C51,Normal!C116,Normal!C181)*255)</f>
        <v>58</v>
      </c>
      <c r="D51">
        <f>INT(shadex('Shade - 1'!$D$9,'Shade - 1'!$E$9,'Shade - 1'!$F$9,'Shade - 1'!$D$7,Vertex!D51,Vertex!D116,Vertex!D181,Normal!D51,Normal!D116,Normal!D181)*255)</f>
        <v>41</v>
      </c>
      <c r="E51">
        <f>INT(shadex('Shade - 1'!$D$9,'Shade - 1'!$E$9,'Shade - 1'!$F$9,'Shade - 1'!$D$7,Vertex!E51,Vertex!E116,Vertex!E181,Normal!E51,Normal!E116,Normal!E181)*255)</f>
        <v>50</v>
      </c>
      <c r="F51">
        <f>INT(shadex('Shade - 1'!$D$9,'Shade - 1'!$E$9,'Shade - 1'!$F$9,'Shade - 1'!$D$7,Vertex!F51,Vertex!F116,Vertex!F181,Normal!F51,Normal!F116,Normal!F181)*255)</f>
        <v>58</v>
      </c>
      <c r="G51">
        <f>INT(shadex('Shade - 1'!$D$9,'Shade - 1'!$E$9,'Shade - 1'!$F$9,'Shade - 1'!$D$7,Vertex!G51,Vertex!G116,Vertex!G181,Normal!G51,Normal!G116,Normal!G181)*255)</f>
        <v>45</v>
      </c>
      <c r="H51">
        <f>INT(shadex('Shade - 1'!$D$9,'Shade - 1'!$E$9,'Shade - 1'!$F$9,'Shade - 1'!$D$7,Vertex!H51,Vertex!H116,Vertex!H181,Normal!H51,Normal!H116,Normal!H181)*255)</f>
        <v>30</v>
      </c>
      <c r="I51">
        <f>INT(shadex('Shade - 1'!$D$9,'Shade - 1'!$E$9,'Shade - 1'!$F$9,'Shade - 1'!$D$7,Vertex!I51,Vertex!I116,Vertex!I181,Normal!I51,Normal!I116,Normal!I181)*255)</f>
        <v>33</v>
      </c>
      <c r="J51">
        <f>INT(shadex('Shade - 1'!$D$9,'Shade - 1'!$E$9,'Shade - 1'!$F$9,'Shade - 1'!$D$7,Vertex!J51,Vertex!J116,Vertex!J181,Normal!J51,Normal!J116,Normal!J181)*255)</f>
        <v>29</v>
      </c>
      <c r="K51">
        <f>INT(shadex('Shade - 1'!$D$9,'Shade - 1'!$E$9,'Shade - 1'!$F$9,'Shade - 1'!$D$7,Vertex!K51,Vertex!K116,Vertex!K181,Normal!K51,Normal!K116,Normal!K181)*255)</f>
        <v>0</v>
      </c>
      <c r="L51">
        <f>INT(shadex('Shade - 1'!$D$9,'Shade - 1'!$E$9,'Shade - 1'!$F$9,'Shade - 1'!$D$7,Vertex!L51,Vertex!L116,Vertex!L181,Normal!L51,Normal!L116,Normal!L181)*255)</f>
        <v>0</v>
      </c>
      <c r="M51">
        <f>INT(shadex('Shade - 1'!$D$9,'Shade - 1'!$E$9,'Shade - 1'!$F$9,'Shade - 1'!$D$7,Vertex!M51,Vertex!M116,Vertex!M181,Normal!M51,Normal!M116,Normal!M181)*255)</f>
        <v>0</v>
      </c>
      <c r="N51">
        <f>INT(shadex('Shade - 1'!$D$9,'Shade - 1'!$E$9,'Shade - 1'!$F$9,'Shade - 1'!$D$7,Vertex!N51,Vertex!N116,Vertex!N181,Normal!N51,Normal!N116,Normal!N181)*255)</f>
        <v>0</v>
      </c>
      <c r="O51">
        <f>INT(shadex('Shade - 1'!$D$9,'Shade - 1'!$E$9,'Shade - 1'!$F$9,'Shade - 1'!$D$7,Vertex!O51,Vertex!O116,Vertex!O181,Normal!O51,Normal!O116,Normal!O181)*255)</f>
        <v>0</v>
      </c>
      <c r="P51">
        <f>INT(shadex('Shade - 1'!$D$9,'Shade - 1'!$E$9,'Shade - 1'!$F$9,'Shade - 1'!$D$7,Vertex!P51,Vertex!P116,Vertex!P181,Normal!P51,Normal!P116,Normal!P181)*255)</f>
        <v>0</v>
      </c>
      <c r="Q51">
        <f>INT(shadex('Shade - 1'!$D$9,'Shade - 1'!$E$9,'Shade - 1'!$F$9,'Shade - 1'!$D$7,Vertex!Q51,Vertex!Q116,Vertex!Q181,Normal!Q51,Normal!Q116,Normal!Q181)*255)</f>
        <v>0</v>
      </c>
      <c r="R51">
        <f>INT(shadex('Shade - 1'!$D$9,'Shade - 1'!$E$9,'Shade - 1'!$F$9,'Shade - 1'!$D$7,Vertex!R51,Vertex!R116,Vertex!R181,Normal!R51,Normal!R116,Normal!R181)*255)</f>
        <v>0</v>
      </c>
      <c r="S51">
        <f>INT(shadex('Shade - 1'!$D$9,'Shade - 1'!$E$9,'Shade - 1'!$F$9,'Shade - 1'!$D$7,Vertex!S51,Vertex!S116,Vertex!S181,Normal!S51,Normal!S116,Normal!S181)*255)</f>
        <v>0</v>
      </c>
      <c r="T51">
        <f>INT(shadex('Shade - 1'!$D$9,'Shade - 1'!$E$9,'Shade - 1'!$F$9,'Shade - 1'!$D$7,Vertex!T51,Vertex!T116,Vertex!T181,Normal!T51,Normal!T116,Normal!T181)*255)</f>
        <v>54</v>
      </c>
      <c r="U51">
        <f>INT(shadex('Shade - 1'!$D$9,'Shade - 1'!$E$9,'Shade - 1'!$F$9,'Shade - 1'!$D$7,Vertex!U51,Vertex!U116,Vertex!U181,Normal!U51,Normal!U116,Normal!U181)*255)</f>
        <v>46</v>
      </c>
      <c r="V51">
        <f>INT(shadex('Shade - 1'!$D$9,'Shade - 1'!$E$9,'Shade - 1'!$F$9,'Shade - 1'!$D$7,Vertex!V51,Vertex!V116,Vertex!V181,Normal!V51,Normal!V116,Normal!V181)*255)</f>
        <v>28</v>
      </c>
      <c r="W51">
        <f>INT(shadex('Shade - 1'!$D$9,'Shade - 1'!$E$9,'Shade - 1'!$F$9,'Shade - 1'!$D$7,Vertex!W51,Vertex!W116,Vertex!W181,Normal!W51,Normal!W116,Normal!W181)*255)</f>
        <v>36</v>
      </c>
      <c r="X51">
        <f>INT(shadex('Shade - 1'!$D$9,'Shade - 1'!$E$9,'Shade - 1'!$F$9,'Shade - 1'!$D$7,Vertex!X51,Vertex!X116,Vertex!X181,Normal!X51,Normal!X116,Normal!X181)*255)</f>
        <v>33</v>
      </c>
      <c r="Y51">
        <f>INT(shadex('Shade - 1'!$D$9,'Shade - 1'!$E$9,'Shade - 1'!$F$9,'Shade - 1'!$D$7,Vertex!Y51,Vertex!Y116,Vertex!Y181,Normal!Y51,Normal!Y116,Normal!Y181)*255)</f>
        <v>40</v>
      </c>
      <c r="Z51">
        <f>INT(shadex('Shade - 1'!$D$9,'Shade - 1'!$E$9,'Shade - 1'!$F$9,'Shade - 1'!$D$7,Vertex!Z51,Vertex!Z116,Vertex!Z181,Normal!Z51,Normal!Z116,Normal!Z181)*255)</f>
        <v>46</v>
      </c>
      <c r="AA51">
        <f>INT(shadex('Shade - 1'!$D$9,'Shade - 1'!$E$9,'Shade - 1'!$F$9,'Shade - 1'!$D$7,Vertex!AA51,Vertex!AA116,Vertex!AA181,Normal!AA51,Normal!AA116,Normal!AA181)*255)</f>
        <v>51</v>
      </c>
      <c r="AB51">
        <f>INT(shadex('Shade - 1'!$D$9,'Shade - 1'!$E$9,'Shade - 1'!$F$9,'Shade - 1'!$D$7,Vertex!AB51,Vertex!AB116,Vertex!AB181,Normal!AB51,Normal!AB116,Normal!AB181)*255)</f>
        <v>47</v>
      </c>
      <c r="AC51">
        <f>INT(shadex('Shade - 1'!$D$9,'Shade - 1'!$E$9,'Shade - 1'!$F$9,'Shade - 1'!$D$7,Vertex!AC51,Vertex!AC116,Vertex!AC181,Normal!AC51,Normal!AC116,Normal!AC181)*255)</f>
        <v>31</v>
      </c>
      <c r="AD51">
        <f>INT(shadex('Shade - 1'!$D$9,'Shade - 1'!$E$9,'Shade - 1'!$F$9,'Shade - 1'!$D$7,Vertex!AD51,Vertex!AD116,Vertex!AD181,Normal!AD51,Normal!AD116,Normal!AD181)*255)</f>
        <v>40</v>
      </c>
      <c r="AE51">
        <f>INT(shadex('Shade - 1'!$D$9,'Shade - 1'!$E$9,'Shade - 1'!$F$9,'Shade - 1'!$D$7,Vertex!AE51,Vertex!AE116,Vertex!AE181,Normal!AE51,Normal!AE116,Normal!AE181)*255)</f>
        <v>57</v>
      </c>
      <c r="AF51">
        <f>INT(shadex('Shade - 1'!$D$9,'Shade - 1'!$E$9,'Shade - 1'!$F$9,'Shade - 1'!$D$7,Vertex!AF51,Vertex!AF116,Vertex!AF181,Normal!AF51,Normal!AF116,Normal!AF181)*255)</f>
        <v>58</v>
      </c>
      <c r="AG51">
        <f>INT(shadex('Shade - 1'!$D$9,'Shade - 1'!$E$9,'Shade - 1'!$F$9,'Shade - 1'!$D$7,Vertex!AG51,Vertex!AG116,Vertex!AG181,Normal!AG51,Normal!AG116,Normal!AG181)*255)</f>
        <v>61</v>
      </c>
      <c r="AH51">
        <f>INT(shadex('Shade - 1'!$D$9,'Shade - 1'!$E$9,'Shade - 1'!$F$9,'Shade - 1'!$D$7,Vertex!AH51,Vertex!AH116,Vertex!AH181,Normal!AH51,Normal!AH116,Normal!AH181)*255)</f>
        <v>64</v>
      </c>
      <c r="AI51" s="4">
        <f>INT(shadex('Shade - 1'!$D$9,'Shade - 1'!$E$9,'Shade - 1'!$F$9,'Shade - 1'!$D$7,Vertex!AI51,Vertex!AI116,Vertex!AI181,Normal!AI51,Normal!AI116,Normal!AI181)*255)</f>
        <v>62</v>
      </c>
      <c r="AJ51" s="4">
        <f>INT(shadex('Shade - 1'!$D$9,'Shade - 1'!$E$9,'Shade - 1'!$F$9,'Shade - 1'!$D$7,Vertex!AJ51,Vertex!AJ116,Vertex!AJ181,Normal!AJ51,Normal!AJ116,Normal!AJ181)*255)</f>
        <v>64</v>
      </c>
      <c r="AK51" s="4">
        <f>INT(shadex('Shade - 1'!$D$9,'Shade - 1'!$E$9,'Shade - 1'!$F$9,'Shade - 1'!$D$7,Vertex!AK51,Vertex!AK116,Vertex!AK181,Normal!AK51,Normal!AK116,Normal!AK181)*255)</f>
        <v>70</v>
      </c>
      <c r="AL51" s="4">
        <f>INT(shadex('Shade - 1'!$D$9,'Shade - 1'!$E$9,'Shade - 1'!$F$9,'Shade - 1'!$D$7,Vertex!AL51,Vertex!AL116,Vertex!AL181,Normal!AL51,Normal!AL116,Normal!AL181)*255)</f>
        <v>73</v>
      </c>
      <c r="AM51" s="4">
        <f>INT(shadex('Shade - 1'!$D$9,'Shade - 1'!$E$9,'Shade - 1'!$F$9,'Shade - 1'!$D$7,Vertex!AM51,Vertex!AM116,Vertex!AM181,Normal!AM51,Normal!AM116,Normal!AM181)*255)</f>
        <v>79</v>
      </c>
      <c r="AN51" s="4">
        <f>INT(shadex('Shade - 1'!$D$9,'Shade - 1'!$E$9,'Shade - 1'!$F$9,'Shade - 1'!$D$7,Vertex!AN51,Vertex!AN116,Vertex!AN181,Normal!AN51,Normal!AN116,Normal!AN181)*255)</f>
        <v>87</v>
      </c>
      <c r="AO51" s="4">
        <f>INT(shadex('Shade - 1'!$D$9,'Shade - 1'!$E$9,'Shade - 1'!$F$9,'Shade - 1'!$D$7,Vertex!AO51,Vertex!AO116,Vertex!AO181,Normal!AO51,Normal!AO116,Normal!AO181)*255)</f>
        <v>83</v>
      </c>
      <c r="AP51" s="4">
        <f>INT(shadex('Shade - 1'!$D$9,'Shade - 1'!$E$9,'Shade - 1'!$F$9,'Shade - 1'!$D$7,Vertex!AP51,Vertex!AP116,Vertex!AP181,Normal!AP51,Normal!AP116,Normal!AP181)*255)</f>
        <v>62</v>
      </c>
      <c r="AQ51" s="4">
        <f>INT(shadex('Shade - 1'!$D$9,'Shade - 1'!$E$9,'Shade - 1'!$F$9,'Shade - 1'!$D$7,Vertex!AQ51,Vertex!AQ116,Vertex!AQ181,Normal!AQ51,Normal!AQ116,Normal!AQ181)*255)</f>
        <v>55</v>
      </c>
      <c r="AR51" s="4">
        <f>INT(shadex('Shade - 1'!$D$9,'Shade - 1'!$E$9,'Shade - 1'!$F$9,'Shade - 1'!$D$7,Vertex!AR51,Vertex!AR116,Vertex!AR181,Normal!AR51,Normal!AR116,Normal!AR181)*255)</f>
        <v>65</v>
      </c>
      <c r="AS51" s="4">
        <f>INT(shadex('Shade - 1'!$D$9,'Shade - 1'!$E$9,'Shade - 1'!$F$9,'Shade - 1'!$D$7,Vertex!AS51,Vertex!AS116,Vertex!AS181,Normal!AS51,Normal!AS116,Normal!AS181)*255)</f>
        <v>68</v>
      </c>
      <c r="AT51" s="4">
        <f>INT(shadex('Shade - 1'!$D$9,'Shade - 1'!$E$9,'Shade - 1'!$F$9,'Shade - 1'!$D$7,Vertex!AT51,Vertex!AT116,Vertex!AT181,Normal!AT51,Normal!AT116,Normal!AT181)*255)</f>
        <v>70</v>
      </c>
      <c r="AU51" s="4">
        <f>INT(shadex('Shade - 1'!$D$9,'Shade - 1'!$E$9,'Shade - 1'!$F$9,'Shade - 1'!$D$7,Vertex!AU51,Vertex!AU116,Vertex!AU181,Normal!AU51,Normal!AU116,Normal!AU181)*255)</f>
        <v>68</v>
      </c>
      <c r="AV51" s="4">
        <f>INT(shadex('Shade - 1'!$D$9,'Shade - 1'!$E$9,'Shade - 1'!$F$9,'Shade - 1'!$D$7,Vertex!AV51,Vertex!AV116,Vertex!AV181,Normal!AV51,Normal!AV116,Normal!AV181)*255)</f>
        <v>60</v>
      </c>
      <c r="AW51" s="4">
        <f>INT(shadex('Shade - 1'!$D$9,'Shade - 1'!$E$9,'Shade - 1'!$F$9,'Shade - 1'!$D$7,Vertex!AW51,Vertex!AW116,Vertex!AW181,Normal!AW51,Normal!AW116,Normal!AW181)*255)</f>
        <v>40</v>
      </c>
      <c r="AX51" s="4">
        <f>INT(shadex('Shade - 1'!$D$9,'Shade - 1'!$E$9,'Shade - 1'!$F$9,'Shade - 1'!$D$7,Vertex!AX51,Vertex!AX116,Vertex!AX181,Normal!AX51,Normal!AX116,Normal!AX181)*255)</f>
        <v>34</v>
      </c>
      <c r="AY51" s="4">
        <f>INT(shadex('Shade - 1'!$D$9,'Shade - 1'!$E$9,'Shade - 1'!$F$9,'Shade - 1'!$D$7,Vertex!AY51,Vertex!AY116,Vertex!AY181,Normal!AY51,Normal!AY116,Normal!AY181)*255)</f>
        <v>46</v>
      </c>
      <c r="AZ51" s="4">
        <f>INT(shadex('Shade - 1'!$D$9,'Shade - 1'!$E$9,'Shade - 1'!$F$9,'Shade - 1'!$D$7,Vertex!AZ51,Vertex!AZ116,Vertex!AZ181,Normal!AZ51,Normal!AZ116,Normal!AZ181)*255)</f>
        <v>57</v>
      </c>
      <c r="BA51" s="4">
        <f>INT(shadex('Shade - 1'!$D$9,'Shade - 1'!$E$9,'Shade - 1'!$F$9,'Shade - 1'!$D$7,Vertex!BA51,Vertex!BA116,Vertex!BA181,Normal!BA51,Normal!BA116,Normal!BA181)*255)</f>
        <v>59</v>
      </c>
      <c r="BB51" s="4">
        <f>INT(shadex('Shade - 1'!$D$9,'Shade - 1'!$E$9,'Shade - 1'!$F$9,'Shade - 1'!$D$7,Vertex!BB51,Vertex!BB116,Vertex!BB181,Normal!BB51,Normal!BB116,Normal!BB181)*255)</f>
        <v>49</v>
      </c>
      <c r="BC51" s="4">
        <f>INT(shadex('Shade - 1'!$D$9,'Shade - 1'!$E$9,'Shade - 1'!$F$9,'Shade - 1'!$D$7,Vertex!BC51,Vertex!BC116,Vertex!BC181,Normal!BC51,Normal!BC116,Normal!BC181)*255)</f>
        <v>63</v>
      </c>
      <c r="BD51" s="4">
        <f>INT(shadex('Shade - 1'!$D$9,'Shade - 1'!$E$9,'Shade - 1'!$F$9,'Shade - 1'!$D$7,Vertex!BD51,Vertex!BD116,Vertex!BD181,Normal!BD51,Normal!BD116,Normal!BD181)*255)</f>
        <v>83</v>
      </c>
      <c r="BE51" s="4">
        <f>INT(shadex('Shade - 1'!$D$9,'Shade - 1'!$E$9,'Shade - 1'!$F$9,'Shade - 1'!$D$7,Vertex!BE51,Vertex!BE116,Vertex!BE181,Normal!BE51,Normal!BE116,Normal!BE181)*255)</f>
        <v>80</v>
      </c>
      <c r="BF51" s="4">
        <f>INT(shadex('Shade - 1'!$D$9,'Shade - 1'!$E$9,'Shade - 1'!$F$9,'Shade - 1'!$D$7,Vertex!BF51,Vertex!BF116,Vertex!BF181,Normal!BF51,Normal!BF116,Normal!BF181)*255)</f>
        <v>68</v>
      </c>
      <c r="BG51" s="4">
        <f>INT(shadex('Shade - 1'!$D$9,'Shade - 1'!$E$9,'Shade - 1'!$F$9,'Shade - 1'!$D$7,Vertex!BG51,Vertex!BG116,Vertex!BG181,Normal!BG51,Normal!BG116,Normal!BG181)*255)</f>
        <v>75</v>
      </c>
      <c r="BH51" s="4">
        <f>INT(shadex('Shade - 1'!$D$9,'Shade - 1'!$E$9,'Shade - 1'!$F$9,'Shade - 1'!$D$7,Vertex!BH51,Vertex!BH116,Vertex!BH181,Normal!BH51,Normal!BH116,Normal!BH181)*255)</f>
        <v>93</v>
      </c>
      <c r="BI51" s="4">
        <f>INT(shadex('Shade - 1'!$D$9,'Shade - 1'!$E$9,'Shade - 1'!$F$9,'Shade - 1'!$D$7,Vertex!BI51,Vertex!BI116,Vertex!BI181,Normal!BI51,Normal!BI116,Normal!BI181)*255)</f>
        <v>95</v>
      </c>
      <c r="BJ51" s="4">
        <f>INT(shadex('Shade - 1'!$D$9,'Shade - 1'!$E$9,'Shade - 1'!$F$9,'Shade - 1'!$D$7,Vertex!BJ51,Vertex!BJ116,Vertex!BJ181,Normal!BJ51,Normal!BJ116,Normal!BJ181)*255)</f>
        <v>94</v>
      </c>
      <c r="BK51" s="4">
        <f>INT(shadex('Shade - 1'!$D$9,'Shade - 1'!$E$9,'Shade - 1'!$F$9,'Shade - 1'!$D$7,Vertex!BK51,Vertex!BK116,Vertex!BK181,Normal!BK51,Normal!BK116,Normal!BK181)*255)</f>
        <v>96</v>
      </c>
      <c r="BL51" s="4">
        <f>INT(shadex('Shade - 1'!$D$9,'Shade - 1'!$E$9,'Shade - 1'!$F$9,'Shade - 1'!$D$7,Vertex!BL51,Vertex!BL116,Vertex!BL181,Normal!BL51,Normal!BL116,Normal!BL181)*255)</f>
        <v>96</v>
      </c>
    </row>
    <row r="52" spans="1:64" x14ac:dyDescent="0.25">
      <c r="A52">
        <f>INT(shadex('Shade - 1'!$D$9,'Shade - 1'!$E$9,'Shade - 1'!$F$9,'Shade - 1'!$D$7,Vertex!A52,Vertex!A117,Vertex!A182,Normal!A52,Normal!A117,Normal!A182)*255)</f>
        <v>69</v>
      </c>
      <c r="B52">
        <f>INT(shadex('Shade - 1'!$D$9,'Shade - 1'!$E$9,'Shade - 1'!$F$9,'Shade - 1'!$D$7,Vertex!B52,Vertex!B117,Vertex!B182,Normal!B52,Normal!B117,Normal!B182)*255)</f>
        <v>56</v>
      </c>
      <c r="C52">
        <f>INT(shadex('Shade - 1'!$D$9,'Shade - 1'!$E$9,'Shade - 1'!$F$9,'Shade - 1'!$D$7,Vertex!C52,Vertex!C117,Vertex!C182,Normal!C52,Normal!C117,Normal!C182)*255)</f>
        <v>45</v>
      </c>
      <c r="D52">
        <f>INT(shadex('Shade - 1'!$D$9,'Shade - 1'!$E$9,'Shade - 1'!$F$9,'Shade - 1'!$D$7,Vertex!D52,Vertex!D117,Vertex!D182,Normal!D52,Normal!D117,Normal!D182)*255)</f>
        <v>32</v>
      </c>
      <c r="E52">
        <f>INT(shadex('Shade - 1'!$D$9,'Shade - 1'!$E$9,'Shade - 1'!$F$9,'Shade - 1'!$D$7,Vertex!E52,Vertex!E117,Vertex!E182,Normal!E52,Normal!E117,Normal!E182)*255)</f>
        <v>49</v>
      </c>
      <c r="F52">
        <f>INT(shadex('Shade - 1'!$D$9,'Shade - 1'!$E$9,'Shade - 1'!$F$9,'Shade - 1'!$D$7,Vertex!F52,Vertex!F117,Vertex!F182,Normal!F52,Normal!F117,Normal!F182)*255)</f>
        <v>66</v>
      </c>
      <c r="G52">
        <f>INT(shadex('Shade - 1'!$D$9,'Shade - 1'!$E$9,'Shade - 1'!$F$9,'Shade - 1'!$D$7,Vertex!G52,Vertex!G117,Vertex!G182,Normal!G52,Normal!G117,Normal!G182)*255)</f>
        <v>45</v>
      </c>
      <c r="H52">
        <f>INT(shadex('Shade - 1'!$D$9,'Shade - 1'!$E$9,'Shade - 1'!$F$9,'Shade - 1'!$D$7,Vertex!H52,Vertex!H117,Vertex!H182,Normal!H52,Normal!H117,Normal!H182)*255)</f>
        <v>0</v>
      </c>
      <c r="I52">
        <f>INT(shadex('Shade - 1'!$D$9,'Shade - 1'!$E$9,'Shade - 1'!$F$9,'Shade - 1'!$D$7,Vertex!I52,Vertex!I117,Vertex!I182,Normal!I52,Normal!I117,Normal!I182)*255)</f>
        <v>25</v>
      </c>
      <c r="J52">
        <f>INT(shadex('Shade - 1'!$D$9,'Shade - 1'!$E$9,'Shade - 1'!$F$9,'Shade - 1'!$D$7,Vertex!J52,Vertex!J117,Vertex!J182,Normal!J52,Normal!J117,Normal!J182)*255)</f>
        <v>37</v>
      </c>
      <c r="K52">
        <f>INT(shadex('Shade - 1'!$D$9,'Shade - 1'!$E$9,'Shade - 1'!$F$9,'Shade - 1'!$D$7,Vertex!K52,Vertex!K117,Vertex!K182,Normal!K52,Normal!K117,Normal!K182)*255)</f>
        <v>0</v>
      </c>
      <c r="L52">
        <f>INT(shadex('Shade - 1'!$D$9,'Shade - 1'!$E$9,'Shade - 1'!$F$9,'Shade - 1'!$D$7,Vertex!L52,Vertex!L117,Vertex!L182,Normal!L52,Normal!L117,Normal!L182)*255)</f>
        <v>0</v>
      </c>
      <c r="M52">
        <f>INT(shadex('Shade - 1'!$D$9,'Shade - 1'!$E$9,'Shade - 1'!$F$9,'Shade - 1'!$D$7,Vertex!M52,Vertex!M117,Vertex!M182,Normal!M52,Normal!M117,Normal!M182)*255)</f>
        <v>25</v>
      </c>
      <c r="N52">
        <f>INT(shadex('Shade - 1'!$D$9,'Shade - 1'!$E$9,'Shade - 1'!$F$9,'Shade - 1'!$D$7,Vertex!N52,Vertex!N117,Vertex!N182,Normal!N52,Normal!N117,Normal!N182)*255)</f>
        <v>29</v>
      </c>
      <c r="O52">
        <f>INT(shadex('Shade - 1'!$D$9,'Shade - 1'!$E$9,'Shade - 1'!$F$9,'Shade - 1'!$D$7,Vertex!O52,Vertex!O117,Vertex!O182,Normal!O52,Normal!O117,Normal!O182)*255)</f>
        <v>0</v>
      </c>
      <c r="P52">
        <f>INT(shadex('Shade - 1'!$D$9,'Shade - 1'!$E$9,'Shade - 1'!$F$9,'Shade - 1'!$D$7,Vertex!P52,Vertex!P117,Vertex!P182,Normal!P52,Normal!P117,Normal!P182)*255)</f>
        <v>0</v>
      </c>
      <c r="Q52">
        <f>INT(shadex('Shade - 1'!$D$9,'Shade - 1'!$E$9,'Shade - 1'!$F$9,'Shade - 1'!$D$7,Vertex!Q52,Vertex!Q117,Vertex!Q182,Normal!Q52,Normal!Q117,Normal!Q182)*255)</f>
        <v>0</v>
      </c>
      <c r="R52">
        <f>INT(shadex('Shade - 1'!$D$9,'Shade - 1'!$E$9,'Shade - 1'!$F$9,'Shade - 1'!$D$7,Vertex!R52,Vertex!R117,Vertex!R182,Normal!R52,Normal!R117,Normal!R182)*255)</f>
        <v>0</v>
      </c>
      <c r="S52">
        <f>INT(shadex('Shade - 1'!$D$9,'Shade - 1'!$E$9,'Shade - 1'!$F$9,'Shade - 1'!$D$7,Vertex!S52,Vertex!S117,Vertex!S182,Normal!S52,Normal!S117,Normal!S182)*255)</f>
        <v>0</v>
      </c>
      <c r="T52">
        <f>INT(shadex('Shade - 1'!$D$9,'Shade - 1'!$E$9,'Shade - 1'!$F$9,'Shade - 1'!$D$7,Vertex!T52,Vertex!T117,Vertex!T182,Normal!T52,Normal!T117,Normal!T182)*255)</f>
        <v>30</v>
      </c>
      <c r="U52">
        <f>INT(shadex('Shade - 1'!$D$9,'Shade - 1'!$E$9,'Shade - 1'!$F$9,'Shade - 1'!$D$7,Vertex!U52,Vertex!U117,Vertex!U182,Normal!U52,Normal!U117,Normal!U182)*255)</f>
        <v>50</v>
      </c>
      <c r="V52">
        <f>INT(shadex('Shade - 1'!$D$9,'Shade - 1'!$E$9,'Shade - 1'!$F$9,'Shade - 1'!$D$7,Vertex!V52,Vertex!V117,Vertex!V182,Normal!V52,Normal!V117,Normal!V182)*255)</f>
        <v>48</v>
      </c>
      <c r="W52">
        <f>INT(shadex('Shade - 1'!$D$9,'Shade - 1'!$E$9,'Shade - 1'!$F$9,'Shade - 1'!$D$7,Vertex!W52,Vertex!W117,Vertex!W182,Normal!W52,Normal!W117,Normal!W182)*255)</f>
        <v>36</v>
      </c>
      <c r="X52">
        <f>INT(shadex('Shade - 1'!$D$9,'Shade - 1'!$E$9,'Shade - 1'!$F$9,'Shade - 1'!$D$7,Vertex!X52,Vertex!X117,Vertex!X182,Normal!X52,Normal!X117,Normal!X182)*255)</f>
        <v>29</v>
      </c>
      <c r="Y52">
        <f>INT(shadex('Shade - 1'!$D$9,'Shade - 1'!$E$9,'Shade - 1'!$F$9,'Shade - 1'!$D$7,Vertex!Y52,Vertex!Y117,Vertex!Y182,Normal!Y52,Normal!Y117,Normal!Y182)*255)</f>
        <v>36</v>
      </c>
      <c r="Z52">
        <f>INT(shadex('Shade - 1'!$D$9,'Shade - 1'!$E$9,'Shade - 1'!$F$9,'Shade - 1'!$D$7,Vertex!Z52,Vertex!Z117,Vertex!Z182,Normal!Z52,Normal!Z117,Normal!Z182)*255)</f>
        <v>40</v>
      </c>
      <c r="AA52">
        <f>INT(shadex('Shade - 1'!$D$9,'Shade - 1'!$E$9,'Shade - 1'!$F$9,'Shade - 1'!$D$7,Vertex!AA52,Vertex!AA117,Vertex!AA182,Normal!AA52,Normal!AA117,Normal!AA182)*255)</f>
        <v>57</v>
      </c>
      <c r="AB52">
        <f>INT(shadex('Shade - 1'!$D$9,'Shade - 1'!$E$9,'Shade - 1'!$F$9,'Shade - 1'!$D$7,Vertex!AB52,Vertex!AB117,Vertex!AB182,Normal!AB52,Normal!AB117,Normal!AB182)*255)</f>
        <v>57</v>
      </c>
      <c r="AC52">
        <f>INT(shadex('Shade - 1'!$D$9,'Shade - 1'!$E$9,'Shade - 1'!$F$9,'Shade - 1'!$D$7,Vertex!AC52,Vertex!AC117,Vertex!AC182,Normal!AC52,Normal!AC117,Normal!AC182)*255)</f>
        <v>41</v>
      </c>
      <c r="AD52">
        <f>INT(shadex('Shade - 1'!$D$9,'Shade - 1'!$E$9,'Shade - 1'!$F$9,'Shade - 1'!$D$7,Vertex!AD52,Vertex!AD117,Vertex!AD182,Normal!AD52,Normal!AD117,Normal!AD182)*255)</f>
        <v>42</v>
      </c>
      <c r="AE52">
        <f>INT(shadex('Shade - 1'!$D$9,'Shade - 1'!$E$9,'Shade - 1'!$F$9,'Shade - 1'!$D$7,Vertex!AE52,Vertex!AE117,Vertex!AE182,Normal!AE52,Normal!AE117,Normal!AE182)*255)</f>
        <v>44</v>
      </c>
      <c r="AF52">
        <f>INT(shadex('Shade - 1'!$D$9,'Shade - 1'!$E$9,'Shade - 1'!$F$9,'Shade - 1'!$D$7,Vertex!AF52,Vertex!AF117,Vertex!AF182,Normal!AF52,Normal!AF117,Normal!AF182)*255)</f>
        <v>49</v>
      </c>
      <c r="AG52">
        <f>INT(shadex('Shade - 1'!$D$9,'Shade - 1'!$E$9,'Shade - 1'!$F$9,'Shade - 1'!$D$7,Vertex!AG52,Vertex!AG117,Vertex!AG182,Normal!AG52,Normal!AG117,Normal!AG182)*255)</f>
        <v>55</v>
      </c>
      <c r="AH52">
        <f>INT(shadex('Shade - 1'!$D$9,'Shade - 1'!$E$9,'Shade - 1'!$F$9,'Shade - 1'!$D$7,Vertex!AH52,Vertex!AH117,Vertex!AH182,Normal!AH52,Normal!AH117,Normal!AH182)*255)</f>
        <v>62</v>
      </c>
      <c r="AI52" s="4">
        <f>INT(shadex('Shade - 1'!$D$9,'Shade - 1'!$E$9,'Shade - 1'!$F$9,'Shade - 1'!$D$7,Vertex!AI52,Vertex!AI117,Vertex!AI182,Normal!AI52,Normal!AI117,Normal!AI182)*255)</f>
        <v>66</v>
      </c>
      <c r="AJ52" s="4">
        <f>INT(shadex('Shade - 1'!$D$9,'Shade - 1'!$E$9,'Shade - 1'!$F$9,'Shade - 1'!$D$7,Vertex!AJ52,Vertex!AJ117,Vertex!AJ182,Normal!AJ52,Normal!AJ117,Normal!AJ182)*255)</f>
        <v>63</v>
      </c>
      <c r="AK52" s="4">
        <f>INT(shadex('Shade - 1'!$D$9,'Shade - 1'!$E$9,'Shade - 1'!$F$9,'Shade - 1'!$D$7,Vertex!AK52,Vertex!AK117,Vertex!AK182,Normal!AK52,Normal!AK117,Normal!AK182)*255)</f>
        <v>65</v>
      </c>
      <c r="AL52" s="4">
        <f>INT(shadex('Shade - 1'!$D$9,'Shade - 1'!$E$9,'Shade - 1'!$F$9,'Shade - 1'!$D$7,Vertex!AL52,Vertex!AL117,Vertex!AL182,Normal!AL52,Normal!AL117,Normal!AL182)*255)</f>
        <v>74</v>
      </c>
      <c r="AM52" s="4">
        <f>INT(shadex('Shade - 1'!$D$9,'Shade - 1'!$E$9,'Shade - 1'!$F$9,'Shade - 1'!$D$7,Vertex!AM52,Vertex!AM117,Vertex!AM182,Normal!AM52,Normal!AM117,Normal!AM182)*255)</f>
        <v>87</v>
      </c>
      <c r="AN52" s="4">
        <f>INT(shadex('Shade - 1'!$D$9,'Shade - 1'!$E$9,'Shade - 1'!$F$9,'Shade - 1'!$D$7,Vertex!AN52,Vertex!AN117,Vertex!AN182,Normal!AN52,Normal!AN117,Normal!AN182)*255)</f>
        <v>93</v>
      </c>
      <c r="AO52" s="4">
        <f>INT(shadex('Shade - 1'!$D$9,'Shade - 1'!$E$9,'Shade - 1'!$F$9,'Shade - 1'!$D$7,Vertex!AO52,Vertex!AO117,Vertex!AO182,Normal!AO52,Normal!AO117,Normal!AO182)*255)</f>
        <v>88</v>
      </c>
      <c r="AP52" s="4">
        <f>INT(shadex('Shade - 1'!$D$9,'Shade - 1'!$E$9,'Shade - 1'!$F$9,'Shade - 1'!$D$7,Vertex!AP52,Vertex!AP117,Vertex!AP182,Normal!AP52,Normal!AP117,Normal!AP182)*255)</f>
        <v>74</v>
      </c>
      <c r="AQ52" s="4">
        <f>INT(shadex('Shade - 1'!$D$9,'Shade - 1'!$E$9,'Shade - 1'!$F$9,'Shade - 1'!$D$7,Vertex!AQ52,Vertex!AQ117,Vertex!AQ182,Normal!AQ52,Normal!AQ117,Normal!AQ182)*255)</f>
        <v>58</v>
      </c>
      <c r="AR52" s="4">
        <f>INT(shadex('Shade - 1'!$D$9,'Shade - 1'!$E$9,'Shade - 1'!$F$9,'Shade - 1'!$D$7,Vertex!AR52,Vertex!AR117,Vertex!AR182,Normal!AR52,Normal!AR117,Normal!AR182)*255)</f>
        <v>56</v>
      </c>
      <c r="AS52" s="4">
        <f>INT(shadex('Shade - 1'!$D$9,'Shade - 1'!$E$9,'Shade - 1'!$F$9,'Shade - 1'!$D$7,Vertex!AS52,Vertex!AS117,Vertex!AS182,Normal!AS52,Normal!AS117,Normal!AS182)*255)</f>
        <v>51</v>
      </c>
      <c r="AT52" s="4">
        <f>INT(shadex('Shade - 1'!$D$9,'Shade - 1'!$E$9,'Shade - 1'!$F$9,'Shade - 1'!$D$7,Vertex!AT52,Vertex!AT117,Vertex!AT182,Normal!AT52,Normal!AT117,Normal!AT182)*255)</f>
        <v>61</v>
      </c>
      <c r="AU52" s="4">
        <f>INT(shadex('Shade - 1'!$D$9,'Shade - 1'!$E$9,'Shade - 1'!$F$9,'Shade - 1'!$D$7,Vertex!AU52,Vertex!AU117,Vertex!AU182,Normal!AU52,Normal!AU117,Normal!AU182)*255)</f>
        <v>68</v>
      </c>
      <c r="AV52" s="4">
        <f>INT(shadex('Shade - 1'!$D$9,'Shade - 1'!$E$9,'Shade - 1'!$F$9,'Shade - 1'!$D$7,Vertex!AV52,Vertex!AV117,Vertex!AV182,Normal!AV52,Normal!AV117,Normal!AV182)*255)</f>
        <v>70</v>
      </c>
      <c r="AW52" s="4">
        <f>INT(shadex('Shade - 1'!$D$9,'Shade - 1'!$E$9,'Shade - 1'!$F$9,'Shade - 1'!$D$7,Vertex!AW52,Vertex!AW117,Vertex!AW182,Normal!AW52,Normal!AW117,Normal!AW182)*255)</f>
        <v>65</v>
      </c>
      <c r="AX52" s="4">
        <f>INT(shadex('Shade - 1'!$D$9,'Shade - 1'!$E$9,'Shade - 1'!$F$9,'Shade - 1'!$D$7,Vertex!AX52,Vertex!AX117,Vertex!AX182,Normal!AX52,Normal!AX117,Normal!AX182)*255)</f>
        <v>53</v>
      </c>
      <c r="AY52" s="4">
        <f>INT(shadex('Shade - 1'!$D$9,'Shade - 1'!$E$9,'Shade - 1'!$F$9,'Shade - 1'!$D$7,Vertex!AY52,Vertex!AY117,Vertex!AY182,Normal!AY52,Normal!AY117,Normal!AY182)*255)</f>
        <v>74</v>
      </c>
      <c r="AZ52" s="4">
        <f>INT(shadex('Shade - 1'!$D$9,'Shade - 1'!$E$9,'Shade - 1'!$F$9,'Shade - 1'!$D$7,Vertex!AZ52,Vertex!AZ117,Vertex!AZ182,Normal!AZ52,Normal!AZ117,Normal!AZ182)*255)</f>
        <v>74</v>
      </c>
      <c r="BA52" s="4">
        <f>INT(shadex('Shade - 1'!$D$9,'Shade - 1'!$E$9,'Shade - 1'!$F$9,'Shade - 1'!$D$7,Vertex!BA52,Vertex!BA117,Vertex!BA182,Normal!BA52,Normal!BA117,Normal!BA182)*255)</f>
        <v>52</v>
      </c>
      <c r="BB52" s="4">
        <f>INT(shadex('Shade - 1'!$D$9,'Shade - 1'!$E$9,'Shade - 1'!$F$9,'Shade - 1'!$D$7,Vertex!BB52,Vertex!BB117,Vertex!BB182,Normal!BB52,Normal!BB117,Normal!BB182)*255)</f>
        <v>36</v>
      </c>
      <c r="BC52" s="4">
        <f>INT(shadex('Shade - 1'!$D$9,'Shade - 1'!$E$9,'Shade - 1'!$F$9,'Shade - 1'!$D$7,Vertex!BC52,Vertex!BC117,Vertex!BC182,Normal!BC52,Normal!BC117,Normal!BC182)*255)</f>
        <v>39</v>
      </c>
      <c r="BD52" s="4">
        <f>INT(shadex('Shade - 1'!$D$9,'Shade - 1'!$E$9,'Shade - 1'!$F$9,'Shade - 1'!$D$7,Vertex!BD52,Vertex!BD117,Vertex!BD182,Normal!BD52,Normal!BD117,Normal!BD182)*255)</f>
        <v>69</v>
      </c>
      <c r="BE52" s="4">
        <f>INT(shadex('Shade - 1'!$D$9,'Shade - 1'!$E$9,'Shade - 1'!$F$9,'Shade - 1'!$D$7,Vertex!BE52,Vertex!BE117,Vertex!BE182,Normal!BE52,Normal!BE117,Normal!BE182)*255)</f>
        <v>92</v>
      </c>
      <c r="BF52" s="4">
        <f>INT(shadex('Shade - 1'!$D$9,'Shade - 1'!$E$9,'Shade - 1'!$F$9,'Shade - 1'!$D$7,Vertex!BF52,Vertex!BF117,Vertex!BF182,Normal!BF52,Normal!BF117,Normal!BF182)*255)</f>
        <v>95</v>
      </c>
      <c r="BG52" s="4">
        <f>INT(shadex('Shade - 1'!$D$9,'Shade - 1'!$E$9,'Shade - 1'!$F$9,'Shade - 1'!$D$7,Vertex!BG52,Vertex!BG117,Vertex!BG182,Normal!BG52,Normal!BG117,Normal!BG182)*255)</f>
        <v>90</v>
      </c>
      <c r="BH52" s="4">
        <f>INT(shadex('Shade - 1'!$D$9,'Shade - 1'!$E$9,'Shade - 1'!$F$9,'Shade - 1'!$D$7,Vertex!BH52,Vertex!BH117,Vertex!BH182,Normal!BH52,Normal!BH117,Normal!BH182)*255)</f>
        <v>84</v>
      </c>
      <c r="BI52" s="4">
        <f>INT(shadex('Shade - 1'!$D$9,'Shade - 1'!$E$9,'Shade - 1'!$F$9,'Shade - 1'!$D$7,Vertex!BI52,Vertex!BI117,Vertex!BI182,Normal!BI52,Normal!BI117,Normal!BI182)*255)</f>
        <v>90</v>
      </c>
      <c r="BJ52" s="4">
        <f>INT(shadex('Shade - 1'!$D$9,'Shade - 1'!$E$9,'Shade - 1'!$F$9,'Shade - 1'!$D$7,Vertex!BJ52,Vertex!BJ117,Vertex!BJ182,Normal!BJ52,Normal!BJ117,Normal!BJ182)*255)</f>
        <v>92</v>
      </c>
      <c r="BK52" s="4">
        <f>INT(shadex('Shade - 1'!$D$9,'Shade - 1'!$E$9,'Shade - 1'!$F$9,'Shade - 1'!$D$7,Vertex!BK52,Vertex!BK117,Vertex!BK182,Normal!BK52,Normal!BK117,Normal!BK182)*255)</f>
        <v>95</v>
      </c>
      <c r="BL52" s="4">
        <f>INT(shadex('Shade - 1'!$D$9,'Shade - 1'!$E$9,'Shade - 1'!$F$9,'Shade - 1'!$D$7,Vertex!BL52,Vertex!BL117,Vertex!BL182,Normal!BL52,Normal!BL117,Normal!BL182)*255)</f>
        <v>97</v>
      </c>
    </row>
    <row r="53" spans="1:64" x14ac:dyDescent="0.25">
      <c r="A53">
        <f>INT(shadex('Shade - 1'!$D$9,'Shade - 1'!$E$9,'Shade - 1'!$F$9,'Shade - 1'!$D$7,Vertex!A53,Vertex!A118,Vertex!A183,Normal!A53,Normal!A118,Normal!A183)*255)</f>
        <v>61</v>
      </c>
      <c r="B53">
        <f>INT(shadex('Shade - 1'!$D$9,'Shade - 1'!$E$9,'Shade - 1'!$F$9,'Shade - 1'!$D$7,Vertex!B53,Vertex!B118,Vertex!B183,Normal!B53,Normal!B118,Normal!B183)*255)</f>
        <v>51</v>
      </c>
      <c r="C53">
        <f>INT(shadex('Shade - 1'!$D$9,'Shade - 1'!$E$9,'Shade - 1'!$F$9,'Shade - 1'!$D$7,Vertex!C53,Vertex!C118,Vertex!C183,Normal!C53,Normal!C118,Normal!C183)*255)</f>
        <v>48</v>
      </c>
      <c r="D53">
        <f>INT(shadex('Shade - 1'!$D$9,'Shade - 1'!$E$9,'Shade - 1'!$F$9,'Shade - 1'!$D$7,Vertex!D53,Vertex!D118,Vertex!D183,Normal!D53,Normal!D118,Normal!D183)*255)</f>
        <v>35</v>
      </c>
      <c r="E53">
        <f>INT(shadex('Shade - 1'!$D$9,'Shade - 1'!$E$9,'Shade - 1'!$F$9,'Shade - 1'!$D$7,Vertex!E53,Vertex!E118,Vertex!E183,Normal!E53,Normal!E118,Normal!E183)*255)</f>
        <v>55</v>
      </c>
      <c r="F53">
        <f>INT(shadex('Shade - 1'!$D$9,'Shade - 1'!$E$9,'Shade - 1'!$F$9,'Shade - 1'!$D$7,Vertex!F53,Vertex!F118,Vertex!F183,Normal!F53,Normal!F118,Normal!F183)*255)</f>
        <v>79</v>
      </c>
      <c r="G53">
        <f>INT(shadex('Shade - 1'!$D$9,'Shade - 1'!$E$9,'Shade - 1'!$F$9,'Shade - 1'!$D$7,Vertex!G53,Vertex!G118,Vertex!G183,Normal!G53,Normal!G118,Normal!G183)*255)</f>
        <v>63</v>
      </c>
      <c r="H53">
        <f>INT(shadex('Shade - 1'!$D$9,'Shade - 1'!$E$9,'Shade - 1'!$F$9,'Shade - 1'!$D$7,Vertex!H53,Vertex!H118,Vertex!H183,Normal!H53,Normal!H118,Normal!H183)*255)</f>
        <v>44</v>
      </c>
      <c r="I53">
        <f>INT(shadex('Shade - 1'!$D$9,'Shade - 1'!$E$9,'Shade - 1'!$F$9,'Shade - 1'!$D$7,Vertex!I53,Vertex!I118,Vertex!I183,Normal!I53,Normal!I118,Normal!I183)*255)</f>
        <v>27</v>
      </c>
      <c r="J53">
        <f>INT(shadex('Shade - 1'!$D$9,'Shade - 1'!$E$9,'Shade - 1'!$F$9,'Shade - 1'!$D$7,Vertex!J53,Vertex!J118,Vertex!J183,Normal!J53,Normal!J118,Normal!J183)*255)</f>
        <v>27</v>
      </c>
      <c r="K53">
        <f>INT(shadex('Shade - 1'!$D$9,'Shade - 1'!$E$9,'Shade - 1'!$F$9,'Shade - 1'!$D$7,Vertex!K53,Vertex!K118,Vertex!K183,Normal!K53,Normal!K118,Normal!K183)*255)</f>
        <v>0</v>
      </c>
      <c r="L53">
        <f>INT(shadex('Shade - 1'!$D$9,'Shade - 1'!$E$9,'Shade - 1'!$F$9,'Shade - 1'!$D$7,Vertex!L53,Vertex!L118,Vertex!L183,Normal!L53,Normal!L118,Normal!L183)*255)</f>
        <v>0</v>
      </c>
      <c r="M53">
        <f>INT(shadex('Shade - 1'!$D$9,'Shade - 1'!$E$9,'Shade - 1'!$F$9,'Shade - 1'!$D$7,Vertex!M53,Vertex!M118,Vertex!M183,Normal!M53,Normal!M118,Normal!M183)*255)</f>
        <v>32</v>
      </c>
      <c r="N53">
        <f>INT(shadex('Shade - 1'!$D$9,'Shade - 1'!$E$9,'Shade - 1'!$F$9,'Shade - 1'!$D$7,Vertex!N53,Vertex!N118,Vertex!N183,Normal!N53,Normal!N118,Normal!N183)*255)</f>
        <v>53</v>
      </c>
      <c r="O53">
        <f>INT(shadex('Shade - 1'!$D$9,'Shade - 1'!$E$9,'Shade - 1'!$F$9,'Shade - 1'!$D$7,Vertex!O53,Vertex!O118,Vertex!O183,Normal!O53,Normal!O118,Normal!O183)*255)</f>
        <v>41</v>
      </c>
      <c r="P53">
        <f>INT(shadex('Shade - 1'!$D$9,'Shade - 1'!$E$9,'Shade - 1'!$F$9,'Shade - 1'!$D$7,Vertex!P53,Vertex!P118,Vertex!P183,Normal!P53,Normal!P118,Normal!P183)*255)</f>
        <v>0</v>
      </c>
      <c r="Q53">
        <f>INT(shadex('Shade - 1'!$D$9,'Shade - 1'!$E$9,'Shade - 1'!$F$9,'Shade - 1'!$D$7,Vertex!Q53,Vertex!Q118,Vertex!Q183,Normal!Q53,Normal!Q118,Normal!Q183)*255)</f>
        <v>0</v>
      </c>
      <c r="R53">
        <f>INT(shadex('Shade - 1'!$D$9,'Shade - 1'!$E$9,'Shade - 1'!$F$9,'Shade - 1'!$D$7,Vertex!R53,Vertex!R118,Vertex!R183,Normal!R53,Normal!R118,Normal!R183)*255)</f>
        <v>0</v>
      </c>
      <c r="S53">
        <f>INT(shadex('Shade - 1'!$D$9,'Shade - 1'!$E$9,'Shade - 1'!$F$9,'Shade - 1'!$D$7,Vertex!S53,Vertex!S118,Vertex!S183,Normal!S53,Normal!S118,Normal!S183)*255)</f>
        <v>0</v>
      </c>
      <c r="T53">
        <f>INT(shadex('Shade - 1'!$D$9,'Shade - 1'!$E$9,'Shade - 1'!$F$9,'Shade - 1'!$D$7,Vertex!T53,Vertex!T118,Vertex!T183,Normal!T53,Normal!T118,Normal!T183)*255)</f>
        <v>0</v>
      </c>
      <c r="U53">
        <f>INT(shadex('Shade - 1'!$D$9,'Shade - 1'!$E$9,'Shade - 1'!$F$9,'Shade - 1'!$D$7,Vertex!U53,Vertex!U118,Vertex!U183,Normal!U53,Normal!U118,Normal!U183)*255)</f>
        <v>31</v>
      </c>
      <c r="V53">
        <f>INT(shadex('Shade - 1'!$D$9,'Shade - 1'!$E$9,'Shade - 1'!$F$9,'Shade - 1'!$D$7,Vertex!V53,Vertex!V118,Vertex!V183,Normal!V53,Normal!V118,Normal!V183)*255)</f>
        <v>42</v>
      </c>
      <c r="W53">
        <f>INT(shadex('Shade - 1'!$D$9,'Shade - 1'!$E$9,'Shade - 1'!$F$9,'Shade - 1'!$D$7,Vertex!W53,Vertex!W118,Vertex!W183,Normal!W53,Normal!W118,Normal!W183)*255)</f>
        <v>34</v>
      </c>
      <c r="X53">
        <f>INT(shadex('Shade - 1'!$D$9,'Shade - 1'!$E$9,'Shade - 1'!$F$9,'Shade - 1'!$D$7,Vertex!X53,Vertex!X118,Vertex!X183,Normal!X53,Normal!X118,Normal!X183)*255)</f>
        <v>30</v>
      </c>
      <c r="Y53">
        <f>INT(shadex('Shade - 1'!$D$9,'Shade - 1'!$E$9,'Shade - 1'!$F$9,'Shade - 1'!$D$7,Vertex!Y53,Vertex!Y118,Vertex!Y183,Normal!Y53,Normal!Y118,Normal!Y183)*255)</f>
        <v>26</v>
      </c>
      <c r="Z53">
        <f>INT(shadex('Shade - 1'!$D$9,'Shade - 1'!$E$9,'Shade - 1'!$F$9,'Shade - 1'!$D$7,Vertex!Z53,Vertex!Z118,Vertex!Z183,Normal!Z53,Normal!Z118,Normal!Z183)*255)</f>
        <v>25</v>
      </c>
      <c r="AA53">
        <f>INT(shadex('Shade - 1'!$D$9,'Shade - 1'!$E$9,'Shade - 1'!$F$9,'Shade - 1'!$D$7,Vertex!AA53,Vertex!AA118,Vertex!AA183,Normal!AA53,Normal!AA118,Normal!AA183)*255)</f>
        <v>38</v>
      </c>
      <c r="AB53">
        <f>INT(shadex('Shade - 1'!$D$9,'Shade - 1'!$E$9,'Shade - 1'!$F$9,'Shade - 1'!$D$7,Vertex!AB53,Vertex!AB118,Vertex!AB183,Normal!AB53,Normal!AB118,Normal!AB183)*255)</f>
        <v>45</v>
      </c>
      <c r="AC53">
        <f>INT(shadex('Shade - 1'!$D$9,'Shade - 1'!$E$9,'Shade - 1'!$F$9,'Shade - 1'!$D$7,Vertex!AC53,Vertex!AC118,Vertex!AC183,Normal!AC53,Normal!AC118,Normal!AC183)*255)</f>
        <v>48</v>
      </c>
      <c r="AD53">
        <f>INT(shadex('Shade - 1'!$D$9,'Shade - 1'!$E$9,'Shade - 1'!$F$9,'Shade - 1'!$D$7,Vertex!AD53,Vertex!AD118,Vertex!AD183,Normal!AD53,Normal!AD118,Normal!AD183)*255)</f>
        <v>52</v>
      </c>
      <c r="AE53">
        <f>INT(shadex('Shade - 1'!$D$9,'Shade - 1'!$E$9,'Shade - 1'!$F$9,'Shade - 1'!$D$7,Vertex!AE53,Vertex!AE118,Vertex!AE183,Normal!AE53,Normal!AE118,Normal!AE183)*255)</f>
        <v>51</v>
      </c>
      <c r="AF53">
        <f>INT(shadex('Shade - 1'!$D$9,'Shade - 1'!$E$9,'Shade - 1'!$F$9,'Shade - 1'!$D$7,Vertex!AF53,Vertex!AF118,Vertex!AF183,Normal!AF53,Normal!AF118,Normal!AF183)*255)</f>
        <v>52</v>
      </c>
      <c r="AG53">
        <f>INT(shadex('Shade - 1'!$D$9,'Shade - 1'!$E$9,'Shade - 1'!$F$9,'Shade - 1'!$D$7,Vertex!AG53,Vertex!AG118,Vertex!AG183,Normal!AG53,Normal!AG118,Normal!AG183)*255)</f>
        <v>54</v>
      </c>
      <c r="AH53">
        <f>INT(shadex('Shade - 1'!$D$9,'Shade - 1'!$E$9,'Shade - 1'!$F$9,'Shade - 1'!$D$7,Vertex!AH53,Vertex!AH118,Vertex!AH183,Normal!AH53,Normal!AH118,Normal!AH183)*255)</f>
        <v>56</v>
      </c>
      <c r="AI53" s="4">
        <f>INT(shadex('Shade - 1'!$D$9,'Shade - 1'!$E$9,'Shade - 1'!$F$9,'Shade - 1'!$D$7,Vertex!AI53,Vertex!AI118,Vertex!AI183,Normal!AI53,Normal!AI118,Normal!AI183)*255)</f>
        <v>60</v>
      </c>
      <c r="AJ53" s="4">
        <f>INT(shadex('Shade - 1'!$D$9,'Shade - 1'!$E$9,'Shade - 1'!$F$9,'Shade - 1'!$D$7,Vertex!AJ53,Vertex!AJ118,Vertex!AJ183,Normal!AJ53,Normal!AJ118,Normal!AJ183)*255)</f>
        <v>64</v>
      </c>
      <c r="AK53" s="4">
        <f>INT(shadex('Shade - 1'!$D$9,'Shade - 1'!$E$9,'Shade - 1'!$F$9,'Shade - 1'!$D$7,Vertex!AK53,Vertex!AK118,Vertex!AK183,Normal!AK53,Normal!AK118,Normal!AK183)*255)</f>
        <v>65</v>
      </c>
      <c r="AL53" s="4">
        <f>INT(shadex('Shade - 1'!$D$9,'Shade - 1'!$E$9,'Shade - 1'!$F$9,'Shade - 1'!$D$7,Vertex!AL53,Vertex!AL118,Vertex!AL183,Normal!AL53,Normal!AL118,Normal!AL183)*255)</f>
        <v>63</v>
      </c>
      <c r="AM53" s="4">
        <f>INT(shadex('Shade - 1'!$D$9,'Shade - 1'!$E$9,'Shade - 1'!$F$9,'Shade - 1'!$D$7,Vertex!AM53,Vertex!AM118,Vertex!AM183,Normal!AM53,Normal!AM118,Normal!AM183)*255)</f>
        <v>78</v>
      </c>
      <c r="AN53" s="4">
        <f>INT(shadex('Shade - 1'!$D$9,'Shade - 1'!$E$9,'Shade - 1'!$F$9,'Shade - 1'!$D$7,Vertex!AN53,Vertex!AN118,Vertex!AN183,Normal!AN53,Normal!AN118,Normal!AN183)*255)</f>
        <v>83</v>
      </c>
      <c r="AO53" s="4">
        <f>INT(shadex('Shade - 1'!$D$9,'Shade - 1'!$E$9,'Shade - 1'!$F$9,'Shade - 1'!$D$7,Vertex!AO53,Vertex!AO118,Vertex!AO183,Normal!AO53,Normal!AO118,Normal!AO183)*255)</f>
        <v>79</v>
      </c>
      <c r="AP53" s="4">
        <f>INT(shadex('Shade - 1'!$D$9,'Shade - 1'!$E$9,'Shade - 1'!$F$9,'Shade - 1'!$D$7,Vertex!AP53,Vertex!AP118,Vertex!AP183,Normal!AP53,Normal!AP118,Normal!AP183)*255)</f>
        <v>73</v>
      </c>
      <c r="AQ53" s="4">
        <f>INT(shadex('Shade - 1'!$D$9,'Shade - 1'!$E$9,'Shade - 1'!$F$9,'Shade - 1'!$D$7,Vertex!AQ53,Vertex!AQ118,Vertex!AQ183,Normal!AQ53,Normal!AQ118,Normal!AQ183)*255)</f>
        <v>67</v>
      </c>
      <c r="AR53" s="4">
        <f>INT(shadex('Shade - 1'!$D$9,'Shade - 1'!$E$9,'Shade - 1'!$F$9,'Shade - 1'!$D$7,Vertex!AR53,Vertex!AR118,Vertex!AR183,Normal!AR53,Normal!AR118,Normal!AR183)*255)</f>
        <v>69</v>
      </c>
      <c r="AS53" s="4">
        <f>INT(shadex('Shade - 1'!$D$9,'Shade - 1'!$E$9,'Shade - 1'!$F$9,'Shade - 1'!$D$7,Vertex!AS53,Vertex!AS118,Vertex!AS183,Normal!AS53,Normal!AS118,Normal!AS183)*255)</f>
        <v>60</v>
      </c>
      <c r="AT53" s="4">
        <f>INT(shadex('Shade - 1'!$D$9,'Shade - 1'!$E$9,'Shade - 1'!$F$9,'Shade - 1'!$D$7,Vertex!AT53,Vertex!AT118,Vertex!AT183,Normal!AT53,Normal!AT118,Normal!AT183)*255)</f>
        <v>62</v>
      </c>
      <c r="AU53" s="4">
        <f>INT(shadex('Shade - 1'!$D$9,'Shade - 1'!$E$9,'Shade - 1'!$F$9,'Shade - 1'!$D$7,Vertex!AU53,Vertex!AU118,Vertex!AU183,Normal!AU53,Normal!AU118,Normal!AU183)*255)</f>
        <v>66</v>
      </c>
      <c r="AV53" s="4">
        <f>INT(shadex('Shade - 1'!$D$9,'Shade - 1'!$E$9,'Shade - 1'!$F$9,'Shade - 1'!$D$7,Vertex!AV53,Vertex!AV118,Vertex!AV183,Normal!AV53,Normal!AV118,Normal!AV183)*255)</f>
        <v>65</v>
      </c>
      <c r="AW53" s="4">
        <f>INT(shadex('Shade - 1'!$D$9,'Shade - 1'!$E$9,'Shade - 1'!$F$9,'Shade - 1'!$D$7,Vertex!AW53,Vertex!AW118,Vertex!AW183,Normal!AW53,Normal!AW118,Normal!AW183)*255)</f>
        <v>56</v>
      </c>
      <c r="AX53" s="4">
        <f>INT(shadex('Shade - 1'!$D$9,'Shade - 1'!$E$9,'Shade - 1'!$F$9,'Shade - 1'!$D$7,Vertex!AX53,Vertex!AX118,Vertex!AX183,Normal!AX53,Normal!AX118,Normal!AX183)*255)</f>
        <v>49</v>
      </c>
      <c r="AY53" s="4">
        <f>INT(shadex('Shade - 1'!$D$9,'Shade - 1'!$E$9,'Shade - 1'!$F$9,'Shade - 1'!$D$7,Vertex!AY53,Vertex!AY118,Vertex!AY183,Normal!AY53,Normal!AY118,Normal!AY183)*255)</f>
        <v>74</v>
      </c>
      <c r="AZ53" s="4">
        <f>INT(shadex('Shade - 1'!$D$9,'Shade - 1'!$E$9,'Shade - 1'!$F$9,'Shade - 1'!$D$7,Vertex!AZ53,Vertex!AZ118,Vertex!AZ183,Normal!AZ53,Normal!AZ118,Normal!AZ183)*255)</f>
        <v>74</v>
      </c>
      <c r="BA53" s="4">
        <f>INT(shadex('Shade - 1'!$D$9,'Shade - 1'!$E$9,'Shade - 1'!$F$9,'Shade - 1'!$D$7,Vertex!BA53,Vertex!BA118,Vertex!BA183,Normal!BA53,Normal!BA118,Normal!BA183)*255)</f>
        <v>59</v>
      </c>
      <c r="BB53" s="4">
        <f>INT(shadex('Shade - 1'!$D$9,'Shade - 1'!$E$9,'Shade - 1'!$F$9,'Shade - 1'!$D$7,Vertex!BB53,Vertex!BB118,Vertex!BB183,Normal!BB53,Normal!BB118,Normal!BB183)*255)</f>
        <v>43</v>
      </c>
      <c r="BC53" s="4">
        <f>INT(shadex('Shade - 1'!$D$9,'Shade - 1'!$E$9,'Shade - 1'!$F$9,'Shade - 1'!$D$7,Vertex!BC53,Vertex!BC118,Vertex!BC183,Normal!BC53,Normal!BC118,Normal!BC183)*255)</f>
        <v>37</v>
      </c>
      <c r="BD53" s="4">
        <f>INT(shadex('Shade - 1'!$D$9,'Shade - 1'!$E$9,'Shade - 1'!$F$9,'Shade - 1'!$D$7,Vertex!BD53,Vertex!BD118,Vertex!BD183,Normal!BD53,Normal!BD118,Normal!BD183)*255)</f>
        <v>50</v>
      </c>
      <c r="BE53" s="4">
        <f>INT(shadex('Shade - 1'!$D$9,'Shade - 1'!$E$9,'Shade - 1'!$F$9,'Shade - 1'!$D$7,Vertex!BE53,Vertex!BE118,Vertex!BE183,Normal!BE53,Normal!BE118,Normal!BE183)*255)</f>
        <v>78</v>
      </c>
      <c r="BF53" s="4">
        <f>INT(shadex('Shade - 1'!$D$9,'Shade - 1'!$E$9,'Shade - 1'!$F$9,'Shade - 1'!$D$7,Vertex!BF53,Vertex!BF118,Vertex!BF183,Normal!BF53,Normal!BF118,Normal!BF183)*255)</f>
        <v>95</v>
      </c>
      <c r="BG53" s="4">
        <f>INT(shadex('Shade - 1'!$D$9,'Shade - 1'!$E$9,'Shade - 1'!$F$9,'Shade - 1'!$D$7,Vertex!BG53,Vertex!BG118,Vertex!BG183,Normal!BG53,Normal!BG118,Normal!BG183)*255)</f>
        <v>97</v>
      </c>
      <c r="BH53" s="4">
        <f>INT(shadex('Shade - 1'!$D$9,'Shade - 1'!$E$9,'Shade - 1'!$F$9,'Shade - 1'!$D$7,Vertex!BH53,Vertex!BH118,Vertex!BH183,Normal!BH53,Normal!BH118,Normal!BH183)*255)</f>
        <v>93</v>
      </c>
      <c r="BI53" s="4">
        <f>INT(shadex('Shade - 1'!$D$9,'Shade - 1'!$E$9,'Shade - 1'!$F$9,'Shade - 1'!$D$7,Vertex!BI53,Vertex!BI118,Vertex!BI183,Normal!BI53,Normal!BI118,Normal!BI183)*255)</f>
        <v>93</v>
      </c>
      <c r="BJ53" s="4">
        <f>INT(shadex('Shade - 1'!$D$9,'Shade - 1'!$E$9,'Shade - 1'!$F$9,'Shade - 1'!$D$7,Vertex!BJ53,Vertex!BJ118,Vertex!BJ183,Normal!BJ53,Normal!BJ118,Normal!BJ183)*255)</f>
        <v>92</v>
      </c>
      <c r="BK53" s="4">
        <f>INT(shadex('Shade - 1'!$D$9,'Shade - 1'!$E$9,'Shade - 1'!$F$9,'Shade - 1'!$D$7,Vertex!BK53,Vertex!BK118,Vertex!BK183,Normal!BK53,Normal!BK118,Normal!BK183)*255)</f>
        <v>94</v>
      </c>
      <c r="BL53" s="4">
        <f>INT(shadex('Shade - 1'!$D$9,'Shade - 1'!$E$9,'Shade - 1'!$F$9,'Shade - 1'!$D$7,Vertex!BL53,Vertex!BL118,Vertex!BL183,Normal!BL53,Normal!BL118,Normal!BL183)*255)</f>
        <v>96</v>
      </c>
    </row>
    <row r="54" spans="1:64" x14ac:dyDescent="0.25">
      <c r="A54">
        <f>INT(shadex('Shade - 1'!$D$9,'Shade - 1'!$E$9,'Shade - 1'!$F$9,'Shade - 1'!$D$7,Vertex!A54,Vertex!A119,Vertex!A184,Normal!A54,Normal!A119,Normal!A184)*255)</f>
        <v>43</v>
      </c>
      <c r="B54">
        <f>INT(shadex('Shade - 1'!$D$9,'Shade - 1'!$E$9,'Shade - 1'!$F$9,'Shade - 1'!$D$7,Vertex!B54,Vertex!B119,Vertex!B184,Normal!B54,Normal!B119,Normal!B184)*255)</f>
        <v>37</v>
      </c>
      <c r="C54">
        <f>INT(shadex('Shade - 1'!$D$9,'Shade - 1'!$E$9,'Shade - 1'!$F$9,'Shade - 1'!$D$7,Vertex!C54,Vertex!C119,Vertex!C184,Normal!C54,Normal!C119,Normal!C184)*255)</f>
        <v>52</v>
      </c>
      <c r="D54">
        <f>INT(shadex('Shade - 1'!$D$9,'Shade - 1'!$E$9,'Shade - 1'!$F$9,'Shade - 1'!$D$7,Vertex!D54,Vertex!D119,Vertex!D184,Normal!D54,Normal!D119,Normal!D184)*255)</f>
        <v>48</v>
      </c>
      <c r="E54">
        <f>INT(shadex('Shade - 1'!$D$9,'Shade - 1'!$E$9,'Shade - 1'!$F$9,'Shade - 1'!$D$7,Vertex!E54,Vertex!E119,Vertex!E184,Normal!E54,Normal!E119,Normal!E184)*255)</f>
        <v>48</v>
      </c>
      <c r="F54">
        <f>INT(shadex('Shade - 1'!$D$9,'Shade - 1'!$E$9,'Shade - 1'!$F$9,'Shade - 1'!$D$7,Vertex!F54,Vertex!F119,Vertex!F184,Normal!F54,Normal!F119,Normal!F184)*255)</f>
        <v>73</v>
      </c>
      <c r="G54">
        <f>INT(shadex('Shade - 1'!$D$9,'Shade - 1'!$E$9,'Shade - 1'!$F$9,'Shade - 1'!$D$7,Vertex!G54,Vertex!G119,Vertex!G184,Normal!G54,Normal!G119,Normal!G184)*255)</f>
        <v>76</v>
      </c>
      <c r="H54">
        <f>INT(shadex('Shade - 1'!$D$9,'Shade - 1'!$E$9,'Shade - 1'!$F$9,'Shade - 1'!$D$7,Vertex!H54,Vertex!H119,Vertex!H184,Normal!H54,Normal!H119,Normal!H184)*255)</f>
        <v>71</v>
      </c>
      <c r="I54">
        <f>INT(shadex('Shade - 1'!$D$9,'Shade - 1'!$E$9,'Shade - 1'!$F$9,'Shade - 1'!$D$7,Vertex!I54,Vertex!I119,Vertex!I184,Normal!I54,Normal!I119,Normal!I184)*255)</f>
        <v>48</v>
      </c>
      <c r="J54">
        <f>INT(shadex('Shade - 1'!$D$9,'Shade - 1'!$E$9,'Shade - 1'!$F$9,'Shade - 1'!$D$7,Vertex!J54,Vertex!J119,Vertex!J184,Normal!J54,Normal!J119,Normal!J184)*255)</f>
        <v>42</v>
      </c>
      <c r="K54">
        <f>INT(shadex('Shade - 1'!$D$9,'Shade - 1'!$E$9,'Shade - 1'!$F$9,'Shade - 1'!$D$7,Vertex!K54,Vertex!K119,Vertex!K184,Normal!K54,Normal!K119,Normal!K184)*255)</f>
        <v>0</v>
      </c>
      <c r="L54">
        <f>INT(shadex('Shade - 1'!$D$9,'Shade - 1'!$E$9,'Shade - 1'!$F$9,'Shade - 1'!$D$7,Vertex!L54,Vertex!L119,Vertex!L184,Normal!L54,Normal!L119,Normal!L184)*255)</f>
        <v>0</v>
      </c>
      <c r="M54">
        <f>INT(shadex('Shade - 1'!$D$9,'Shade - 1'!$E$9,'Shade - 1'!$F$9,'Shade - 1'!$D$7,Vertex!M54,Vertex!M119,Vertex!M184,Normal!M54,Normal!M119,Normal!M184)*255)</f>
        <v>37</v>
      </c>
      <c r="N54">
        <f>INT(shadex('Shade - 1'!$D$9,'Shade - 1'!$E$9,'Shade - 1'!$F$9,'Shade - 1'!$D$7,Vertex!N54,Vertex!N119,Vertex!N184,Normal!N54,Normal!N119,Normal!N184)*255)</f>
        <v>60</v>
      </c>
      <c r="O54">
        <f>INT(shadex('Shade - 1'!$D$9,'Shade - 1'!$E$9,'Shade - 1'!$F$9,'Shade - 1'!$D$7,Vertex!O54,Vertex!O119,Vertex!O184,Normal!O54,Normal!O119,Normal!O184)*255)</f>
        <v>59</v>
      </c>
      <c r="P54">
        <f>INT(shadex('Shade - 1'!$D$9,'Shade - 1'!$E$9,'Shade - 1'!$F$9,'Shade - 1'!$D$7,Vertex!P54,Vertex!P119,Vertex!P184,Normal!P54,Normal!P119,Normal!P184)*255)</f>
        <v>39</v>
      </c>
      <c r="Q54">
        <f>INT(shadex('Shade - 1'!$D$9,'Shade - 1'!$E$9,'Shade - 1'!$F$9,'Shade - 1'!$D$7,Vertex!Q54,Vertex!Q119,Vertex!Q184,Normal!Q54,Normal!Q119,Normal!Q184)*255)</f>
        <v>31</v>
      </c>
      <c r="R54">
        <f>INT(shadex('Shade - 1'!$D$9,'Shade - 1'!$E$9,'Shade - 1'!$F$9,'Shade - 1'!$D$7,Vertex!R54,Vertex!R119,Vertex!R184,Normal!R54,Normal!R119,Normal!R184)*255)</f>
        <v>0</v>
      </c>
      <c r="S54">
        <f>INT(shadex('Shade - 1'!$D$9,'Shade - 1'!$E$9,'Shade - 1'!$F$9,'Shade - 1'!$D$7,Vertex!S54,Vertex!S119,Vertex!S184,Normal!S54,Normal!S119,Normal!S184)*255)</f>
        <v>0</v>
      </c>
      <c r="T54">
        <f>INT(shadex('Shade - 1'!$D$9,'Shade - 1'!$E$9,'Shade - 1'!$F$9,'Shade - 1'!$D$7,Vertex!T54,Vertex!T119,Vertex!T184,Normal!T54,Normal!T119,Normal!T184)*255)</f>
        <v>0</v>
      </c>
      <c r="U54">
        <f>INT(shadex('Shade - 1'!$D$9,'Shade - 1'!$E$9,'Shade - 1'!$F$9,'Shade - 1'!$D$7,Vertex!U54,Vertex!U119,Vertex!U184,Normal!U54,Normal!U119,Normal!U184)*255)</f>
        <v>0</v>
      </c>
      <c r="V54">
        <f>INT(shadex('Shade - 1'!$D$9,'Shade - 1'!$E$9,'Shade - 1'!$F$9,'Shade - 1'!$D$7,Vertex!V54,Vertex!V119,Vertex!V184,Normal!V54,Normal!V119,Normal!V184)*255)</f>
        <v>29</v>
      </c>
      <c r="W54">
        <f>INT(shadex('Shade - 1'!$D$9,'Shade - 1'!$E$9,'Shade - 1'!$F$9,'Shade - 1'!$D$7,Vertex!W54,Vertex!W119,Vertex!W184,Normal!W54,Normal!W119,Normal!W184)*255)</f>
        <v>25</v>
      </c>
      <c r="X54">
        <f>INT(shadex('Shade - 1'!$D$9,'Shade - 1'!$E$9,'Shade - 1'!$F$9,'Shade - 1'!$D$7,Vertex!X54,Vertex!X119,Vertex!X184,Normal!X54,Normal!X119,Normal!X184)*255)</f>
        <v>0</v>
      </c>
      <c r="Y54">
        <f>INT(shadex('Shade - 1'!$D$9,'Shade - 1'!$E$9,'Shade - 1'!$F$9,'Shade - 1'!$D$7,Vertex!Y54,Vertex!Y119,Vertex!Y184,Normal!Y54,Normal!Y119,Normal!Y184)*255)</f>
        <v>0</v>
      </c>
      <c r="Z54">
        <f>INT(shadex('Shade - 1'!$D$9,'Shade - 1'!$E$9,'Shade - 1'!$F$9,'Shade - 1'!$D$7,Vertex!Z54,Vertex!Z119,Vertex!Z184,Normal!Z54,Normal!Z119,Normal!Z184)*255)</f>
        <v>0</v>
      </c>
      <c r="AA54">
        <f>INT(shadex('Shade - 1'!$D$9,'Shade - 1'!$E$9,'Shade - 1'!$F$9,'Shade - 1'!$D$7,Vertex!AA54,Vertex!AA119,Vertex!AA184,Normal!AA54,Normal!AA119,Normal!AA184)*255)</f>
        <v>26</v>
      </c>
      <c r="AB54">
        <f>INT(shadex('Shade - 1'!$D$9,'Shade - 1'!$E$9,'Shade - 1'!$F$9,'Shade - 1'!$D$7,Vertex!AB54,Vertex!AB119,Vertex!AB184,Normal!AB54,Normal!AB119,Normal!AB184)*255)</f>
        <v>35</v>
      </c>
      <c r="AC54">
        <f>INT(shadex('Shade - 1'!$D$9,'Shade - 1'!$E$9,'Shade - 1'!$F$9,'Shade - 1'!$D$7,Vertex!AC54,Vertex!AC119,Vertex!AC184,Normal!AC54,Normal!AC119,Normal!AC184)*255)</f>
        <v>40</v>
      </c>
      <c r="AD54">
        <f>INT(shadex('Shade - 1'!$D$9,'Shade - 1'!$E$9,'Shade - 1'!$F$9,'Shade - 1'!$D$7,Vertex!AD54,Vertex!AD119,Vertex!AD184,Normal!AD54,Normal!AD119,Normal!AD184)*255)</f>
        <v>38</v>
      </c>
      <c r="AE54">
        <f>INT(shadex('Shade - 1'!$D$9,'Shade - 1'!$E$9,'Shade - 1'!$F$9,'Shade - 1'!$D$7,Vertex!AE54,Vertex!AE119,Vertex!AE184,Normal!AE54,Normal!AE119,Normal!AE184)*255)</f>
        <v>42</v>
      </c>
      <c r="AF54">
        <f>INT(shadex('Shade - 1'!$D$9,'Shade - 1'!$E$9,'Shade - 1'!$F$9,'Shade - 1'!$D$7,Vertex!AF54,Vertex!AF119,Vertex!AF184,Normal!AF54,Normal!AF119,Normal!AF184)*255)</f>
        <v>46</v>
      </c>
      <c r="AG54">
        <f>INT(shadex('Shade - 1'!$D$9,'Shade - 1'!$E$9,'Shade - 1'!$F$9,'Shade - 1'!$D$7,Vertex!AG54,Vertex!AG119,Vertex!AG184,Normal!AG54,Normal!AG119,Normal!AG184)*255)</f>
        <v>46</v>
      </c>
      <c r="AH54">
        <f>INT(shadex('Shade - 1'!$D$9,'Shade - 1'!$E$9,'Shade - 1'!$F$9,'Shade - 1'!$D$7,Vertex!AH54,Vertex!AH119,Vertex!AH184,Normal!AH54,Normal!AH119,Normal!AH184)*255)</f>
        <v>49</v>
      </c>
      <c r="AI54" s="4">
        <f>INT(shadex('Shade - 1'!$D$9,'Shade - 1'!$E$9,'Shade - 1'!$F$9,'Shade - 1'!$D$7,Vertex!AI54,Vertex!AI119,Vertex!AI184,Normal!AI54,Normal!AI119,Normal!AI184)*255)</f>
        <v>54</v>
      </c>
      <c r="AJ54" s="4">
        <f>INT(shadex('Shade - 1'!$D$9,'Shade - 1'!$E$9,'Shade - 1'!$F$9,'Shade - 1'!$D$7,Vertex!AJ54,Vertex!AJ119,Vertex!AJ184,Normal!AJ54,Normal!AJ119,Normal!AJ184)*255)</f>
        <v>59</v>
      </c>
      <c r="AK54" s="4">
        <f>INT(shadex('Shade - 1'!$D$9,'Shade - 1'!$E$9,'Shade - 1'!$F$9,'Shade - 1'!$D$7,Vertex!AK54,Vertex!AK119,Vertex!AK184,Normal!AK54,Normal!AK119,Normal!AK184)*255)</f>
        <v>59</v>
      </c>
      <c r="AL54" s="4">
        <f>INT(shadex('Shade - 1'!$D$9,'Shade - 1'!$E$9,'Shade - 1'!$F$9,'Shade - 1'!$D$7,Vertex!AL54,Vertex!AL119,Vertex!AL184,Normal!AL54,Normal!AL119,Normal!AL184)*255)</f>
        <v>47</v>
      </c>
      <c r="AM54" s="4">
        <f>INT(shadex('Shade - 1'!$D$9,'Shade - 1'!$E$9,'Shade - 1'!$F$9,'Shade - 1'!$D$7,Vertex!AM54,Vertex!AM119,Vertex!AM184,Normal!AM54,Normal!AM119,Normal!AM184)*255)</f>
        <v>63</v>
      </c>
      <c r="AN54" s="4">
        <f>INT(shadex('Shade - 1'!$D$9,'Shade - 1'!$E$9,'Shade - 1'!$F$9,'Shade - 1'!$D$7,Vertex!AN54,Vertex!AN119,Vertex!AN184,Normal!AN54,Normal!AN119,Normal!AN184)*255)</f>
        <v>76</v>
      </c>
      <c r="AO54" s="4">
        <f>INT(shadex('Shade - 1'!$D$9,'Shade - 1'!$E$9,'Shade - 1'!$F$9,'Shade - 1'!$D$7,Vertex!AO54,Vertex!AO119,Vertex!AO184,Normal!AO54,Normal!AO119,Normal!AO184)*255)</f>
        <v>74</v>
      </c>
      <c r="AP54" s="4">
        <f>INT(shadex('Shade - 1'!$D$9,'Shade - 1'!$E$9,'Shade - 1'!$F$9,'Shade - 1'!$D$7,Vertex!AP54,Vertex!AP119,Vertex!AP184,Normal!AP54,Normal!AP119,Normal!AP184)*255)</f>
        <v>69</v>
      </c>
      <c r="AQ54" s="4">
        <f>INT(shadex('Shade - 1'!$D$9,'Shade - 1'!$E$9,'Shade - 1'!$F$9,'Shade - 1'!$D$7,Vertex!AQ54,Vertex!AQ119,Vertex!AQ184,Normal!AQ54,Normal!AQ119,Normal!AQ184)*255)</f>
        <v>75</v>
      </c>
      <c r="AR54" s="4">
        <f>INT(shadex('Shade - 1'!$D$9,'Shade - 1'!$E$9,'Shade - 1'!$F$9,'Shade - 1'!$D$7,Vertex!AR54,Vertex!AR119,Vertex!AR184,Normal!AR54,Normal!AR119,Normal!AR184)*255)</f>
        <v>83</v>
      </c>
      <c r="AS54" s="4">
        <f>INT(shadex('Shade - 1'!$D$9,'Shade - 1'!$E$9,'Shade - 1'!$F$9,'Shade - 1'!$D$7,Vertex!AS54,Vertex!AS119,Vertex!AS184,Normal!AS54,Normal!AS119,Normal!AS184)*255)</f>
        <v>84</v>
      </c>
      <c r="AT54" s="4">
        <f>INT(shadex('Shade - 1'!$D$9,'Shade - 1'!$E$9,'Shade - 1'!$F$9,'Shade - 1'!$D$7,Vertex!AT54,Vertex!AT119,Vertex!AT184,Normal!AT54,Normal!AT119,Normal!AT184)*255)</f>
        <v>85</v>
      </c>
      <c r="AU54" s="4">
        <f>INT(shadex('Shade - 1'!$D$9,'Shade - 1'!$E$9,'Shade - 1'!$F$9,'Shade - 1'!$D$7,Vertex!AU54,Vertex!AU119,Vertex!AU184,Normal!AU54,Normal!AU119,Normal!AU184)*255)</f>
        <v>83</v>
      </c>
      <c r="AV54" s="4">
        <f>INT(shadex('Shade - 1'!$D$9,'Shade - 1'!$E$9,'Shade - 1'!$F$9,'Shade - 1'!$D$7,Vertex!AV54,Vertex!AV119,Vertex!AV184,Normal!AV54,Normal!AV119,Normal!AV184)*255)</f>
        <v>76</v>
      </c>
      <c r="AW54" s="4">
        <f>INT(shadex('Shade - 1'!$D$9,'Shade - 1'!$E$9,'Shade - 1'!$F$9,'Shade - 1'!$D$7,Vertex!AW54,Vertex!AW119,Vertex!AW184,Normal!AW54,Normal!AW119,Normal!AW184)*255)</f>
        <v>58</v>
      </c>
      <c r="AX54" s="4">
        <f>INT(shadex('Shade - 1'!$D$9,'Shade - 1'!$E$9,'Shade - 1'!$F$9,'Shade - 1'!$D$7,Vertex!AX54,Vertex!AX119,Vertex!AX184,Normal!AX54,Normal!AX119,Normal!AX184)*255)</f>
        <v>50</v>
      </c>
      <c r="AY54" s="4">
        <f>INT(shadex('Shade - 1'!$D$9,'Shade - 1'!$E$9,'Shade - 1'!$F$9,'Shade - 1'!$D$7,Vertex!AY54,Vertex!AY119,Vertex!AY184,Normal!AY54,Normal!AY119,Normal!AY184)*255)</f>
        <v>71</v>
      </c>
      <c r="AZ54" s="4">
        <f>INT(shadex('Shade - 1'!$D$9,'Shade - 1'!$E$9,'Shade - 1'!$F$9,'Shade - 1'!$D$7,Vertex!AZ54,Vertex!AZ119,Vertex!AZ184,Normal!AZ54,Normal!AZ119,Normal!AZ184)*255)</f>
        <v>78</v>
      </c>
      <c r="BA54" s="4">
        <f>INT(shadex('Shade - 1'!$D$9,'Shade - 1'!$E$9,'Shade - 1'!$F$9,'Shade - 1'!$D$7,Vertex!BA54,Vertex!BA119,Vertex!BA184,Normal!BA54,Normal!BA119,Normal!BA184)*255)</f>
        <v>73</v>
      </c>
      <c r="BB54" s="4">
        <f>INT(shadex('Shade - 1'!$D$9,'Shade - 1'!$E$9,'Shade - 1'!$F$9,'Shade - 1'!$D$7,Vertex!BB54,Vertex!BB119,Vertex!BB184,Normal!BB54,Normal!BB119,Normal!BB184)*255)</f>
        <v>60</v>
      </c>
      <c r="BC54" s="4">
        <f>INT(shadex('Shade - 1'!$D$9,'Shade - 1'!$E$9,'Shade - 1'!$F$9,'Shade - 1'!$D$7,Vertex!BC54,Vertex!BC119,Vertex!BC184,Normal!BC54,Normal!BC119,Normal!BC184)*255)</f>
        <v>56</v>
      </c>
      <c r="BD54" s="4">
        <f>INT(shadex('Shade - 1'!$D$9,'Shade - 1'!$E$9,'Shade - 1'!$F$9,'Shade - 1'!$D$7,Vertex!BD54,Vertex!BD119,Vertex!BD184,Normal!BD54,Normal!BD119,Normal!BD184)*255)</f>
        <v>55</v>
      </c>
      <c r="BE54" s="4">
        <f>INT(shadex('Shade - 1'!$D$9,'Shade - 1'!$E$9,'Shade - 1'!$F$9,'Shade - 1'!$D$7,Vertex!BE54,Vertex!BE119,Vertex!BE184,Normal!BE54,Normal!BE119,Normal!BE184)*255)</f>
        <v>59</v>
      </c>
      <c r="BF54" s="4">
        <f>INT(shadex('Shade - 1'!$D$9,'Shade - 1'!$E$9,'Shade - 1'!$F$9,'Shade - 1'!$D$7,Vertex!BF54,Vertex!BF119,Vertex!BF184,Normal!BF54,Normal!BF119,Normal!BF184)*255)</f>
        <v>83</v>
      </c>
      <c r="BG54" s="4">
        <f>INT(shadex('Shade - 1'!$D$9,'Shade - 1'!$E$9,'Shade - 1'!$F$9,'Shade - 1'!$D$7,Vertex!BG54,Vertex!BG119,Vertex!BG184,Normal!BG54,Normal!BG119,Normal!BG184)*255)</f>
        <v>93</v>
      </c>
      <c r="BH54" s="4">
        <f>INT(shadex('Shade - 1'!$D$9,'Shade - 1'!$E$9,'Shade - 1'!$F$9,'Shade - 1'!$D$7,Vertex!BH54,Vertex!BH119,Vertex!BH184,Normal!BH54,Normal!BH119,Normal!BH184)*255)</f>
        <v>86</v>
      </c>
      <c r="BI54" s="4">
        <f>INT(shadex('Shade - 1'!$D$9,'Shade - 1'!$E$9,'Shade - 1'!$F$9,'Shade - 1'!$D$7,Vertex!BI54,Vertex!BI119,Vertex!BI184,Normal!BI54,Normal!BI119,Normal!BI184)*255)</f>
        <v>79</v>
      </c>
      <c r="BJ54" s="4">
        <f>INT(shadex('Shade - 1'!$D$9,'Shade - 1'!$E$9,'Shade - 1'!$F$9,'Shade - 1'!$D$7,Vertex!BJ54,Vertex!BJ119,Vertex!BJ184,Normal!BJ54,Normal!BJ119,Normal!BJ184)*255)</f>
        <v>86</v>
      </c>
      <c r="BK54" s="4">
        <f>INT(shadex('Shade - 1'!$D$9,'Shade - 1'!$E$9,'Shade - 1'!$F$9,'Shade - 1'!$D$7,Vertex!BK54,Vertex!BK119,Vertex!BK184,Normal!BK54,Normal!BK119,Normal!BK184)*255)</f>
        <v>93</v>
      </c>
      <c r="BL54" s="4">
        <f>INT(shadex('Shade - 1'!$D$9,'Shade - 1'!$E$9,'Shade - 1'!$F$9,'Shade - 1'!$D$7,Vertex!BL54,Vertex!BL119,Vertex!BL184,Normal!BL54,Normal!BL119,Normal!BL184)*255)</f>
        <v>96</v>
      </c>
    </row>
    <row r="55" spans="1:64" x14ac:dyDescent="0.25">
      <c r="A55">
        <f>INT(shadex('Shade - 1'!$D$9,'Shade - 1'!$E$9,'Shade - 1'!$F$9,'Shade - 1'!$D$7,Vertex!A55,Vertex!A120,Vertex!A185,Normal!A55,Normal!A120,Normal!A185)*255)</f>
        <v>0</v>
      </c>
      <c r="B55">
        <f>INT(shadex('Shade - 1'!$D$9,'Shade - 1'!$E$9,'Shade - 1'!$F$9,'Shade - 1'!$D$7,Vertex!B55,Vertex!B120,Vertex!B185,Normal!B55,Normal!B120,Normal!B185)*255)</f>
        <v>0</v>
      </c>
      <c r="C55">
        <f>INT(shadex('Shade - 1'!$D$9,'Shade - 1'!$E$9,'Shade - 1'!$F$9,'Shade - 1'!$D$7,Vertex!C55,Vertex!C120,Vertex!C185,Normal!C55,Normal!C120,Normal!C185)*255)</f>
        <v>38</v>
      </c>
      <c r="D55">
        <f>INT(shadex('Shade - 1'!$D$9,'Shade - 1'!$E$9,'Shade - 1'!$F$9,'Shade - 1'!$D$7,Vertex!D55,Vertex!D120,Vertex!D185,Normal!D55,Normal!D120,Normal!D185)*255)</f>
        <v>56</v>
      </c>
      <c r="E55">
        <f>INT(shadex('Shade - 1'!$D$9,'Shade - 1'!$E$9,'Shade - 1'!$F$9,'Shade - 1'!$D$7,Vertex!E55,Vertex!E120,Vertex!E185,Normal!E55,Normal!E120,Normal!E185)*255)</f>
        <v>46</v>
      </c>
      <c r="F55">
        <f>INT(shadex('Shade - 1'!$D$9,'Shade - 1'!$E$9,'Shade - 1'!$F$9,'Shade - 1'!$D$7,Vertex!F55,Vertex!F120,Vertex!F185,Normal!F55,Normal!F120,Normal!F185)*255)</f>
        <v>47</v>
      </c>
      <c r="G55">
        <f>INT(shadex('Shade - 1'!$D$9,'Shade - 1'!$E$9,'Shade - 1'!$F$9,'Shade - 1'!$D$7,Vertex!G55,Vertex!G120,Vertex!G185,Normal!G55,Normal!G120,Normal!G185)*255)</f>
        <v>59</v>
      </c>
      <c r="H55">
        <f>INT(shadex('Shade - 1'!$D$9,'Shade - 1'!$E$9,'Shade - 1'!$F$9,'Shade - 1'!$D$7,Vertex!H55,Vertex!H120,Vertex!H185,Normal!H55,Normal!H120,Normal!H185)*255)</f>
        <v>70</v>
      </c>
      <c r="I55">
        <f>INT(shadex('Shade - 1'!$D$9,'Shade - 1'!$E$9,'Shade - 1'!$F$9,'Shade - 1'!$D$7,Vertex!I55,Vertex!I120,Vertex!I185,Normal!I55,Normal!I120,Normal!I185)*255)</f>
        <v>51</v>
      </c>
      <c r="J55">
        <f>INT(shadex('Shade - 1'!$D$9,'Shade - 1'!$E$9,'Shade - 1'!$F$9,'Shade - 1'!$D$7,Vertex!J55,Vertex!J120,Vertex!J185,Normal!J55,Normal!J120,Normal!J185)*255)</f>
        <v>48</v>
      </c>
      <c r="K55">
        <f>INT(shadex('Shade - 1'!$D$9,'Shade - 1'!$E$9,'Shade - 1'!$F$9,'Shade - 1'!$D$7,Vertex!K55,Vertex!K120,Vertex!K185,Normal!K55,Normal!K120,Normal!K185)*255)</f>
        <v>37</v>
      </c>
      <c r="L55">
        <f>INT(shadex('Shade - 1'!$D$9,'Shade - 1'!$E$9,'Shade - 1'!$F$9,'Shade - 1'!$D$7,Vertex!L55,Vertex!L120,Vertex!L185,Normal!L55,Normal!L120,Normal!L185)*255)</f>
        <v>29</v>
      </c>
      <c r="M55">
        <f>INT(shadex('Shade - 1'!$D$9,'Shade - 1'!$E$9,'Shade - 1'!$F$9,'Shade - 1'!$D$7,Vertex!M55,Vertex!M120,Vertex!M185,Normal!M55,Normal!M120,Normal!M185)*255)</f>
        <v>43</v>
      </c>
      <c r="N55">
        <f>INT(shadex('Shade - 1'!$D$9,'Shade - 1'!$E$9,'Shade - 1'!$F$9,'Shade - 1'!$D$7,Vertex!N55,Vertex!N120,Vertex!N185,Normal!N55,Normal!N120,Normal!N185)*255)</f>
        <v>61</v>
      </c>
      <c r="O55">
        <f>INT(shadex('Shade - 1'!$D$9,'Shade - 1'!$E$9,'Shade - 1'!$F$9,'Shade - 1'!$D$7,Vertex!O55,Vertex!O120,Vertex!O185,Normal!O55,Normal!O120,Normal!O185)*255)</f>
        <v>54</v>
      </c>
      <c r="P55">
        <f>INT(shadex('Shade - 1'!$D$9,'Shade - 1'!$E$9,'Shade - 1'!$F$9,'Shade - 1'!$D$7,Vertex!P55,Vertex!P120,Vertex!P185,Normal!P55,Normal!P120,Normal!P185)*255)</f>
        <v>31</v>
      </c>
      <c r="Q55">
        <f>INT(shadex('Shade - 1'!$D$9,'Shade - 1'!$E$9,'Shade - 1'!$F$9,'Shade - 1'!$D$7,Vertex!Q55,Vertex!Q120,Vertex!Q185,Normal!Q55,Normal!Q120,Normal!Q185)*255)</f>
        <v>31</v>
      </c>
      <c r="R55">
        <f>INT(shadex('Shade - 1'!$D$9,'Shade - 1'!$E$9,'Shade - 1'!$F$9,'Shade - 1'!$D$7,Vertex!R55,Vertex!R120,Vertex!R185,Normal!R55,Normal!R120,Normal!R185)*255)</f>
        <v>34</v>
      </c>
      <c r="S55">
        <f>INT(shadex('Shade - 1'!$D$9,'Shade - 1'!$E$9,'Shade - 1'!$F$9,'Shade - 1'!$D$7,Vertex!S55,Vertex!S120,Vertex!S185,Normal!S55,Normal!S120,Normal!S185)*255)</f>
        <v>34</v>
      </c>
      <c r="T55">
        <f>INT(shadex('Shade - 1'!$D$9,'Shade - 1'!$E$9,'Shade - 1'!$F$9,'Shade - 1'!$D$7,Vertex!T55,Vertex!T120,Vertex!T185,Normal!T55,Normal!T120,Normal!T185)*255)</f>
        <v>28</v>
      </c>
      <c r="U55">
        <f>INT(shadex('Shade - 1'!$D$9,'Shade - 1'!$E$9,'Shade - 1'!$F$9,'Shade - 1'!$D$7,Vertex!U55,Vertex!U120,Vertex!U185,Normal!U55,Normal!U120,Normal!U185)*255)</f>
        <v>26</v>
      </c>
      <c r="V55">
        <f>INT(shadex('Shade - 1'!$D$9,'Shade - 1'!$E$9,'Shade - 1'!$F$9,'Shade - 1'!$D$7,Vertex!V55,Vertex!V120,Vertex!V185,Normal!V55,Normal!V120,Normal!V185)*255)</f>
        <v>32</v>
      </c>
      <c r="W55">
        <f>INT(shadex('Shade - 1'!$D$9,'Shade - 1'!$E$9,'Shade - 1'!$F$9,'Shade - 1'!$D$7,Vertex!W55,Vertex!W120,Vertex!W185,Normal!W55,Normal!W120,Normal!W185)*255)</f>
        <v>34</v>
      </c>
      <c r="X55">
        <f>INT(shadex('Shade - 1'!$D$9,'Shade - 1'!$E$9,'Shade - 1'!$F$9,'Shade - 1'!$D$7,Vertex!X55,Vertex!X120,Vertex!X185,Normal!X55,Normal!X120,Normal!X185)*255)</f>
        <v>0</v>
      </c>
      <c r="Y55">
        <f>INT(shadex('Shade - 1'!$D$9,'Shade - 1'!$E$9,'Shade - 1'!$F$9,'Shade - 1'!$D$7,Vertex!Y55,Vertex!Y120,Vertex!Y185,Normal!Y55,Normal!Y120,Normal!Y185)*255)</f>
        <v>0</v>
      </c>
      <c r="Z55">
        <f>INT(shadex('Shade - 1'!$D$9,'Shade - 1'!$E$9,'Shade - 1'!$F$9,'Shade - 1'!$D$7,Vertex!Z55,Vertex!Z120,Vertex!Z185,Normal!Z55,Normal!Z120,Normal!Z185)*255)</f>
        <v>0</v>
      </c>
      <c r="AA55">
        <f>INT(shadex('Shade - 1'!$D$9,'Shade - 1'!$E$9,'Shade - 1'!$F$9,'Shade - 1'!$D$7,Vertex!AA55,Vertex!AA120,Vertex!AA185,Normal!AA55,Normal!AA120,Normal!AA185)*255)</f>
        <v>0</v>
      </c>
      <c r="AB55">
        <f>INT(shadex('Shade - 1'!$D$9,'Shade - 1'!$E$9,'Shade - 1'!$F$9,'Shade - 1'!$D$7,Vertex!AB55,Vertex!AB120,Vertex!AB185,Normal!AB55,Normal!AB120,Normal!AB185)*255)</f>
        <v>39</v>
      </c>
      <c r="AC55">
        <f>INT(shadex('Shade - 1'!$D$9,'Shade - 1'!$E$9,'Shade - 1'!$F$9,'Shade - 1'!$D$7,Vertex!AC55,Vertex!AC120,Vertex!AC185,Normal!AC55,Normal!AC120,Normal!AC185)*255)</f>
        <v>49</v>
      </c>
      <c r="AD55">
        <f>INT(shadex('Shade - 1'!$D$9,'Shade - 1'!$E$9,'Shade - 1'!$F$9,'Shade - 1'!$D$7,Vertex!AD55,Vertex!AD120,Vertex!AD185,Normal!AD55,Normal!AD120,Normal!AD185)*255)</f>
        <v>41</v>
      </c>
      <c r="AE55">
        <f>INT(shadex('Shade - 1'!$D$9,'Shade - 1'!$E$9,'Shade - 1'!$F$9,'Shade - 1'!$D$7,Vertex!AE55,Vertex!AE120,Vertex!AE185,Normal!AE55,Normal!AE120,Normal!AE185)*255)</f>
        <v>39</v>
      </c>
      <c r="AF55">
        <f>INT(shadex('Shade - 1'!$D$9,'Shade - 1'!$E$9,'Shade - 1'!$F$9,'Shade - 1'!$D$7,Vertex!AF55,Vertex!AF120,Vertex!AF185,Normal!AF55,Normal!AF120,Normal!AF185)*255)</f>
        <v>44</v>
      </c>
      <c r="AG55">
        <f>INT(shadex('Shade - 1'!$D$9,'Shade - 1'!$E$9,'Shade - 1'!$F$9,'Shade - 1'!$D$7,Vertex!AG55,Vertex!AG120,Vertex!AG185,Normal!AG55,Normal!AG120,Normal!AG185)*255)</f>
        <v>41</v>
      </c>
      <c r="AH55">
        <f>INT(shadex('Shade - 1'!$D$9,'Shade - 1'!$E$9,'Shade - 1'!$F$9,'Shade - 1'!$D$7,Vertex!AH55,Vertex!AH120,Vertex!AH185,Normal!AH55,Normal!AH120,Normal!AH185)*255)</f>
        <v>43</v>
      </c>
      <c r="AI55" s="4">
        <f>INT(shadex('Shade - 1'!$D$9,'Shade - 1'!$E$9,'Shade - 1'!$F$9,'Shade - 1'!$D$7,Vertex!AI55,Vertex!AI120,Vertex!AI185,Normal!AI55,Normal!AI120,Normal!AI185)*255)</f>
        <v>58</v>
      </c>
      <c r="AJ55" s="4">
        <f>INT(shadex('Shade - 1'!$D$9,'Shade - 1'!$E$9,'Shade - 1'!$F$9,'Shade - 1'!$D$7,Vertex!AJ55,Vertex!AJ120,Vertex!AJ185,Normal!AJ55,Normal!AJ120,Normal!AJ185)*255)</f>
        <v>69</v>
      </c>
      <c r="AK55" s="4">
        <f>INT(shadex('Shade - 1'!$D$9,'Shade - 1'!$E$9,'Shade - 1'!$F$9,'Shade - 1'!$D$7,Vertex!AK55,Vertex!AK120,Vertex!AK185,Normal!AK55,Normal!AK120,Normal!AK185)*255)</f>
        <v>68</v>
      </c>
      <c r="AL55" s="4">
        <f>INT(shadex('Shade - 1'!$D$9,'Shade - 1'!$E$9,'Shade - 1'!$F$9,'Shade - 1'!$D$7,Vertex!AL55,Vertex!AL120,Vertex!AL185,Normal!AL55,Normal!AL120,Normal!AL185)*255)</f>
        <v>46</v>
      </c>
      <c r="AM55" s="4">
        <f>INT(shadex('Shade - 1'!$D$9,'Shade - 1'!$E$9,'Shade - 1'!$F$9,'Shade - 1'!$D$7,Vertex!AM55,Vertex!AM120,Vertex!AM185,Normal!AM55,Normal!AM120,Normal!AM185)*255)</f>
        <v>47</v>
      </c>
      <c r="AN55" s="4">
        <f>INT(shadex('Shade - 1'!$D$9,'Shade - 1'!$E$9,'Shade - 1'!$F$9,'Shade - 1'!$D$7,Vertex!AN55,Vertex!AN120,Vertex!AN185,Normal!AN55,Normal!AN120,Normal!AN185)*255)</f>
        <v>69</v>
      </c>
      <c r="AO55" s="4">
        <f>INT(shadex('Shade - 1'!$D$9,'Shade - 1'!$E$9,'Shade - 1'!$F$9,'Shade - 1'!$D$7,Vertex!AO55,Vertex!AO120,Vertex!AO185,Normal!AO55,Normal!AO120,Normal!AO185)*255)</f>
        <v>75</v>
      </c>
      <c r="AP55" s="4">
        <f>INT(shadex('Shade - 1'!$D$9,'Shade - 1'!$E$9,'Shade - 1'!$F$9,'Shade - 1'!$D$7,Vertex!AP55,Vertex!AP120,Vertex!AP185,Normal!AP55,Normal!AP120,Normal!AP185)*255)</f>
        <v>69</v>
      </c>
      <c r="AQ55" s="4">
        <f>INT(shadex('Shade - 1'!$D$9,'Shade - 1'!$E$9,'Shade - 1'!$F$9,'Shade - 1'!$D$7,Vertex!AQ55,Vertex!AQ120,Vertex!AQ185,Normal!AQ55,Normal!AQ120,Normal!AQ185)*255)</f>
        <v>69</v>
      </c>
      <c r="AR55" s="4">
        <f>INT(shadex('Shade - 1'!$D$9,'Shade - 1'!$E$9,'Shade - 1'!$F$9,'Shade - 1'!$D$7,Vertex!AR55,Vertex!AR120,Vertex!AR185,Normal!AR55,Normal!AR120,Normal!AR185)*255)</f>
        <v>77</v>
      </c>
      <c r="AS55" s="4">
        <f>INT(shadex('Shade - 1'!$D$9,'Shade - 1'!$E$9,'Shade - 1'!$F$9,'Shade - 1'!$D$7,Vertex!AS55,Vertex!AS120,Vertex!AS185,Normal!AS55,Normal!AS120,Normal!AS185)*255)</f>
        <v>80</v>
      </c>
      <c r="AT55" s="4">
        <f>INT(shadex('Shade - 1'!$D$9,'Shade - 1'!$E$9,'Shade - 1'!$F$9,'Shade - 1'!$D$7,Vertex!AT55,Vertex!AT120,Vertex!AT185,Normal!AT55,Normal!AT120,Normal!AT185)*255)</f>
        <v>93</v>
      </c>
      <c r="AU55" s="4">
        <f>INT(shadex('Shade - 1'!$D$9,'Shade - 1'!$E$9,'Shade - 1'!$F$9,'Shade - 1'!$D$7,Vertex!AU55,Vertex!AU120,Vertex!AU185,Normal!AU55,Normal!AU120,Normal!AU185)*255)</f>
        <v>91</v>
      </c>
      <c r="AV55" s="4">
        <f>INT(shadex('Shade - 1'!$D$9,'Shade - 1'!$E$9,'Shade - 1'!$F$9,'Shade - 1'!$D$7,Vertex!AV55,Vertex!AV120,Vertex!AV185,Normal!AV55,Normal!AV120,Normal!AV185)*255)</f>
        <v>80</v>
      </c>
      <c r="AW55" s="4">
        <f>INT(shadex('Shade - 1'!$D$9,'Shade - 1'!$E$9,'Shade - 1'!$F$9,'Shade - 1'!$D$7,Vertex!AW55,Vertex!AW120,Vertex!AW185,Normal!AW55,Normal!AW120,Normal!AW185)*255)</f>
        <v>65</v>
      </c>
      <c r="AX55" s="4">
        <f>INT(shadex('Shade - 1'!$D$9,'Shade - 1'!$E$9,'Shade - 1'!$F$9,'Shade - 1'!$D$7,Vertex!AX55,Vertex!AX120,Vertex!AX185,Normal!AX55,Normal!AX120,Normal!AX185)*255)</f>
        <v>59</v>
      </c>
      <c r="AY55" s="4">
        <f>INT(shadex('Shade - 1'!$D$9,'Shade - 1'!$E$9,'Shade - 1'!$F$9,'Shade - 1'!$D$7,Vertex!AY55,Vertex!AY120,Vertex!AY185,Normal!AY55,Normal!AY120,Normal!AY185)*255)</f>
        <v>87</v>
      </c>
      <c r="AZ55" s="4">
        <f>INT(shadex('Shade - 1'!$D$9,'Shade - 1'!$E$9,'Shade - 1'!$F$9,'Shade - 1'!$D$7,Vertex!AZ55,Vertex!AZ120,Vertex!AZ185,Normal!AZ55,Normal!AZ120,Normal!AZ185)*255)</f>
        <v>95</v>
      </c>
      <c r="BA55" s="4">
        <f>INT(shadex('Shade - 1'!$D$9,'Shade - 1'!$E$9,'Shade - 1'!$F$9,'Shade - 1'!$D$7,Vertex!BA55,Vertex!BA120,Vertex!BA185,Normal!BA55,Normal!BA120,Normal!BA185)*255)</f>
        <v>86</v>
      </c>
      <c r="BB55" s="4">
        <f>INT(shadex('Shade - 1'!$D$9,'Shade - 1'!$E$9,'Shade - 1'!$F$9,'Shade - 1'!$D$7,Vertex!BB55,Vertex!BB120,Vertex!BB185,Normal!BB55,Normal!BB120,Normal!BB185)*255)</f>
        <v>68</v>
      </c>
      <c r="BC55" s="4">
        <f>INT(shadex('Shade - 1'!$D$9,'Shade - 1'!$E$9,'Shade - 1'!$F$9,'Shade - 1'!$D$7,Vertex!BC55,Vertex!BC120,Vertex!BC185,Normal!BC55,Normal!BC120,Normal!BC185)*255)</f>
        <v>69</v>
      </c>
      <c r="BD55" s="4">
        <f>INT(shadex('Shade - 1'!$D$9,'Shade - 1'!$E$9,'Shade - 1'!$F$9,'Shade - 1'!$D$7,Vertex!BD55,Vertex!BD120,Vertex!BD185,Normal!BD55,Normal!BD120,Normal!BD185)*255)</f>
        <v>70</v>
      </c>
      <c r="BE55" s="4">
        <f>INT(shadex('Shade - 1'!$D$9,'Shade - 1'!$E$9,'Shade - 1'!$F$9,'Shade - 1'!$D$7,Vertex!BE55,Vertex!BE120,Vertex!BE185,Normal!BE55,Normal!BE120,Normal!BE185)*255)</f>
        <v>70</v>
      </c>
      <c r="BF55" s="4">
        <f>INT(shadex('Shade - 1'!$D$9,'Shade - 1'!$E$9,'Shade - 1'!$F$9,'Shade - 1'!$D$7,Vertex!BF55,Vertex!BF120,Vertex!BF185,Normal!BF55,Normal!BF120,Normal!BF185)*255)</f>
        <v>75</v>
      </c>
      <c r="BG55" s="4">
        <f>INT(shadex('Shade - 1'!$D$9,'Shade - 1'!$E$9,'Shade - 1'!$F$9,'Shade - 1'!$D$7,Vertex!BG55,Vertex!BG120,Vertex!BG185,Normal!BG55,Normal!BG120,Normal!BG185)*255)</f>
        <v>89</v>
      </c>
      <c r="BH55" s="4">
        <f>INT(shadex('Shade - 1'!$D$9,'Shade - 1'!$E$9,'Shade - 1'!$F$9,'Shade - 1'!$D$7,Vertex!BH55,Vertex!BH120,Vertex!BH185,Normal!BH55,Normal!BH120,Normal!BH185)*255)</f>
        <v>85</v>
      </c>
      <c r="BI55" s="4">
        <f>INT(shadex('Shade - 1'!$D$9,'Shade - 1'!$E$9,'Shade - 1'!$F$9,'Shade - 1'!$D$7,Vertex!BI55,Vertex!BI120,Vertex!BI185,Normal!BI55,Normal!BI120,Normal!BI185)*255)</f>
        <v>81</v>
      </c>
      <c r="BJ55" s="4">
        <f>INT(shadex('Shade - 1'!$D$9,'Shade - 1'!$E$9,'Shade - 1'!$F$9,'Shade - 1'!$D$7,Vertex!BJ55,Vertex!BJ120,Vertex!BJ185,Normal!BJ55,Normal!BJ120,Normal!BJ185)*255)</f>
        <v>84</v>
      </c>
      <c r="BK55" s="4">
        <f>INT(shadex('Shade - 1'!$D$9,'Shade - 1'!$E$9,'Shade - 1'!$F$9,'Shade - 1'!$D$7,Vertex!BK55,Vertex!BK120,Vertex!BK185,Normal!BK55,Normal!BK120,Normal!BK185)*255)</f>
        <v>91</v>
      </c>
      <c r="BL55" s="4">
        <f>INT(shadex('Shade - 1'!$D$9,'Shade - 1'!$E$9,'Shade - 1'!$F$9,'Shade - 1'!$D$7,Vertex!BL55,Vertex!BL120,Vertex!BL185,Normal!BL55,Normal!BL120,Normal!BL185)*255)</f>
        <v>96</v>
      </c>
    </row>
    <row r="56" spans="1:64" x14ac:dyDescent="0.25">
      <c r="A56">
        <f>INT(shadex('Shade - 1'!$D$9,'Shade - 1'!$E$9,'Shade - 1'!$F$9,'Shade - 1'!$D$7,Vertex!A56,Vertex!A121,Vertex!A186,Normal!A56,Normal!A121,Normal!A186)*255)</f>
        <v>0</v>
      </c>
      <c r="B56">
        <f>INT(shadex('Shade - 1'!$D$9,'Shade - 1'!$E$9,'Shade - 1'!$F$9,'Shade - 1'!$D$7,Vertex!B56,Vertex!B121,Vertex!B186,Normal!B56,Normal!B121,Normal!B186)*255)</f>
        <v>0</v>
      </c>
      <c r="C56">
        <f>INT(shadex('Shade - 1'!$D$9,'Shade - 1'!$E$9,'Shade - 1'!$F$9,'Shade - 1'!$D$7,Vertex!C56,Vertex!C121,Vertex!C186,Normal!C56,Normal!C121,Normal!C186)*255)</f>
        <v>31</v>
      </c>
      <c r="D56">
        <f>INT(shadex('Shade - 1'!$D$9,'Shade - 1'!$E$9,'Shade - 1'!$F$9,'Shade - 1'!$D$7,Vertex!D56,Vertex!D121,Vertex!D186,Normal!D56,Normal!D121,Normal!D186)*255)</f>
        <v>59</v>
      </c>
      <c r="E56">
        <f>INT(shadex('Shade - 1'!$D$9,'Shade - 1'!$E$9,'Shade - 1'!$F$9,'Shade - 1'!$D$7,Vertex!E56,Vertex!E121,Vertex!E186,Normal!E56,Normal!E121,Normal!E186)*255)</f>
        <v>42</v>
      </c>
      <c r="F56">
        <f>INT(shadex('Shade - 1'!$D$9,'Shade - 1'!$E$9,'Shade - 1'!$F$9,'Shade - 1'!$D$7,Vertex!F56,Vertex!F121,Vertex!F186,Normal!F56,Normal!F121,Normal!F186)*255)</f>
        <v>32</v>
      </c>
      <c r="G56">
        <f>INT(shadex('Shade - 1'!$D$9,'Shade - 1'!$E$9,'Shade - 1'!$F$9,'Shade - 1'!$D$7,Vertex!G56,Vertex!G121,Vertex!G186,Normal!G56,Normal!G121,Normal!G186)*255)</f>
        <v>46</v>
      </c>
      <c r="H56">
        <f>INT(shadex('Shade - 1'!$D$9,'Shade - 1'!$E$9,'Shade - 1'!$F$9,'Shade - 1'!$D$7,Vertex!H56,Vertex!H121,Vertex!H186,Normal!H56,Normal!H121,Normal!H186)*255)</f>
        <v>62</v>
      </c>
      <c r="I56">
        <f>INT(shadex('Shade - 1'!$D$9,'Shade - 1'!$E$9,'Shade - 1'!$F$9,'Shade - 1'!$D$7,Vertex!I56,Vertex!I121,Vertex!I186,Normal!I56,Normal!I121,Normal!I186)*255)</f>
        <v>46</v>
      </c>
      <c r="J56">
        <f>INT(shadex('Shade - 1'!$D$9,'Shade - 1'!$E$9,'Shade - 1'!$F$9,'Shade - 1'!$D$7,Vertex!J56,Vertex!J121,Vertex!J186,Normal!J56,Normal!J121,Normal!J186)*255)</f>
        <v>27</v>
      </c>
      <c r="K56">
        <f>INT(shadex('Shade - 1'!$D$9,'Shade - 1'!$E$9,'Shade - 1'!$F$9,'Shade - 1'!$D$7,Vertex!K56,Vertex!K121,Vertex!K186,Normal!K56,Normal!K121,Normal!K186)*255)</f>
        <v>39</v>
      </c>
      <c r="L56">
        <f>INT(shadex('Shade - 1'!$D$9,'Shade - 1'!$E$9,'Shade - 1'!$F$9,'Shade - 1'!$D$7,Vertex!L56,Vertex!L121,Vertex!L186,Normal!L56,Normal!L121,Normal!L186)*255)</f>
        <v>53</v>
      </c>
      <c r="M56">
        <f>INT(shadex('Shade - 1'!$D$9,'Shade - 1'!$E$9,'Shade - 1'!$F$9,'Shade - 1'!$D$7,Vertex!M56,Vertex!M121,Vertex!M186,Normal!M56,Normal!M121,Normal!M186)*255)</f>
        <v>64</v>
      </c>
      <c r="N56">
        <f>INT(shadex('Shade - 1'!$D$9,'Shade - 1'!$E$9,'Shade - 1'!$F$9,'Shade - 1'!$D$7,Vertex!N56,Vertex!N121,Vertex!N186,Normal!N56,Normal!N121,Normal!N186)*255)</f>
        <v>74</v>
      </c>
      <c r="O56">
        <f>INT(shadex('Shade - 1'!$D$9,'Shade - 1'!$E$9,'Shade - 1'!$F$9,'Shade - 1'!$D$7,Vertex!O56,Vertex!O121,Vertex!O186,Normal!O56,Normal!O121,Normal!O186)*255)</f>
        <v>69</v>
      </c>
      <c r="P56">
        <f>INT(shadex('Shade - 1'!$D$9,'Shade - 1'!$E$9,'Shade - 1'!$F$9,'Shade - 1'!$D$7,Vertex!P56,Vertex!P121,Vertex!P186,Normal!P56,Normal!P121,Normal!P186)*255)</f>
        <v>40</v>
      </c>
      <c r="Q56">
        <f>INT(shadex('Shade - 1'!$D$9,'Shade - 1'!$E$9,'Shade - 1'!$F$9,'Shade - 1'!$D$7,Vertex!Q56,Vertex!Q121,Vertex!Q186,Normal!Q56,Normal!Q121,Normal!Q186)*255)</f>
        <v>32</v>
      </c>
      <c r="R56">
        <f>INT(shadex('Shade - 1'!$D$9,'Shade - 1'!$E$9,'Shade - 1'!$F$9,'Shade - 1'!$D$7,Vertex!R56,Vertex!R121,Vertex!R186,Normal!R56,Normal!R121,Normal!R186)*255)</f>
        <v>31</v>
      </c>
      <c r="S56">
        <f>INT(shadex('Shade - 1'!$D$9,'Shade - 1'!$E$9,'Shade - 1'!$F$9,'Shade - 1'!$D$7,Vertex!S56,Vertex!S121,Vertex!S186,Normal!S56,Normal!S121,Normal!S186)*255)</f>
        <v>46</v>
      </c>
      <c r="T56">
        <f>INT(shadex('Shade - 1'!$D$9,'Shade - 1'!$E$9,'Shade - 1'!$F$9,'Shade - 1'!$D$7,Vertex!T56,Vertex!T121,Vertex!T186,Normal!T56,Normal!T121,Normal!T186)*255)</f>
        <v>50</v>
      </c>
      <c r="U56">
        <f>INT(shadex('Shade - 1'!$D$9,'Shade - 1'!$E$9,'Shade - 1'!$F$9,'Shade - 1'!$D$7,Vertex!U56,Vertex!U121,Vertex!U186,Normal!U56,Normal!U121,Normal!U186)*255)</f>
        <v>39</v>
      </c>
      <c r="V56">
        <f>INT(shadex('Shade - 1'!$D$9,'Shade - 1'!$E$9,'Shade - 1'!$F$9,'Shade - 1'!$D$7,Vertex!V56,Vertex!V121,Vertex!V186,Normal!V56,Normal!V121,Normal!V186)*255)</f>
        <v>36</v>
      </c>
      <c r="W56">
        <f>INT(shadex('Shade - 1'!$D$9,'Shade - 1'!$E$9,'Shade - 1'!$F$9,'Shade - 1'!$D$7,Vertex!W56,Vertex!W121,Vertex!W186,Normal!W56,Normal!W121,Normal!W186)*255)</f>
        <v>37</v>
      </c>
      <c r="X56">
        <f>INT(shadex('Shade - 1'!$D$9,'Shade - 1'!$E$9,'Shade - 1'!$F$9,'Shade - 1'!$D$7,Vertex!X56,Vertex!X121,Vertex!X186,Normal!X56,Normal!X121,Normal!X186)*255)</f>
        <v>0</v>
      </c>
      <c r="Y56">
        <f>INT(shadex('Shade - 1'!$D$9,'Shade - 1'!$E$9,'Shade - 1'!$F$9,'Shade - 1'!$D$7,Vertex!Y56,Vertex!Y121,Vertex!Y186,Normal!Y56,Normal!Y121,Normal!Y186)*255)</f>
        <v>0</v>
      </c>
      <c r="Z56">
        <f>INT(shadex('Shade - 1'!$D$9,'Shade - 1'!$E$9,'Shade - 1'!$F$9,'Shade - 1'!$D$7,Vertex!Z56,Vertex!Z121,Vertex!Z186,Normal!Z56,Normal!Z121,Normal!Z186)*255)</f>
        <v>0</v>
      </c>
      <c r="AA56">
        <f>INT(shadex('Shade - 1'!$D$9,'Shade - 1'!$E$9,'Shade - 1'!$F$9,'Shade - 1'!$D$7,Vertex!AA56,Vertex!AA121,Vertex!AA186,Normal!AA56,Normal!AA121,Normal!AA186)*255)</f>
        <v>28</v>
      </c>
      <c r="AB56">
        <f>INT(shadex('Shade - 1'!$D$9,'Shade - 1'!$E$9,'Shade - 1'!$F$9,'Shade - 1'!$D$7,Vertex!AB56,Vertex!AB121,Vertex!AB186,Normal!AB56,Normal!AB121,Normal!AB186)*255)</f>
        <v>43</v>
      </c>
      <c r="AC56">
        <f>INT(shadex('Shade - 1'!$D$9,'Shade - 1'!$E$9,'Shade - 1'!$F$9,'Shade - 1'!$D$7,Vertex!AC56,Vertex!AC121,Vertex!AC186,Normal!AC56,Normal!AC121,Normal!AC186)*255)</f>
        <v>58</v>
      </c>
      <c r="AD56">
        <f>INT(shadex('Shade - 1'!$D$9,'Shade - 1'!$E$9,'Shade - 1'!$F$9,'Shade - 1'!$D$7,Vertex!AD56,Vertex!AD121,Vertex!AD186,Normal!AD56,Normal!AD121,Normal!AD186)*255)</f>
        <v>52</v>
      </c>
      <c r="AE56">
        <f>INT(shadex('Shade - 1'!$D$9,'Shade - 1'!$E$9,'Shade - 1'!$F$9,'Shade - 1'!$D$7,Vertex!AE56,Vertex!AE121,Vertex!AE186,Normal!AE56,Normal!AE121,Normal!AE186)*255)</f>
        <v>38</v>
      </c>
      <c r="AF56">
        <f>INT(shadex('Shade - 1'!$D$9,'Shade - 1'!$E$9,'Shade - 1'!$F$9,'Shade - 1'!$D$7,Vertex!AF56,Vertex!AF121,Vertex!AF186,Normal!AF56,Normal!AF121,Normal!AF186)*255)</f>
        <v>41</v>
      </c>
      <c r="AG56">
        <f>INT(shadex('Shade - 1'!$D$9,'Shade - 1'!$E$9,'Shade - 1'!$F$9,'Shade - 1'!$D$7,Vertex!AG56,Vertex!AG121,Vertex!AG186,Normal!AG56,Normal!AG121,Normal!AG186)*255)</f>
        <v>35</v>
      </c>
      <c r="AH56">
        <f>INT(shadex('Shade - 1'!$D$9,'Shade - 1'!$E$9,'Shade - 1'!$F$9,'Shade - 1'!$D$7,Vertex!AH56,Vertex!AH121,Vertex!AH186,Normal!AH56,Normal!AH121,Normal!AH186)*255)</f>
        <v>35</v>
      </c>
      <c r="AI56" s="4">
        <f>INT(shadex('Shade - 1'!$D$9,'Shade - 1'!$E$9,'Shade - 1'!$F$9,'Shade - 1'!$D$7,Vertex!AI56,Vertex!AI121,Vertex!AI186,Normal!AI56,Normal!AI121,Normal!AI186)*255)</f>
        <v>63</v>
      </c>
      <c r="AJ56" s="4">
        <f>INT(shadex('Shade - 1'!$D$9,'Shade - 1'!$E$9,'Shade - 1'!$F$9,'Shade - 1'!$D$7,Vertex!AJ56,Vertex!AJ121,Vertex!AJ186,Normal!AJ56,Normal!AJ121,Normal!AJ186)*255)</f>
        <v>75</v>
      </c>
      <c r="AK56" s="4">
        <f>INT(shadex('Shade - 1'!$D$9,'Shade - 1'!$E$9,'Shade - 1'!$F$9,'Shade - 1'!$D$7,Vertex!AK56,Vertex!AK121,Vertex!AK186,Normal!AK56,Normal!AK121,Normal!AK186)*255)</f>
        <v>80</v>
      </c>
      <c r="AL56" s="4">
        <f>INT(shadex('Shade - 1'!$D$9,'Shade - 1'!$E$9,'Shade - 1'!$F$9,'Shade - 1'!$D$7,Vertex!AL56,Vertex!AL121,Vertex!AL186,Normal!AL56,Normal!AL121,Normal!AL186)*255)</f>
        <v>60</v>
      </c>
      <c r="AM56" s="4">
        <f>INT(shadex('Shade - 1'!$D$9,'Shade - 1'!$E$9,'Shade - 1'!$F$9,'Shade - 1'!$D$7,Vertex!AM56,Vertex!AM121,Vertex!AM186,Normal!AM56,Normal!AM121,Normal!AM186)*255)</f>
        <v>41</v>
      </c>
      <c r="AN56" s="4">
        <f>INT(shadex('Shade - 1'!$D$9,'Shade - 1'!$E$9,'Shade - 1'!$F$9,'Shade - 1'!$D$7,Vertex!AN56,Vertex!AN121,Vertex!AN186,Normal!AN56,Normal!AN121,Normal!AN186)*255)</f>
        <v>53</v>
      </c>
      <c r="AO56" s="4">
        <f>INT(shadex('Shade - 1'!$D$9,'Shade - 1'!$E$9,'Shade - 1'!$F$9,'Shade - 1'!$D$7,Vertex!AO56,Vertex!AO121,Vertex!AO186,Normal!AO56,Normal!AO121,Normal!AO186)*255)</f>
        <v>66</v>
      </c>
      <c r="AP56" s="4">
        <f>INT(shadex('Shade - 1'!$D$9,'Shade - 1'!$E$9,'Shade - 1'!$F$9,'Shade - 1'!$D$7,Vertex!AP56,Vertex!AP121,Vertex!AP186,Normal!AP56,Normal!AP121,Normal!AP186)*255)</f>
        <v>69</v>
      </c>
      <c r="AQ56" s="4">
        <f>INT(shadex('Shade - 1'!$D$9,'Shade - 1'!$E$9,'Shade - 1'!$F$9,'Shade - 1'!$D$7,Vertex!AQ56,Vertex!AQ121,Vertex!AQ186,Normal!AQ56,Normal!AQ121,Normal!AQ186)*255)</f>
        <v>70</v>
      </c>
      <c r="AR56" s="4">
        <f>INT(shadex('Shade - 1'!$D$9,'Shade - 1'!$E$9,'Shade - 1'!$F$9,'Shade - 1'!$D$7,Vertex!AR56,Vertex!AR121,Vertex!AR186,Normal!AR56,Normal!AR121,Normal!AR186)*255)</f>
        <v>76</v>
      </c>
      <c r="AS56" s="4">
        <f>INT(shadex('Shade - 1'!$D$9,'Shade - 1'!$E$9,'Shade - 1'!$F$9,'Shade - 1'!$D$7,Vertex!AS56,Vertex!AS121,Vertex!AS186,Normal!AS56,Normal!AS121,Normal!AS186)*255)</f>
        <v>81</v>
      </c>
      <c r="AT56" s="4">
        <f>INT(shadex('Shade - 1'!$D$9,'Shade - 1'!$E$9,'Shade - 1'!$F$9,'Shade - 1'!$D$7,Vertex!AT56,Vertex!AT121,Vertex!AT186,Normal!AT56,Normal!AT121,Normal!AT186)*255)</f>
        <v>90</v>
      </c>
      <c r="AU56" s="4">
        <f>INT(shadex('Shade - 1'!$D$9,'Shade - 1'!$E$9,'Shade - 1'!$F$9,'Shade - 1'!$D$7,Vertex!AU56,Vertex!AU121,Vertex!AU186,Normal!AU56,Normal!AU121,Normal!AU186)*255)</f>
        <v>85</v>
      </c>
      <c r="AV56" s="4">
        <f>INT(shadex('Shade - 1'!$D$9,'Shade - 1'!$E$9,'Shade - 1'!$F$9,'Shade - 1'!$D$7,Vertex!AV56,Vertex!AV121,Vertex!AV186,Normal!AV56,Normal!AV121,Normal!AV186)*255)</f>
        <v>74</v>
      </c>
      <c r="AW56" s="4">
        <f>INT(shadex('Shade - 1'!$D$9,'Shade - 1'!$E$9,'Shade - 1'!$F$9,'Shade - 1'!$D$7,Vertex!AW56,Vertex!AW121,Vertex!AW186,Normal!AW56,Normal!AW121,Normal!AW186)*255)</f>
        <v>54</v>
      </c>
      <c r="AX56" s="4">
        <f>INT(shadex('Shade - 1'!$D$9,'Shade - 1'!$E$9,'Shade - 1'!$F$9,'Shade - 1'!$D$7,Vertex!AX56,Vertex!AX121,Vertex!AX186,Normal!AX56,Normal!AX121,Normal!AX186)*255)</f>
        <v>44</v>
      </c>
      <c r="AY56" s="4">
        <f>INT(shadex('Shade - 1'!$D$9,'Shade - 1'!$E$9,'Shade - 1'!$F$9,'Shade - 1'!$D$7,Vertex!AY56,Vertex!AY121,Vertex!AY186,Normal!AY56,Normal!AY121,Normal!AY186)*255)</f>
        <v>92</v>
      </c>
      <c r="AZ56" s="4">
        <f>INT(shadex('Shade - 1'!$D$9,'Shade - 1'!$E$9,'Shade - 1'!$F$9,'Shade - 1'!$D$7,Vertex!AZ56,Vertex!AZ121,Vertex!AZ186,Normal!AZ56,Normal!AZ121,Normal!AZ186)*255)</f>
        <v>97</v>
      </c>
      <c r="BA56" s="4">
        <f>INT(shadex('Shade - 1'!$D$9,'Shade - 1'!$E$9,'Shade - 1'!$F$9,'Shade - 1'!$D$7,Vertex!BA56,Vertex!BA121,Vertex!BA186,Normal!BA56,Normal!BA121,Normal!BA186)*255)</f>
        <v>79</v>
      </c>
      <c r="BB56" s="4">
        <f>INT(shadex('Shade - 1'!$D$9,'Shade - 1'!$E$9,'Shade - 1'!$F$9,'Shade - 1'!$D$7,Vertex!BB56,Vertex!BB121,Vertex!BB186,Normal!BB56,Normal!BB121,Normal!BB186)*255)</f>
        <v>75</v>
      </c>
      <c r="BC56" s="4">
        <f>INT(shadex('Shade - 1'!$D$9,'Shade - 1'!$E$9,'Shade - 1'!$F$9,'Shade - 1'!$D$7,Vertex!BC56,Vertex!BC121,Vertex!BC186,Normal!BC56,Normal!BC121,Normal!BC186)*255)</f>
        <v>84</v>
      </c>
      <c r="BD56" s="4">
        <f>INT(shadex('Shade - 1'!$D$9,'Shade - 1'!$E$9,'Shade - 1'!$F$9,'Shade - 1'!$D$7,Vertex!BD56,Vertex!BD121,Vertex!BD186,Normal!BD56,Normal!BD121,Normal!BD186)*255)</f>
        <v>82</v>
      </c>
      <c r="BE56" s="4">
        <f>INT(shadex('Shade - 1'!$D$9,'Shade - 1'!$E$9,'Shade - 1'!$F$9,'Shade - 1'!$D$7,Vertex!BE56,Vertex!BE121,Vertex!BE186,Normal!BE56,Normal!BE121,Normal!BE186)*255)</f>
        <v>81</v>
      </c>
      <c r="BF56" s="4">
        <f>INT(shadex('Shade - 1'!$D$9,'Shade - 1'!$E$9,'Shade - 1'!$F$9,'Shade - 1'!$D$7,Vertex!BF56,Vertex!BF121,Vertex!BF186,Normal!BF56,Normal!BF121,Normal!BF186)*255)</f>
        <v>73</v>
      </c>
      <c r="BG56" s="4">
        <f>INT(shadex('Shade - 1'!$D$9,'Shade - 1'!$E$9,'Shade - 1'!$F$9,'Shade - 1'!$D$7,Vertex!BG56,Vertex!BG121,Vertex!BG186,Normal!BG56,Normal!BG121,Normal!BG186)*255)</f>
        <v>87</v>
      </c>
      <c r="BH56" s="4">
        <f>INT(shadex('Shade - 1'!$D$9,'Shade - 1'!$E$9,'Shade - 1'!$F$9,'Shade - 1'!$D$7,Vertex!BH56,Vertex!BH121,Vertex!BH186,Normal!BH56,Normal!BH121,Normal!BH186)*255)</f>
        <v>92</v>
      </c>
      <c r="BI56" s="4">
        <f>INT(shadex('Shade - 1'!$D$9,'Shade - 1'!$E$9,'Shade - 1'!$F$9,'Shade - 1'!$D$7,Vertex!BI56,Vertex!BI121,Vertex!BI186,Normal!BI56,Normal!BI121,Normal!BI186)*255)</f>
        <v>96</v>
      </c>
      <c r="BJ56" s="4">
        <f>INT(shadex('Shade - 1'!$D$9,'Shade - 1'!$E$9,'Shade - 1'!$F$9,'Shade - 1'!$D$7,Vertex!BJ56,Vertex!BJ121,Vertex!BJ186,Normal!BJ56,Normal!BJ121,Normal!BJ186)*255)</f>
        <v>95</v>
      </c>
      <c r="BK56" s="4">
        <f>INT(shadex('Shade - 1'!$D$9,'Shade - 1'!$E$9,'Shade - 1'!$F$9,'Shade - 1'!$D$7,Vertex!BK56,Vertex!BK121,Vertex!BK186,Normal!BK56,Normal!BK121,Normal!BK186)*255)</f>
        <v>94</v>
      </c>
      <c r="BL56" s="4">
        <f>INT(shadex('Shade - 1'!$D$9,'Shade - 1'!$E$9,'Shade - 1'!$F$9,'Shade - 1'!$D$7,Vertex!BL56,Vertex!BL121,Vertex!BL186,Normal!BL56,Normal!BL121,Normal!BL186)*255)</f>
        <v>89</v>
      </c>
    </row>
    <row r="57" spans="1:64" x14ac:dyDescent="0.25">
      <c r="A57">
        <f>INT(shadex('Shade - 1'!$D$9,'Shade - 1'!$E$9,'Shade - 1'!$F$9,'Shade - 1'!$D$7,Vertex!A57,Vertex!A122,Vertex!A187,Normal!A57,Normal!A122,Normal!A187)*255)</f>
        <v>0</v>
      </c>
      <c r="B57">
        <f>INT(shadex('Shade - 1'!$D$9,'Shade - 1'!$E$9,'Shade - 1'!$F$9,'Shade - 1'!$D$7,Vertex!B57,Vertex!B122,Vertex!B187,Normal!B57,Normal!B122,Normal!B187)*255)</f>
        <v>0</v>
      </c>
      <c r="C57">
        <f>INT(shadex('Shade - 1'!$D$9,'Shade - 1'!$E$9,'Shade - 1'!$F$9,'Shade - 1'!$D$7,Vertex!C57,Vertex!C122,Vertex!C187,Normal!C57,Normal!C122,Normal!C187)*255)</f>
        <v>35</v>
      </c>
      <c r="D57">
        <f>INT(shadex('Shade - 1'!$D$9,'Shade - 1'!$E$9,'Shade - 1'!$F$9,'Shade - 1'!$D$7,Vertex!D57,Vertex!D122,Vertex!D187,Normal!D57,Normal!D122,Normal!D187)*255)</f>
        <v>64</v>
      </c>
      <c r="E57">
        <f>INT(shadex('Shade - 1'!$D$9,'Shade - 1'!$E$9,'Shade - 1'!$F$9,'Shade - 1'!$D$7,Vertex!E57,Vertex!E122,Vertex!E187,Normal!E57,Normal!E122,Normal!E187)*255)</f>
        <v>48</v>
      </c>
      <c r="F57">
        <f>INT(shadex('Shade - 1'!$D$9,'Shade - 1'!$E$9,'Shade - 1'!$F$9,'Shade - 1'!$D$7,Vertex!F57,Vertex!F122,Vertex!F187,Normal!F57,Normal!F122,Normal!F187)*255)</f>
        <v>28</v>
      </c>
      <c r="G57">
        <f>INT(shadex('Shade - 1'!$D$9,'Shade - 1'!$E$9,'Shade - 1'!$F$9,'Shade - 1'!$D$7,Vertex!G57,Vertex!G122,Vertex!G187,Normal!G57,Normal!G122,Normal!G187)*255)</f>
        <v>48</v>
      </c>
      <c r="H57">
        <f>INT(shadex('Shade - 1'!$D$9,'Shade - 1'!$E$9,'Shade - 1'!$F$9,'Shade - 1'!$D$7,Vertex!H57,Vertex!H122,Vertex!H187,Normal!H57,Normal!H122,Normal!H187)*255)</f>
        <v>69</v>
      </c>
      <c r="I57">
        <f>INT(shadex('Shade - 1'!$D$9,'Shade - 1'!$E$9,'Shade - 1'!$F$9,'Shade - 1'!$D$7,Vertex!I57,Vertex!I122,Vertex!I187,Normal!I57,Normal!I122,Normal!I187)*255)</f>
        <v>56</v>
      </c>
      <c r="J57">
        <f>INT(shadex('Shade - 1'!$D$9,'Shade - 1'!$E$9,'Shade - 1'!$F$9,'Shade - 1'!$D$7,Vertex!J57,Vertex!J122,Vertex!J187,Normal!J57,Normal!J122,Normal!J187)*255)</f>
        <v>0</v>
      </c>
      <c r="K57">
        <f>INT(shadex('Shade - 1'!$D$9,'Shade - 1'!$E$9,'Shade - 1'!$F$9,'Shade - 1'!$D$7,Vertex!K57,Vertex!K122,Vertex!K187,Normal!K57,Normal!K122,Normal!K187)*255)</f>
        <v>32</v>
      </c>
      <c r="L57">
        <f>INT(shadex('Shade - 1'!$D$9,'Shade - 1'!$E$9,'Shade - 1'!$F$9,'Shade - 1'!$D$7,Vertex!L57,Vertex!L122,Vertex!L187,Normal!L57,Normal!L122,Normal!L187)*255)</f>
        <v>63</v>
      </c>
      <c r="M57">
        <f>INT(shadex('Shade - 1'!$D$9,'Shade - 1'!$E$9,'Shade - 1'!$F$9,'Shade - 1'!$D$7,Vertex!M57,Vertex!M122,Vertex!M187,Normal!M57,Normal!M122,Normal!M187)*255)</f>
        <v>75</v>
      </c>
      <c r="N57">
        <f>INT(shadex('Shade - 1'!$D$9,'Shade - 1'!$E$9,'Shade - 1'!$F$9,'Shade - 1'!$D$7,Vertex!N57,Vertex!N122,Vertex!N187,Normal!N57,Normal!N122,Normal!N187)*255)</f>
        <v>80</v>
      </c>
      <c r="O57">
        <f>INT(shadex('Shade - 1'!$D$9,'Shade - 1'!$E$9,'Shade - 1'!$F$9,'Shade - 1'!$D$7,Vertex!O57,Vertex!O122,Vertex!O187,Normal!O57,Normal!O122,Normal!O187)*255)</f>
        <v>73</v>
      </c>
      <c r="P57">
        <f>INT(shadex('Shade - 1'!$D$9,'Shade - 1'!$E$9,'Shade - 1'!$F$9,'Shade - 1'!$D$7,Vertex!P57,Vertex!P122,Vertex!P187,Normal!P57,Normal!P122,Normal!P187)*255)</f>
        <v>62</v>
      </c>
      <c r="Q57">
        <f>INT(shadex('Shade - 1'!$D$9,'Shade - 1'!$E$9,'Shade - 1'!$F$9,'Shade - 1'!$D$7,Vertex!Q57,Vertex!Q122,Vertex!Q187,Normal!Q57,Normal!Q122,Normal!Q187)*255)</f>
        <v>58</v>
      </c>
      <c r="R57">
        <f>INT(shadex('Shade - 1'!$D$9,'Shade - 1'!$E$9,'Shade - 1'!$F$9,'Shade - 1'!$D$7,Vertex!R57,Vertex!R122,Vertex!R187,Normal!R57,Normal!R122,Normal!R187)*255)</f>
        <v>32</v>
      </c>
      <c r="S57">
        <f>INT(shadex('Shade - 1'!$D$9,'Shade - 1'!$E$9,'Shade - 1'!$F$9,'Shade - 1'!$D$7,Vertex!S57,Vertex!S122,Vertex!S187,Normal!S57,Normal!S122,Normal!S187)*255)</f>
        <v>45</v>
      </c>
      <c r="T57">
        <f>INT(shadex('Shade - 1'!$D$9,'Shade - 1'!$E$9,'Shade - 1'!$F$9,'Shade - 1'!$D$7,Vertex!T57,Vertex!T122,Vertex!T187,Normal!T57,Normal!T122,Normal!T187)*255)</f>
        <v>58</v>
      </c>
      <c r="U57">
        <f>INT(shadex('Shade - 1'!$D$9,'Shade - 1'!$E$9,'Shade - 1'!$F$9,'Shade - 1'!$D$7,Vertex!U57,Vertex!U122,Vertex!U187,Normal!U57,Normal!U122,Normal!U187)*255)</f>
        <v>52</v>
      </c>
      <c r="V57">
        <f>INT(shadex('Shade - 1'!$D$9,'Shade - 1'!$E$9,'Shade - 1'!$F$9,'Shade - 1'!$D$7,Vertex!V57,Vertex!V122,Vertex!V187,Normal!V57,Normal!V122,Normal!V187)*255)</f>
        <v>52</v>
      </c>
      <c r="W57">
        <f>INT(shadex('Shade - 1'!$D$9,'Shade - 1'!$E$9,'Shade - 1'!$F$9,'Shade - 1'!$D$7,Vertex!W57,Vertex!W122,Vertex!W187,Normal!W57,Normal!W122,Normal!W187)*255)</f>
        <v>44</v>
      </c>
      <c r="X57">
        <f>INT(shadex('Shade - 1'!$D$9,'Shade - 1'!$E$9,'Shade - 1'!$F$9,'Shade - 1'!$D$7,Vertex!X57,Vertex!X122,Vertex!X187,Normal!X57,Normal!X122,Normal!X187)*255)</f>
        <v>29</v>
      </c>
      <c r="Y57">
        <f>INT(shadex('Shade - 1'!$D$9,'Shade - 1'!$E$9,'Shade - 1'!$F$9,'Shade - 1'!$D$7,Vertex!Y57,Vertex!Y122,Vertex!Y187,Normal!Y57,Normal!Y122,Normal!Y187)*255)</f>
        <v>0</v>
      </c>
      <c r="Z57">
        <f>INT(shadex('Shade - 1'!$D$9,'Shade - 1'!$E$9,'Shade - 1'!$F$9,'Shade - 1'!$D$7,Vertex!Z57,Vertex!Z122,Vertex!Z187,Normal!Z57,Normal!Z122,Normal!Z187)*255)</f>
        <v>0</v>
      </c>
      <c r="AA57">
        <f>INT(shadex('Shade - 1'!$D$9,'Shade - 1'!$E$9,'Shade - 1'!$F$9,'Shade - 1'!$D$7,Vertex!AA57,Vertex!AA122,Vertex!AA187,Normal!AA57,Normal!AA122,Normal!AA187)*255)</f>
        <v>0</v>
      </c>
      <c r="AB57">
        <f>INT(shadex('Shade - 1'!$D$9,'Shade - 1'!$E$9,'Shade - 1'!$F$9,'Shade - 1'!$D$7,Vertex!AB57,Vertex!AB122,Vertex!AB187,Normal!AB57,Normal!AB122,Normal!AB187)*255)</f>
        <v>37</v>
      </c>
      <c r="AC57">
        <f>INT(shadex('Shade - 1'!$D$9,'Shade - 1'!$E$9,'Shade - 1'!$F$9,'Shade - 1'!$D$7,Vertex!AC57,Vertex!AC122,Vertex!AC187,Normal!AC57,Normal!AC122,Normal!AC187)*255)</f>
        <v>41</v>
      </c>
      <c r="AD57">
        <f>INT(shadex('Shade - 1'!$D$9,'Shade - 1'!$E$9,'Shade - 1'!$F$9,'Shade - 1'!$D$7,Vertex!AD57,Vertex!AD122,Vertex!AD187,Normal!AD57,Normal!AD122,Normal!AD187)*255)</f>
        <v>49</v>
      </c>
      <c r="AE57">
        <f>INT(shadex('Shade - 1'!$D$9,'Shade - 1'!$E$9,'Shade - 1'!$F$9,'Shade - 1'!$D$7,Vertex!AE57,Vertex!AE122,Vertex!AE187,Normal!AE57,Normal!AE122,Normal!AE187)*255)</f>
        <v>46</v>
      </c>
      <c r="AF57">
        <f>INT(shadex('Shade - 1'!$D$9,'Shade - 1'!$E$9,'Shade - 1'!$F$9,'Shade - 1'!$D$7,Vertex!AF57,Vertex!AF122,Vertex!AF187,Normal!AF57,Normal!AF122,Normal!AF187)*255)</f>
        <v>50</v>
      </c>
      <c r="AG57">
        <f>INT(shadex('Shade - 1'!$D$9,'Shade - 1'!$E$9,'Shade - 1'!$F$9,'Shade - 1'!$D$7,Vertex!AG57,Vertex!AG122,Vertex!AG187,Normal!AG57,Normal!AG122,Normal!AG187)*255)</f>
        <v>37</v>
      </c>
      <c r="AH57">
        <f>INT(shadex('Shade - 1'!$D$9,'Shade - 1'!$E$9,'Shade - 1'!$F$9,'Shade - 1'!$D$7,Vertex!AH57,Vertex!AH122,Vertex!AH187,Normal!AH57,Normal!AH122,Normal!AH187)*255)</f>
        <v>0</v>
      </c>
      <c r="AI57" s="4">
        <f>INT(shadex('Shade - 1'!$D$9,'Shade - 1'!$E$9,'Shade - 1'!$F$9,'Shade - 1'!$D$7,Vertex!AI57,Vertex!AI122,Vertex!AI187,Normal!AI57,Normal!AI122,Normal!AI187)*255)</f>
        <v>54</v>
      </c>
      <c r="AJ57" s="4">
        <f>INT(shadex('Shade - 1'!$D$9,'Shade - 1'!$E$9,'Shade - 1'!$F$9,'Shade - 1'!$D$7,Vertex!AJ57,Vertex!AJ122,Vertex!AJ187,Normal!AJ57,Normal!AJ122,Normal!AJ187)*255)</f>
        <v>63</v>
      </c>
      <c r="AK57" s="4">
        <f>INT(shadex('Shade - 1'!$D$9,'Shade - 1'!$E$9,'Shade - 1'!$F$9,'Shade - 1'!$D$7,Vertex!AK57,Vertex!AK122,Vertex!AK187,Normal!AK57,Normal!AK122,Normal!AK187)*255)</f>
        <v>77</v>
      </c>
      <c r="AL57" s="4">
        <f>INT(shadex('Shade - 1'!$D$9,'Shade - 1'!$E$9,'Shade - 1'!$F$9,'Shade - 1'!$D$7,Vertex!AL57,Vertex!AL122,Vertex!AL187,Normal!AL57,Normal!AL122,Normal!AL187)*255)</f>
        <v>79</v>
      </c>
      <c r="AM57" s="4">
        <f>INT(shadex('Shade - 1'!$D$9,'Shade - 1'!$E$9,'Shade - 1'!$F$9,'Shade - 1'!$D$7,Vertex!AM57,Vertex!AM122,Vertex!AM187,Normal!AM57,Normal!AM122,Normal!AM187)*255)</f>
        <v>62</v>
      </c>
      <c r="AN57" s="4">
        <f>INT(shadex('Shade - 1'!$D$9,'Shade - 1'!$E$9,'Shade - 1'!$F$9,'Shade - 1'!$D$7,Vertex!AN57,Vertex!AN122,Vertex!AN187,Normal!AN57,Normal!AN122,Normal!AN187)*255)</f>
        <v>60</v>
      </c>
      <c r="AO57" s="4">
        <f>INT(shadex('Shade - 1'!$D$9,'Shade - 1'!$E$9,'Shade - 1'!$F$9,'Shade - 1'!$D$7,Vertex!AO57,Vertex!AO122,Vertex!AO187,Normal!AO57,Normal!AO122,Normal!AO187)*255)</f>
        <v>68</v>
      </c>
      <c r="AP57" s="4">
        <f>INT(shadex('Shade - 1'!$D$9,'Shade - 1'!$E$9,'Shade - 1'!$F$9,'Shade - 1'!$D$7,Vertex!AP57,Vertex!AP122,Vertex!AP187,Normal!AP57,Normal!AP122,Normal!AP187)*255)</f>
        <v>73</v>
      </c>
      <c r="AQ57" s="4">
        <f>INT(shadex('Shade - 1'!$D$9,'Shade - 1'!$E$9,'Shade - 1'!$F$9,'Shade - 1'!$D$7,Vertex!AQ57,Vertex!AQ122,Vertex!AQ187,Normal!AQ57,Normal!AQ122,Normal!AQ187)*255)</f>
        <v>80</v>
      </c>
      <c r="AR57" s="4">
        <f>INT(shadex('Shade - 1'!$D$9,'Shade - 1'!$E$9,'Shade - 1'!$F$9,'Shade - 1'!$D$7,Vertex!AR57,Vertex!AR122,Vertex!AR187,Normal!AR57,Normal!AR122,Normal!AR187)*255)</f>
        <v>70</v>
      </c>
      <c r="AS57" s="4">
        <f>INT(shadex('Shade - 1'!$D$9,'Shade - 1'!$E$9,'Shade - 1'!$F$9,'Shade - 1'!$D$7,Vertex!AS57,Vertex!AS122,Vertex!AS187,Normal!AS57,Normal!AS122,Normal!AS187)*255)</f>
        <v>82</v>
      </c>
      <c r="AT57" s="4">
        <f>INT(shadex('Shade - 1'!$D$9,'Shade - 1'!$E$9,'Shade - 1'!$F$9,'Shade - 1'!$D$7,Vertex!AT57,Vertex!AT122,Vertex!AT187,Normal!AT57,Normal!AT122,Normal!AT187)*255)</f>
        <v>85</v>
      </c>
      <c r="AU57" s="4">
        <f>INT(shadex('Shade - 1'!$D$9,'Shade - 1'!$E$9,'Shade - 1'!$F$9,'Shade - 1'!$D$7,Vertex!AU57,Vertex!AU122,Vertex!AU187,Normal!AU57,Normal!AU122,Normal!AU187)*255)</f>
        <v>89</v>
      </c>
      <c r="AV57" s="4">
        <f>INT(shadex('Shade - 1'!$D$9,'Shade - 1'!$E$9,'Shade - 1'!$F$9,'Shade - 1'!$D$7,Vertex!AV57,Vertex!AV122,Vertex!AV187,Normal!AV57,Normal!AV122,Normal!AV187)*255)</f>
        <v>93</v>
      </c>
      <c r="AW57" s="4">
        <f>INT(shadex('Shade - 1'!$D$9,'Shade - 1'!$E$9,'Shade - 1'!$F$9,'Shade - 1'!$D$7,Vertex!AW57,Vertex!AW122,Vertex!AW187,Normal!AW57,Normal!AW122,Normal!AW187)*255)</f>
        <v>63</v>
      </c>
      <c r="AX57" s="4">
        <f>INT(shadex('Shade - 1'!$D$9,'Shade - 1'!$E$9,'Shade - 1'!$F$9,'Shade - 1'!$D$7,Vertex!AX57,Vertex!AX122,Vertex!AX187,Normal!AX57,Normal!AX122,Normal!AX187)*255)</f>
        <v>31</v>
      </c>
      <c r="AY57" s="4">
        <f>INT(shadex('Shade - 1'!$D$9,'Shade - 1'!$E$9,'Shade - 1'!$F$9,'Shade - 1'!$D$7,Vertex!AY57,Vertex!AY122,Vertex!AY187,Normal!AY57,Normal!AY122,Normal!AY187)*255)</f>
        <v>77</v>
      </c>
      <c r="AZ57" s="4">
        <f>INT(shadex('Shade - 1'!$D$9,'Shade - 1'!$E$9,'Shade - 1'!$F$9,'Shade - 1'!$D$7,Vertex!AZ57,Vertex!AZ122,Vertex!AZ187,Normal!AZ57,Normal!AZ122,Normal!AZ187)*255)</f>
        <v>87</v>
      </c>
      <c r="BA57" s="4">
        <f>INT(shadex('Shade - 1'!$D$9,'Shade - 1'!$E$9,'Shade - 1'!$F$9,'Shade - 1'!$D$7,Vertex!BA57,Vertex!BA122,Vertex!BA187,Normal!BA57,Normal!BA122,Normal!BA187)*255)</f>
        <v>69</v>
      </c>
      <c r="BB57" s="4">
        <f>INT(shadex('Shade - 1'!$D$9,'Shade - 1'!$E$9,'Shade - 1'!$F$9,'Shade - 1'!$D$7,Vertex!BB57,Vertex!BB122,Vertex!BB187,Normal!BB57,Normal!BB122,Normal!BB187)*255)</f>
        <v>65</v>
      </c>
      <c r="BC57" s="4">
        <f>INT(shadex('Shade - 1'!$D$9,'Shade - 1'!$E$9,'Shade - 1'!$F$9,'Shade - 1'!$D$7,Vertex!BC57,Vertex!BC122,Vertex!BC187,Normal!BC57,Normal!BC122,Normal!BC187)*255)</f>
        <v>77</v>
      </c>
      <c r="BD57" s="4">
        <f>INT(shadex('Shade - 1'!$D$9,'Shade - 1'!$E$9,'Shade - 1'!$F$9,'Shade - 1'!$D$7,Vertex!BD57,Vertex!BD122,Vertex!BD187,Normal!BD57,Normal!BD122,Normal!BD187)*255)</f>
        <v>87</v>
      </c>
      <c r="BE57" s="4">
        <f>INT(shadex('Shade - 1'!$D$9,'Shade - 1'!$E$9,'Shade - 1'!$F$9,'Shade - 1'!$D$7,Vertex!BE57,Vertex!BE122,Vertex!BE187,Normal!BE57,Normal!BE122,Normal!BE187)*255)</f>
        <v>87</v>
      </c>
      <c r="BF57" s="4">
        <f>INT(shadex('Shade - 1'!$D$9,'Shade - 1'!$E$9,'Shade - 1'!$F$9,'Shade - 1'!$D$7,Vertex!BF57,Vertex!BF122,Vertex!BF187,Normal!BF57,Normal!BF122,Normal!BF187)*255)</f>
        <v>77</v>
      </c>
      <c r="BG57" s="4">
        <f>INT(shadex('Shade - 1'!$D$9,'Shade - 1'!$E$9,'Shade - 1'!$F$9,'Shade - 1'!$D$7,Vertex!BG57,Vertex!BG122,Vertex!BG187,Normal!BG57,Normal!BG122,Normal!BG187)*255)</f>
        <v>79</v>
      </c>
      <c r="BH57" s="4">
        <f>INT(shadex('Shade - 1'!$D$9,'Shade - 1'!$E$9,'Shade - 1'!$F$9,'Shade - 1'!$D$7,Vertex!BH57,Vertex!BH122,Vertex!BH187,Normal!BH57,Normal!BH122,Normal!BH187)*255)</f>
        <v>80</v>
      </c>
      <c r="BI57" s="4">
        <f>INT(shadex('Shade - 1'!$D$9,'Shade - 1'!$E$9,'Shade - 1'!$F$9,'Shade - 1'!$D$7,Vertex!BI57,Vertex!BI122,Vertex!BI187,Normal!BI57,Normal!BI122,Normal!BI187)*255)</f>
        <v>78</v>
      </c>
      <c r="BJ57" s="4">
        <f>INT(shadex('Shade - 1'!$D$9,'Shade - 1'!$E$9,'Shade - 1'!$F$9,'Shade - 1'!$D$7,Vertex!BJ57,Vertex!BJ122,Vertex!BJ187,Normal!BJ57,Normal!BJ122,Normal!BJ187)*255)</f>
        <v>77</v>
      </c>
      <c r="BK57" s="4">
        <f>INT(shadex('Shade - 1'!$D$9,'Shade - 1'!$E$9,'Shade - 1'!$F$9,'Shade - 1'!$D$7,Vertex!BK57,Vertex!BK122,Vertex!BK187,Normal!BK57,Normal!BK122,Normal!BK187)*255)</f>
        <v>74</v>
      </c>
      <c r="BL57" s="4">
        <f>INT(shadex('Shade - 1'!$D$9,'Shade - 1'!$E$9,'Shade - 1'!$F$9,'Shade - 1'!$D$7,Vertex!BL57,Vertex!BL122,Vertex!BL187,Normal!BL57,Normal!BL122,Normal!BL187)*255)</f>
        <v>72</v>
      </c>
    </row>
    <row r="58" spans="1:64" x14ac:dyDescent="0.25">
      <c r="A58">
        <f>INT(shadex('Shade - 1'!$D$9,'Shade - 1'!$E$9,'Shade - 1'!$F$9,'Shade - 1'!$D$7,Vertex!A58,Vertex!A123,Vertex!A188,Normal!A58,Normal!A123,Normal!A188)*255)</f>
        <v>62</v>
      </c>
      <c r="B58">
        <f>INT(shadex('Shade - 1'!$D$9,'Shade - 1'!$E$9,'Shade - 1'!$F$9,'Shade - 1'!$D$7,Vertex!B58,Vertex!B123,Vertex!B188,Normal!B58,Normal!B123,Normal!B188)*255)</f>
        <v>64</v>
      </c>
      <c r="C58">
        <f>INT(shadex('Shade - 1'!$D$9,'Shade - 1'!$E$9,'Shade - 1'!$F$9,'Shade - 1'!$D$7,Vertex!C58,Vertex!C123,Vertex!C188,Normal!C58,Normal!C123,Normal!C188)*255)</f>
        <v>51</v>
      </c>
      <c r="D58">
        <f>INT(shadex('Shade - 1'!$D$9,'Shade - 1'!$E$9,'Shade - 1'!$F$9,'Shade - 1'!$D$7,Vertex!D58,Vertex!D123,Vertex!D188,Normal!D58,Normal!D123,Normal!D188)*255)</f>
        <v>63</v>
      </c>
      <c r="E58">
        <f>INT(shadex('Shade - 1'!$D$9,'Shade - 1'!$E$9,'Shade - 1'!$F$9,'Shade - 1'!$D$7,Vertex!E58,Vertex!E123,Vertex!E188,Normal!E58,Normal!E123,Normal!E188)*255)</f>
        <v>51</v>
      </c>
      <c r="F58">
        <f>INT(shadex('Shade - 1'!$D$9,'Shade - 1'!$E$9,'Shade - 1'!$F$9,'Shade - 1'!$D$7,Vertex!F58,Vertex!F123,Vertex!F188,Normal!F58,Normal!F123,Normal!F188)*255)</f>
        <v>29</v>
      </c>
      <c r="G58">
        <f>INT(shadex('Shade - 1'!$D$9,'Shade - 1'!$E$9,'Shade - 1'!$F$9,'Shade - 1'!$D$7,Vertex!G58,Vertex!G123,Vertex!G188,Normal!G58,Normal!G123,Normal!G188)*255)</f>
        <v>57</v>
      </c>
      <c r="H58">
        <f>INT(shadex('Shade - 1'!$D$9,'Shade - 1'!$E$9,'Shade - 1'!$F$9,'Shade - 1'!$D$7,Vertex!H58,Vertex!H123,Vertex!H188,Normal!H58,Normal!H123,Normal!H188)*255)</f>
        <v>58</v>
      </c>
      <c r="I58">
        <f>INT(shadex('Shade - 1'!$D$9,'Shade - 1'!$E$9,'Shade - 1'!$F$9,'Shade - 1'!$D$7,Vertex!I58,Vertex!I123,Vertex!I188,Normal!I58,Normal!I123,Normal!I188)*255)</f>
        <v>50</v>
      </c>
      <c r="J58">
        <f>INT(shadex('Shade - 1'!$D$9,'Shade - 1'!$E$9,'Shade - 1'!$F$9,'Shade - 1'!$D$7,Vertex!J58,Vertex!J123,Vertex!J188,Normal!J58,Normal!J123,Normal!J188)*255)</f>
        <v>47</v>
      </c>
      <c r="K58">
        <f>INT(shadex('Shade - 1'!$D$9,'Shade - 1'!$E$9,'Shade - 1'!$F$9,'Shade - 1'!$D$7,Vertex!K58,Vertex!K123,Vertex!K188,Normal!K58,Normal!K123,Normal!K188)*255)</f>
        <v>36</v>
      </c>
      <c r="L58">
        <f>INT(shadex('Shade - 1'!$D$9,'Shade - 1'!$E$9,'Shade - 1'!$F$9,'Shade - 1'!$D$7,Vertex!L58,Vertex!L123,Vertex!L188,Normal!L58,Normal!L123,Normal!L188)*255)</f>
        <v>60</v>
      </c>
      <c r="M58">
        <f>INT(shadex('Shade - 1'!$D$9,'Shade - 1'!$E$9,'Shade - 1'!$F$9,'Shade - 1'!$D$7,Vertex!M58,Vertex!M123,Vertex!M188,Normal!M58,Normal!M123,Normal!M188)*255)</f>
        <v>83</v>
      </c>
      <c r="N58">
        <f>INT(shadex('Shade - 1'!$D$9,'Shade - 1'!$E$9,'Shade - 1'!$F$9,'Shade - 1'!$D$7,Vertex!N58,Vertex!N123,Vertex!N188,Normal!N58,Normal!N123,Normal!N188)*255)</f>
        <v>92</v>
      </c>
      <c r="O58">
        <f>INT(shadex('Shade - 1'!$D$9,'Shade - 1'!$E$9,'Shade - 1'!$F$9,'Shade - 1'!$D$7,Vertex!O58,Vertex!O123,Vertex!O188,Normal!O58,Normal!O123,Normal!O188)*255)</f>
        <v>86</v>
      </c>
      <c r="P58">
        <f>INT(shadex('Shade - 1'!$D$9,'Shade - 1'!$E$9,'Shade - 1'!$F$9,'Shade - 1'!$D$7,Vertex!P58,Vertex!P123,Vertex!P188,Normal!P58,Normal!P123,Normal!P188)*255)</f>
        <v>82</v>
      </c>
      <c r="Q58">
        <f>INT(shadex('Shade - 1'!$D$9,'Shade - 1'!$E$9,'Shade - 1'!$F$9,'Shade - 1'!$D$7,Vertex!Q58,Vertex!Q123,Vertex!Q188,Normal!Q58,Normal!Q123,Normal!Q188)*255)</f>
        <v>86</v>
      </c>
      <c r="R58">
        <f>INT(shadex('Shade - 1'!$D$9,'Shade - 1'!$E$9,'Shade - 1'!$F$9,'Shade - 1'!$D$7,Vertex!R58,Vertex!R123,Vertex!R188,Normal!R58,Normal!R123,Normal!R188)*255)</f>
        <v>57</v>
      </c>
      <c r="S58">
        <f>INT(shadex('Shade - 1'!$D$9,'Shade - 1'!$E$9,'Shade - 1'!$F$9,'Shade - 1'!$D$7,Vertex!S58,Vertex!S123,Vertex!S188,Normal!S58,Normal!S123,Normal!S188)*255)</f>
        <v>38</v>
      </c>
      <c r="T58">
        <f>INT(shadex('Shade - 1'!$D$9,'Shade - 1'!$E$9,'Shade - 1'!$F$9,'Shade - 1'!$D$7,Vertex!T58,Vertex!T123,Vertex!T188,Normal!T58,Normal!T123,Normal!T188)*255)</f>
        <v>49</v>
      </c>
      <c r="U58">
        <f>INT(shadex('Shade - 1'!$D$9,'Shade - 1'!$E$9,'Shade - 1'!$F$9,'Shade - 1'!$D$7,Vertex!U58,Vertex!U123,Vertex!U188,Normal!U58,Normal!U123,Normal!U188)*255)</f>
        <v>63</v>
      </c>
      <c r="V58">
        <f>INT(shadex('Shade - 1'!$D$9,'Shade - 1'!$E$9,'Shade - 1'!$F$9,'Shade - 1'!$D$7,Vertex!V58,Vertex!V123,Vertex!V188,Normal!V58,Normal!V123,Normal!V188)*255)</f>
        <v>74</v>
      </c>
      <c r="W58">
        <f>INT(shadex('Shade - 1'!$D$9,'Shade - 1'!$E$9,'Shade - 1'!$F$9,'Shade - 1'!$D$7,Vertex!W58,Vertex!W123,Vertex!W188,Normal!W58,Normal!W123,Normal!W188)*255)</f>
        <v>61</v>
      </c>
      <c r="X58">
        <f>INT(shadex('Shade - 1'!$D$9,'Shade - 1'!$E$9,'Shade - 1'!$F$9,'Shade - 1'!$D$7,Vertex!X58,Vertex!X123,Vertex!X188,Normal!X58,Normal!X123,Normal!X188)*255)</f>
        <v>39</v>
      </c>
      <c r="Y58">
        <f>INT(shadex('Shade - 1'!$D$9,'Shade - 1'!$E$9,'Shade - 1'!$F$9,'Shade - 1'!$D$7,Vertex!Y58,Vertex!Y123,Vertex!Y188,Normal!Y58,Normal!Y123,Normal!Y188)*255)</f>
        <v>0</v>
      </c>
      <c r="Z58">
        <f>INT(shadex('Shade - 1'!$D$9,'Shade - 1'!$E$9,'Shade - 1'!$F$9,'Shade - 1'!$D$7,Vertex!Z58,Vertex!Z123,Vertex!Z188,Normal!Z58,Normal!Z123,Normal!Z188)*255)</f>
        <v>0</v>
      </c>
      <c r="AA58">
        <f>INT(shadex('Shade - 1'!$D$9,'Shade - 1'!$E$9,'Shade - 1'!$F$9,'Shade - 1'!$D$7,Vertex!AA58,Vertex!AA123,Vertex!AA188,Normal!AA58,Normal!AA123,Normal!AA188)*255)</f>
        <v>0</v>
      </c>
      <c r="AB58">
        <f>INT(shadex('Shade - 1'!$D$9,'Shade - 1'!$E$9,'Shade - 1'!$F$9,'Shade - 1'!$D$7,Vertex!AB58,Vertex!AB123,Vertex!AB188,Normal!AB58,Normal!AB123,Normal!AB188)*255)</f>
        <v>40</v>
      </c>
      <c r="AC58">
        <f>INT(shadex('Shade - 1'!$D$9,'Shade - 1'!$E$9,'Shade - 1'!$F$9,'Shade - 1'!$D$7,Vertex!AC58,Vertex!AC123,Vertex!AC188,Normal!AC58,Normal!AC123,Normal!AC188)*255)</f>
        <v>40</v>
      </c>
      <c r="AD58">
        <f>INT(shadex('Shade - 1'!$D$9,'Shade - 1'!$E$9,'Shade - 1'!$F$9,'Shade - 1'!$D$7,Vertex!AD58,Vertex!AD123,Vertex!AD188,Normal!AD58,Normal!AD123,Normal!AD188)*255)</f>
        <v>51</v>
      </c>
      <c r="AE58">
        <f>INT(shadex('Shade - 1'!$D$9,'Shade - 1'!$E$9,'Shade - 1'!$F$9,'Shade - 1'!$D$7,Vertex!AE58,Vertex!AE123,Vertex!AE188,Normal!AE58,Normal!AE123,Normal!AE188)*255)</f>
        <v>63</v>
      </c>
      <c r="AF58">
        <f>INT(shadex('Shade - 1'!$D$9,'Shade - 1'!$E$9,'Shade - 1'!$F$9,'Shade - 1'!$D$7,Vertex!AF58,Vertex!AF123,Vertex!AF188,Normal!AF58,Normal!AF123,Normal!AF188)*255)</f>
        <v>67</v>
      </c>
      <c r="AG58">
        <f>INT(shadex('Shade - 1'!$D$9,'Shade - 1'!$E$9,'Shade - 1'!$F$9,'Shade - 1'!$D$7,Vertex!AG58,Vertex!AG123,Vertex!AG188,Normal!AG58,Normal!AG123,Normal!AG188)*255)</f>
        <v>51</v>
      </c>
      <c r="AH58">
        <f>INT(shadex('Shade - 1'!$D$9,'Shade - 1'!$E$9,'Shade - 1'!$F$9,'Shade - 1'!$D$7,Vertex!AH58,Vertex!AH123,Vertex!AH188,Normal!AH58,Normal!AH123,Normal!AH188)*255)</f>
        <v>26</v>
      </c>
      <c r="AI58" s="4">
        <f>INT(shadex('Shade - 1'!$D$9,'Shade - 1'!$E$9,'Shade - 1'!$F$9,'Shade - 1'!$D$7,Vertex!AI58,Vertex!AI123,Vertex!AI188,Normal!AI58,Normal!AI123,Normal!AI188)*255)</f>
        <v>40</v>
      </c>
      <c r="AJ58" s="4">
        <f>INT(shadex('Shade - 1'!$D$9,'Shade - 1'!$E$9,'Shade - 1'!$F$9,'Shade - 1'!$D$7,Vertex!AJ58,Vertex!AJ123,Vertex!AJ188,Normal!AJ58,Normal!AJ123,Normal!AJ188)*255)</f>
        <v>43</v>
      </c>
      <c r="AK58" s="4">
        <f>INT(shadex('Shade - 1'!$D$9,'Shade - 1'!$E$9,'Shade - 1'!$F$9,'Shade - 1'!$D$7,Vertex!AK58,Vertex!AK123,Vertex!AK188,Normal!AK58,Normal!AK123,Normal!AK188)*255)</f>
        <v>60</v>
      </c>
      <c r="AL58" s="4">
        <f>INT(shadex('Shade - 1'!$D$9,'Shade - 1'!$E$9,'Shade - 1'!$F$9,'Shade - 1'!$D$7,Vertex!AL58,Vertex!AL123,Vertex!AL188,Normal!AL58,Normal!AL123,Normal!AL188)*255)</f>
        <v>84</v>
      </c>
      <c r="AM58" s="4">
        <f>INT(shadex('Shade - 1'!$D$9,'Shade - 1'!$E$9,'Shade - 1'!$F$9,'Shade - 1'!$D$7,Vertex!AM58,Vertex!AM123,Vertex!AM188,Normal!AM58,Normal!AM123,Normal!AM188)*255)</f>
        <v>84</v>
      </c>
      <c r="AN58" s="4">
        <f>INT(shadex('Shade - 1'!$D$9,'Shade - 1'!$E$9,'Shade - 1'!$F$9,'Shade - 1'!$D$7,Vertex!AN58,Vertex!AN123,Vertex!AN188,Normal!AN58,Normal!AN123,Normal!AN188)*255)</f>
        <v>80</v>
      </c>
      <c r="AO58" s="4">
        <f>INT(shadex('Shade - 1'!$D$9,'Shade - 1'!$E$9,'Shade - 1'!$F$9,'Shade - 1'!$D$7,Vertex!AO58,Vertex!AO123,Vertex!AO188,Normal!AO58,Normal!AO123,Normal!AO188)*255)</f>
        <v>84</v>
      </c>
      <c r="AP58" s="4">
        <f>INT(shadex('Shade - 1'!$D$9,'Shade - 1'!$E$9,'Shade - 1'!$F$9,'Shade - 1'!$D$7,Vertex!AP58,Vertex!AP123,Vertex!AP188,Normal!AP58,Normal!AP123,Normal!AP188)*255)</f>
        <v>79</v>
      </c>
      <c r="AQ58" s="4">
        <f>INT(shadex('Shade - 1'!$D$9,'Shade - 1'!$E$9,'Shade - 1'!$F$9,'Shade - 1'!$D$7,Vertex!AQ58,Vertex!AQ123,Vertex!AQ188,Normal!AQ58,Normal!AQ123,Normal!AQ188)*255)</f>
        <v>75</v>
      </c>
      <c r="AR58" s="4">
        <f>INT(shadex('Shade - 1'!$D$9,'Shade - 1'!$E$9,'Shade - 1'!$F$9,'Shade - 1'!$D$7,Vertex!AR58,Vertex!AR123,Vertex!AR188,Normal!AR58,Normal!AR123,Normal!AR188)*255)</f>
        <v>68</v>
      </c>
      <c r="AS58" s="4">
        <f>INT(shadex('Shade - 1'!$D$9,'Shade - 1'!$E$9,'Shade - 1'!$F$9,'Shade - 1'!$D$7,Vertex!AS58,Vertex!AS123,Vertex!AS188,Normal!AS58,Normal!AS123,Normal!AS188)*255)</f>
        <v>69</v>
      </c>
      <c r="AT58" s="4">
        <f>INT(shadex('Shade - 1'!$D$9,'Shade - 1'!$E$9,'Shade - 1'!$F$9,'Shade - 1'!$D$7,Vertex!AT58,Vertex!AT123,Vertex!AT188,Normal!AT58,Normal!AT123,Normal!AT188)*255)</f>
        <v>73</v>
      </c>
      <c r="AU58" s="4">
        <f>INT(shadex('Shade - 1'!$D$9,'Shade - 1'!$E$9,'Shade - 1'!$F$9,'Shade - 1'!$D$7,Vertex!AU58,Vertex!AU123,Vertex!AU188,Normal!AU58,Normal!AU123,Normal!AU188)*255)</f>
        <v>76</v>
      </c>
      <c r="AV58" s="4">
        <f>INT(shadex('Shade - 1'!$D$9,'Shade - 1'!$E$9,'Shade - 1'!$F$9,'Shade - 1'!$D$7,Vertex!AV58,Vertex!AV123,Vertex!AV188,Normal!AV58,Normal!AV123,Normal!AV188)*255)</f>
        <v>95</v>
      </c>
      <c r="AW58" s="4">
        <f>INT(shadex('Shade - 1'!$D$9,'Shade - 1'!$E$9,'Shade - 1'!$F$9,'Shade - 1'!$D$7,Vertex!AW58,Vertex!AW123,Vertex!AW188,Normal!AW58,Normal!AW123,Normal!AW188)*255)</f>
        <v>84</v>
      </c>
      <c r="AX58" s="4">
        <f>INT(shadex('Shade - 1'!$D$9,'Shade - 1'!$E$9,'Shade - 1'!$F$9,'Shade - 1'!$D$7,Vertex!AX58,Vertex!AX123,Vertex!AX188,Normal!AX58,Normal!AX123,Normal!AX188)*255)</f>
        <v>57</v>
      </c>
      <c r="AY58" s="4">
        <f>INT(shadex('Shade - 1'!$D$9,'Shade - 1'!$E$9,'Shade - 1'!$F$9,'Shade - 1'!$D$7,Vertex!AY58,Vertex!AY123,Vertex!AY188,Normal!AY58,Normal!AY123,Normal!AY188)*255)</f>
        <v>69</v>
      </c>
      <c r="AZ58" s="4">
        <f>INT(shadex('Shade - 1'!$D$9,'Shade - 1'!$E$9,'Shade - 1'!$F$9,'Shade - 1'!$D$7,Vertex!AZ58,Vertex!AZ123,Vertex!AZ188,Normal!AZ58,Normal!AZ123,Normal!AZ188)*255)</f>
        <v>70</v>
      </c>
      <c r="BA58" s="4">
        <f>INT(shadex('Shade - 1'!$D$9,'Shade - 1'!$E$9,'Shade - 1'!$F$9,'Shade - 1'!$D$7,Vertex!BA58,Vertex!BA123,Vertex!BA188,Normal!BA58,Normal!BA123,Normal!BA188)*255)</f>
        <v>56</v>
      </c>
      <c r="BB58" s="4">
        <f>INT(shadex('Shade - 1'!$D$9,'Shade - 1'!$E$9,'Shade - 1'!$F$9,'Shade - 1'!$D$7,Vertex!BB58,Vertex!BB123,Vertex!BB188,Normal!BB58,Normal!BB123,Normal!BB188)*255)</f>
        <v>43</v>
      </c>
      <c r="BC58" s="4">
        <f>INT(shadex('Shade - 1'!$D$9,'Shade - 1'!$E$9,'Shade - 1'!$F$9,'Shade - 1'!$D$7,Vertex!BC58,Vertex!BC123,Vertex!BC188,Normal!BC58,Normal!BC123,Normal!BC188)*255)</f>
        <v>43</v>
      </c>
      <c r="BD58" s="4">
        <f>INT(shadex('Shade - 1'!$D$9,'Shade - 1'!$E$9,'Shade - 1'!$F$9,'Shade - 1'!$D$7,Vertex!BD58,Vertex!BD123,Vertex!BD188,Normal!BD58,Normal!BD123,Normal!BD188)*255)</f>
        <v>73</v>
      </c>
      <c r="BE58" s="4">
        <f>INT(shadex('Shade - 1'!$D$9,'Shade - 1'!$E$9,'Shade - 1'!$F$9,'Shade - 1'!$D$7,Vertex!BE58,Vertex!BE123,Vertex!BE188,Normal!BE58,Normal!BE123,Normal!BE188)*255)</f>
        <v>92</v>
      </c>
      <c r="BF58" s="4">
        <f>INT(shadex('Shade - 1'!$D$9,'Shade - 1'!$E$9,'Shade - 1'!$F$9,'Shade - 1'!$D$7,Vertex!BF58,Vertex!BF123,Vertex!BF188,Normal!BF58,Normal!BF123,Normal!BF188)*255)</f>
        <v>85</v>
      </c>
      <c r="BG58" s="4">
        <f>INT(shadex('Shade - 1'!$D$9,'Shade - 1'!$E$9,'Shade - 1'!$F$9,'Shade - 1'!$D$7,Vertex!BG58,Vertex!BG123,Vertex!BG188,Normal!BG58,Normal!BG123,Normal!BG188)*255)</f>
        <v>72</v>
      </c>
      <c r="BH58" s="4">
        <f>INT(shadex('Shade - 1'!$D$9,'Shade - 1'!$E$9,'Shade - 1'!$F$9,'Shade - 1'!$D$7,Vertex!BH58,Vertex!BH123,Vertex!BH188,Normal!BH58,Normal!BH123,Normal!BH188)*255)</f>
        <v>72</v>
      </c>
      <c r="BI58" s="4">
        <f>INT(shadex('Shade - 1'!$D$9,'Shade - 1'!$E$9,'Shade - 1'!$F$9,'Shade - 1'!$D$7,Vertex!BI58,Vertex!BI123,Vertex!BI188,Normal!BI58,Normal!BI123,Normal!BI188)*255)</f>
        <v>72</v>
      </c>
      <c r="BJ58" s="4">
        <f>INT(shadex('Shade - 1'!$D$9,'Shade - 1'!$E$9,'Shade - 1'!$F$9,'Shade - 1'!$D$7,Vertex!BJ58,Vertex!BJ123,Vertex!BJ188,Normal!BJ58,Normal!BJ123,Normal!BJ188)*255)</f>
        <v>64</v>
      </c>
      <c r="BK58" s="4">
        <f>INT(shadex('Shade - 1'!$D$9,'Shade - 1'!$E$9,'Shade - 1'!$F$9,'Shade - 1'!$D$7,Vertex!BK58,Vertex!BK123,Vertex!BK188,Normal!BK58,Normal!BK123,Normal!BK188)*255)</f>
        <v>60</v>
      </c>
      <c r="BL58" s="4">
        <f>INT(shadex('Shade - 1'!$D$9,'Shade - 1'!$E$9,'Shade - 1'!$F$9,'Shade - 1'!$D$7,Vertex!BL58,Vertex!BL123,Vertex!BL188,Normal!BL58,Normal!BL123,Normal!BL188)*255)</f>
        <v>64</v>
      </c>
    </row>
    <row r="59" spans="1:64" x14ac:dyDescent="0.25">
      <c r="A59">
        <f>INT(shadex('Shade - 1'!$D$9,'Shade - 1'!$E$9,'Shade - 1'!$F$9,'Shade - 1'!$D$7,Vertex!A59,Vertex!A124,Vertex!A189,Normal!A59,Normal!A124,Normal!A189)*255)</f>
        <v>86</v>
      </c>
      <c r="B59">
        <f>INT(shadex('Shade - 1'!$D$9,'Shade - 1'!$E$9,'Shade - 1'!$F$9,'Shade - 1'!$D$7,Vertex!B59,Vertex!B124,Vertex!B189,Normal!B59,Normal!B124,Normal!B189)*255)</f>
        <v>86</v>
      </c>
      <c r="C59">
        <f>INT(shadex('Shade - 1'!$D$9,'Shade - 1'!$E$9,'Shade - 1'!$F$9,'Shade - 1'!$D$7,Vertex!C59,Vertex!C124,Vertex!C189,Normal!C59,Normal!C124,Normal!C189)*255)</f>
        <v>72</v>
      </c>
      <c r="D59">
        <f>INT(shadex('Shade - 1'!$D$9,'Shade - 1'!$E$9,'Shade - 1'!$F$9,'Shade - 1'!$D$7,Vertex!D59,Vertex!D124,Vertex!D189,Normal!D59,Normal!D124,Normal!D189)*255)</f>
        <v>68</v>
      </c>
      <c r="E59">
        <f>INT(shadex('Shade - 1'!$D$9,'Shade - 1'!$E$9,'Shade - 1'!$F$9,'Shade - 1'!$D$7,Vertex!E59,Vertex!E124,Vertex!E189,Normal!E59,Normal!E124,Normal!E189)*255)</f>
        <v>42</v>
      </c>
      <c r="F59">
        <f>INT(shadex('Shade - 1'!$D$9,'Shade - 1'!$E$9,'Shade - 1'!$F$9,'Shade - 1'!$D$7,Vertex!F59,Vertex!F124,Vertex!F189,Normal!F59,Normal!F124,Normal!F189)*255)</f>
        <v>31</v>
      </c>
      <c r="G59">
        <f>INT(shadex('Shade - 1'!$D$9,'Shade - 1'!$E$9,'Shade - 1'!$F$9,'Shade - 1'!$D$7,Vertex!G59,Vertex!G124,Vertex!G189,Normal!G59,Normal!G124,Normal!G189)*255)</f>
        <v>62</v>
      </c>
      <c r="H59">
        <f>INT(shadex('Shade - 1'!$D$9,'Shade - 1'!$E$9,'Shade - 1'!$F$9,'Shade - 1'!$D$7,Vertex!H59,Vertex!H124,Vertex!H189,Normal!H59,Normal!H124,Normal!H189)*255)</f>
        <v>57</v>
      </c>
      <c r="I59">
        <f>INT(shadex('Shade - 1'!$D$9,'Shade - 1'!$E$9,'Shade - 1'!$F$9,'Shade - 1'!$D$7,Vertex!I59,Vertex!I124,Vertex!I189,Normal!I59,Normal!I124,Normal!I189)*255)</f>
        <v>51</v>
      </c>
      <c r="J59">
        <f>INT(shadex('Shade - 1'!$D$9,'Shade - 1'!$E$9,'Shade - 1'!$F$9,'Shade - 1'!$D$7,Vertex!J59,Vertex!J124,Vertex!J189,Normal!J59,Normal!J124,Normal!J189)*255)</f>
        <v>52</v>
      </c>
      <c r="K59">
        <f>INT(shadex('Shade - 1'!$D$9,'Shade - 1'!$E$9,'Shade - 1'!$F$9,'Shade - 1'!$D$7,Vertex!K59,Vertex!K124,Vertex!K189,Normal!K59,Normal!K124,Normal!K189)*255)</f>
        <v>42</v>
      </c>
      <c r="L59">
        <f>INT(shadex('Shade - 1'!$D$9,'Shade - 1'!$E$9,'Shade - 1'!$F$9,'Shade - 1'!$D$7,Vertex!L59,Vertex!L124,Vertex!L189,Normal!L59,Normal!L124,Normal!L189)*255)</f>
        <v>54</v>
      </c>
      <c r="M59">
        <f>INT(shadex('Shade - 1'!$D$9,'Shade - 1'!$E$9,'Shade - 1'!$F$9,'Shade - 1'!$D$7,Vertex!M59,Vertex!M124,Vertex!M189,Normal!M59,Normal!M124,Normal!M189)*255)</f>
        <v>68</v>
      </c>
      <c r="N59">
        <f>INT(shadex('Shade - 1'!$D$9,'Shade - 1'!$E$9,'Shade - 1'!$F$9,'Shade - 1'!$D$7,Vertex!N59,Vertex!N124,Vertex!N189,Normal!N59,Normal!N124,Normal!N189)*255)</f>
        <v>80</v>
      </c>
      <c r="O59">
        <f>INT(shadex('Shade - 1'!$D$9,'Shade - 1'!$E$9,'Shade - 1'!$F$9,'Shade - 1'!$D$7,Vertex!O59,Vertex!O124,Vertex!O189,Normal!O59,Normal!O124,Normal!O189)*255)</f>
        <v>84</v>
      </c>
      <c r="P59">
        <f>INT(shadex('Shade - 1'!$D$9,'Shade - 1'!$E$9,'Shade - 1'!$F$9,'Shade - 1'!$D$7,Vertex!P59,Vertex!P124,Vertex!P189,Normal!P59,Normal!P124,Normal!P189)*255)</f>
        <v>82</v>
      </c>
      <c r="Q59">
        <f>INT(shadex('Shade - 1'!$D$9,'Shade - 1'!$E$9,'Shade - 1'!$F$9,'Shade - 1'!$D$7,Vertex!Q59,Vertex!Q124,Vertex!Q189,Normal!Q59,Normal!Q124,Normal!Q189)*255)</f>
        <v>81</v>
      </c>
      <c r="R59">
        <f>INT(shadex('Shade - 1'!$D$9,'Shade - 1'!$E$9,'Shade - 1'!$F$9,'Shade - 1'!$D$7,Vertex!R59,Vertex!R124,Vertex!R189,Normal!R59,Normal!R124,Normal!R189)*255)</f>
        <v>76</v>
      </c>
      <c r="S59">
        <f>INT(shadex('Shade - 1'!$D$9,'Shade - 1'!$E$9,'Shade - 1'!$F$9,'Shade - 1'!$D$7,Vertex!S59,Vertex!S124,Vertex!S189,Normal!S59,Normal!S124,Normal!S189)*255)</f>
        <v>55</v>
      </c>
      <c r="T59">
        <f>INT(shadex('Shade - 1'!$D$9,'Shade - 1'!$E$9,'Shade - 1'!$F$9,'Shade - 1'!$D$7,Vertex!T59,Vertex!T124,Vertex!T189,Normal!T59,Normal!T124,Normal!T189)*255)</f>
        <v>46</v>
      </c>
      <c r="U59">
        <f>INT(shadex('Shade - 1'!$D$9,'Shade - 1'!$E$9,'Shade - 1'!$F$9,'Shade - 1'!$D$7,Vertex!U59,Vertex!U124,Vertex!U189,Normal!U59,Normal!U124,Normal!U189)*255)</f>
        <v>58</v>
      </c>
      <c r="V59">
        <f>INT(shadex('Shade - 1'!$D$9,'Shade - 1'!$E$9,'Shade - 1'!$F$9,'Shade - 1'!$D$7,Vertex!V59,Vertex!V124,Vertex!V189,Normal!V59,Normal!V124,Normal!V189)*255)</f>
        <v>75</v>
      </c>
      <c r="W59">
        <f>INT(shadex('Shade - 1'!$D$9,'Shade - 1'!$E$9,'Shade - 1'!$F$9,'Shade - 1'!$D$7,Vertex!W59,Vertex!W124,Vertex!W189,Normal!W59,Normal!W124,Normal!W189)*255)</f>
        <v>75</v>
      </c>
      <c r="X59">
        <f>INT(shadex('Shade - 1'!$D$9,'Shade - 1'!$E$9,'Shade - 1'!$F$9,'Shade - 1'!$D$7,Vertex!X59,Vertex!X124,Vertex!X189,Normal!X59,Normal!X124,Normal!X189)*255)</f>
        <v>57</v>
      </c>
      <c r="Y59">
        <f>INT(shadex('Shade - 1'!$D$9,'Shade - 1'!$E$9,'Shade - 1'!$F$9,'Shade - 1'!$D$7,Vertex!Y59,Vertex!Y124,Vertex!Y189,Normal!Y59,Normal!Y124,Normal!Y189)*255)</f>
        <v>33</v>
      </c>
      <c r="Z59">
        <f>INT(shadex('Shade - 1'!$D$9,'Shade - 1'!$E$9,'Shade - 1'!$F$9,'Shade - 1'!$D$7,Vertex!Z59,Vertex!Z124,Vertex!Z189,Normal!Z59,Normal!Z124,Normal!Z189)*255)</f>
        <v>0</v>
      </c>
      <c r="AA59">
        <f>INT(shadex('Shade - 1'!$D$9,'Shade - 1'!$E$9,'Shade - 1'!$F$9,'Shade - 1'!$D$7,Vertex!AA59,Vertex!AA124,Vertex!AA189,Normal!AA59,Normal!AA124,Normal!AA189)*255)</f>
        <v>34</v>
      </c>
      <c r="AB59">
        <f>INT(shadex('Shade - 1'!$D$9,'Shade - 1'!$E$9,'Shade - 1'!$F$9,'Shade - 1'!$D$7,Vertex!AB59,Vertex!AB124,Vertex!AB189,Normal!AB59,Normal!AB124,Normal!AB189)*255)</f>
        <v>63</v>
      </c>
      <c r="AC59">
        <f>INT(shadex('Shade - 1'!$D$9,'Shade - 1'!$E$9,'Shade - 1'!$F$9,'Shade - 1'!$D$7,Vertex!AC59,Vertex!AC124,Vertex!AC189,Normal!AC59,Normal!AC124,Normal!AC189)*255)</f>
        <v>63</v>
      </c>
      <c r="AD59">
        <f>INT(shadex('Shade - 1'!$D$9,'Shade - 1'!$E$9,'Shade - 1'!$F$9,'Shade - 1'!$D$7,Vertex!AD59,Vertex!AD124,Vertex!AD189,Normal!AD59,Normal!AD124,Normal!AD189)*255)</f>
        <v>56</v>
      </c>
      <c r="AE59">
        <f>INT(shadex('Shade - 1'!$D$9,'Shade - 1'!$E$9,'Shade - 1'!$F$9,'Shade - 1'!$D$7,Vertex!AE59,Vertex!AE124,Vertex!AE189,Normal!AE59,Normal!AE124,Normal!AE189)*255)</f>
        <v>63</v>
      </c>
      <c r="AF59">
        <f>INT(shadex('Shade - 1'!$D$9,'Shade - 1'!$E$9,'Shade - 1'!$F$9,'Shade - 1'!$D$7,Vertex!AF59,Vertex!AF124,Vertex!AF189,Normal!AF59,Normal!AF124,Normal!AF189)*255)</f>
        <v>68</v>
      </c>
      <c r="AG59">
        <f>INT(shadex('Shade - 1'!$D$9,'Shade - 1'!$E$9,'Shade - 1'!$F$9,'Shade - 1'!$D$7,Vertex!AG59,Vertex!AG124,Vertex!AG189,Normal!AG59,Normal!AG124,Normal!AG189)*255)</f>
        <v>53</v>
      </c>
      <c r="AH59">
        <f>INT(shadex('Shade - 1'!$D$9,'Shade - 1'!$E$9,'Shade - 1'!$F$9,'Shade - 1'!$D$7,Vertex!AH59,Vertex!AH124,Vertex!AH189,Normal!AH59,Normal!AH124,Normal!AH189)*255)</f>
        <v>41</v>
      </c>
      <c r="AI59" s="4">
        <f>INT(shadex('Shade - 1'!$D$9,'Shade - 1'!$E$9,'Shade - 1'!$F$9,'Shade - 1'!$D$7,Vertex!AI59,Vertex!AI124,Vertex!AI189,Normal!AI59,Normal!AI124,Normal!AI189)*255)</f>
        <v>59</v>
      </c>
      <c r="AJ59" s="4">
        <f>INT(shadex('Shade - 1'!$D$9,'Shade - 1'!$E$9,'Shade - 1'!$F$9,'Shade - 1'!$D$7,Vertex!AJ59,Vertex!AJ124,Vertex!AJ189,Normal!AJ59,Normal!AJ124,Normal!AJ189)*255)</f>
        <v>61</v>
      </c>
      <c r="AK59" s="4">
        <f>INT(shadex('Shade - 1'!$D$9,'Shade - 1'!$E$9,'Shade - 1'!$F$9,'Shade - 1'!$D$7,Vertex!AK59,Vertex!AK124,Vertex!AK189,Normal!AK59,Normal!AK124,Normal!AK189)*255)</f>
        <v>55</v>
      </c>
      <c r="AL59" s="4">
        <f>INT(shadex('Shade - 1'!$D$9,'Shade - 1'!$E$9,'Shade - 1'!$F$9,'Shade - 1'!$D$7,Vertex!AL59,Vertex!AL124,Vertex!AL189,Normal!AL59,Normal!AL124,Normal!AL189)*255)</f>
        <v>81</v>
      </c>
      <c r="AM59" s="4">
        <f>INT(shadex('Shade - 1'!$D$9,'Shade - 1'!$E$9,'Shade - 1'!$F$9,'Shade - 1'!$D$7,Vertex!AM59,Vertex!AM124,Vertex!AM189,Normal!AM59,Normal!AM124,Normal!AM189)*255)</f>
        <v>89</v>
      </c>
      <c r="AN59" s="4">
        <f>INT(shadex('Shade - 1'!$D$9,'Shade - 1'!$E$9,'Shade - 1'!$F$9,'Shade - 1'!$D$7,Vertex!AN59,Vertex!AN124,Vertex!AN189,Normal!AN59,Normal!AN124,Normal!AN189)*255)</f>
        <v>87</v>
      </c>
      <c r="AO59" s="4">
        <f>INT(shadex('Shade - 1'!$D$9,'Shade - 1'!$E$9,'Shade - 1'!$F$9,'Shade - 1'!$D$7,Vertex!AO59,Vertex!AO124,Vertex!AO189,Normal!AO59,Normal!AO124,Normal!AO189)*255)</f>
        <v>87</v>
      </c>
      <c r="AP59" s="4">
        <f>INT(shadex('Shade - 1'!$D$9,'Shade - 1'!$E$9,'Shade - 1'!$F$9,'Shade - 1'!$D$7,Vertex!AP59,Vertex!AP124,Vertex!AP189,Normal!AP59,Normal!AP124,Normal!AP189)*255)</f>
        <v>75</v>
      </c>
      <c r="AQ59" s="4">
        <f>INT(shadex('Shade - 1'!$D$9,'Shade - 1'!$E$9,'Shade - 1'!$F$9,'Shade - 1'!$D$7,Vertex!AQ59,Vertex!AQ124,Vertex!AQ189,Normal!AQ59,Normal!AQ124,Normal!AQ189)*255)</f>
        <v>76</v>
      </c>
      <c r="AR59" s="4">
        <f>INT(shadex('Shade - 1'!$D$9,'Shade - 1'!$E$9,'Shade - 1'!$F$9,'Shade - 1'!$D$7,Vertex!AR59,Vertex!AR124,Vertex!AR189,Normal!AR59,Normal!AR124,Normal!AR189)*255)</f>
        <v>71</v>
      </c>
      <c r="AS59" s="4">
        <f>INT(shadex('Shade - 1'!$D$9,'Shade - 1'!$E$9,'Shade - 1'!$F$9,'Shade - 1'!$D$7,Vertex!AS59,Vertex!AS124,Vertex!AS189,Normal!AS59,Normal!AS124,Normal!AS189)*255)</f>
        <v>78</v>
      </c>
      <c r="AT59" s="4">
        <f>INT(shadex('Shade - 1'!$D$9,'Shade - 1'!$E$9,'Shade - 1'!$F$9,'Shade - 1'!$D$7,Vertex!AT59,Vertex!AT124,Vertex!AT189,Normal!AT59,Normal!AT124,Normal!AT189)*255)</f>
        <v>79</v>
      </c>
      <c r="AU59" s="4">
        <f>INT(shadex('Shade - 1'!$D$9,'Shade - 1'!$E$9,'Shade - 1'!$F$9,'Shade - 1'!$D$7,Vertex!AU59,Vertex!AU124,Vertex!AU189,Normal!AU59,Normal!AU124,Normal!AU189)*255)</f>
        <v>66</v>
      </c>
      <c r="AV59" s="4">
        <f>INT(shadex('Shade - 1'!$D$9,'Shade - 1'!$E$9,'Shade - 1'!$F$9,'Shade - 1'!$D$7,Vertex!AV59,Vertex!AV124,Vertex!AV189,Normal!AV59,Normal!AV124,Normal!AV189)*255)</f>
        <v>86</v>
      </c>
      <c r="AW59" s="4">
        <f>INT(shadex('Shade - 1'!$D$9,'Shade - 1'!$E$9,'Shade - 1'!$F$9,'Shade - 1'!$D$7,Vertex!AW59,Vertex!AW124,Vertex!AW189,Normal!AW59,Normal!AW124,Normal!AW189)*255)</f>
        <v>90</v>
      </c>
      <c r="AX59" s="4">
        <f>INT(shadex('Shade - 1'!$D$9,'Shade - 1'!$E$9,'Shade - 1'!$F$9,'Shade - 1'!$D$7,Vertex!AX59,Vertex!AX124,Vertex!AX189,Normal!AX59,Normal!AX124,Normal!AX189)*255)</f>
        <v>82</v>
      </c>
      <c r="AY59" s="4">
        <f>INT(shadex('Shade - 1'!$D$9,'Shade - 1'!$E$9,'Shade - 1'!$F$9,'Shade - 1'!$D$7,Vertex!AY59,Vertex!AY124,Vertex!AY189,Normal!AY59,Normal!AY124,Normal!AY189)*255)</f>
        <v>86</v>
      </c>
      <c r="AZ59" s="4">
        <f>INT(shadex('Shade - 1'!$D$9,'Shade - 1'!$E$9,'Shade - 1'!$F$9,'Shade - 1'!$D$7,Vertex!AZ59,Vertex!AZ124,Vertex!AZ189,Normal!AZ59,Normal!AZ124,Normal!AZ189)*255)</f>
        <v>75</v>
      </c>
      <c r="BA59" s="4">
        <f>INT(shadex('Shade - 1'!$D$9,'Shade - 1'!$E$9,'Shade - 1'!$F$9,'Shade - 1'!$D$7,Vertex!BA59,Vertex!BA124,Vertex!BA189,Normal!BA59,Normal!BA124,Normal!BA189)*255)</f>
        <v>60</v>
      </c>
      <c r="BB59" s="4">
        <f>INT(shadex('Shade - 1'!$D$9,'Shade - 1'!$E$9,'Shade - 1'!$F$9,'Shade - 1'!$D$7,Vertex!BB59,Vertex!BB124,Vertex!BB189,Normal!BB59,Normal!BB124,Normal!BB189)*255)</f>
        <v>54</v>
      </c>
      <c r="BC59" s="4">
        <f>INT(shadex('Shade - 1'!$D$9,'Shade - 1'!$E$9,'Shade - 1'!$F$9,'Shade - 1'!$D$7,Vertex!BC59,Vertex!BC124,Vertex!BC189,Normal!BC59,Normal!BC124,Normal!BC189)*255)</f>
        <v>45</v>
      </c>
      <c r="BD59" s="4">
        <f>INT(shadex('Shade - 1'!$D$9,'Shade - 1'!$E$9,'Shade - 1'!$F$9,'Shade - 1'!$D$7,Vertex!BD59,Vertex!BD124,Vertex!BD189,Normal!BD59,Normal!BD124,Normal!BD189)*255)</f>
        <v>63</v>
      </c>
      <c r="BE59" s="4">
        <f>INT(shadex('Shade - 1'!$D$9,'Shade - 1'!$E$9,'Shade - 1'!$F$9,'Shade - 1'!$D$7,Vertex!BE59,Vertex!BE124,Vertex!BE189,Normal!BE59,Normal!BE124,Normal!BE189)*255)</f>
        <v>86</v>
      </c>
      <c r="BF59" s="4">
        <f>INT(shadex('Shade - 1'!$D$9,'Shade - 1'!$E$9,'Shade - 1'!$F$9,'Shade - 1'!$D$7,Vertex!BF59,Vertex!BF124,Vertex!BF189,Normal!BF59,Normal!BF124,Normal!BF189)*255)</f>
        <v>86</v>
      </c>
      <c r="BG59" s="4">
        <f>INT(shadex('Shade - 1'!$D$9,'Shade - 1'!$E$9,'Shade - 1'!$F$9,'Shade - 1'!$D$7,Vertex!BG59,Vertex!BG124,Vertex!BG189,Normal!BG59,Normal!BG124,Normal!BG189)*255)</f>
        <v>85</v>
      </c>
      <c r="BH59" s="4">
        <f>INT(shadex('Shade - 1'!$D$9,'Shade - 1'!$E$9,'Shade - 1'!$F$9,'Shade - 1'!$D$7,Vertex!BH59,Vertex!BH124,Vertex!BH189,Normal!BH59,Normal!BH124,Normal!BH189)*255)</f>
        <v>89</v>
      </c>
      <c r="BI59" s="4">
        <f>INT(shadex('Shade - 1'!$D$9,'Shade - 1'!$E$9,'Shade - 1'!$F$9,'Shade - 1'!$D$7,Vertex!BI59,Vertex!BI124,Vertex!BI189,Normal!BI59,Normal!BI124,Normal!BI189)*255)</f>
        <v>91</v>
      </c>
      <c r="BJ59" s="4">
        <f>INT(shadex('Shade - 1'!$D$9,'Shade - 1'!$E$9,'Shade - 1'!$F$9,'Shade - 1'!$D$7,Vertex!BJ59,Vertex!BJ124,Vertex!BJ189,Normal!BJ59,Normal!BJ124,Normal!BJ189)*255)</f>
        <v>86</v>
      </c>
      <c r="BK59" s="4">
        <f>INT(shadex('Shade - 1'!$D$9,'Shade - 1'!$E$9,'Shade - 1'!$F$9,'Shade - 1'!$D$7,Vertex!BK59,Vertex!BK124,Vertex!BK189,Normal!BK59,Normal!BK124,Normal!BK189)*255)</f>
        <v>75</v>
      </c>
      <c r="BL59" s="4">
        <f>INT(shadex('Shade - 1'!$D$9,'Shade - 1'!$E$9,'Shade - 1'!$F$9,'Shade - 1'!$D$7,Vertex!BL59,Vertex!BL124,Vertex!BL189,Normal!BL59,Normal!BL124,Normal!BL189)*255)</f>
        <v>68</v>
      </c>
    </row>
    <row r="60" spans="1:64" x14ac:dyDescent="0.25">
      <c r="A60">
        <f>INT(shadex('Shade - 1'!$D$9,'Shade - 1'!$E$9,'Shade - 1'!$F$9,'Shade - 1'!$D$7,Vertex!A60,Vertex!A125,Vertex!A190,Normal!A60,Normal!A125,Normal!A190)*255)</f>
        <v>66</v>
      </c>
      <c r="B60">
        <f>INT(shadex('Shade - 1'!$D$9,'Shade - 1'!$E$9,'Shade - 1'!$F$9,'Shade - 1'!$D$7,Vertex!B60,Vertex!B125,Vertex!B190,Normal!B60,Normal!B125,Normal!B190)*255)</f>
        <v>75</v>
      </c>
      <c r="C60">
        <f>INT(shadex('Shade - 1'!$D$9,'Shade - 1'!$E$9,'Shade - 1'!$F$9,'Shade - 1'!$D$7,Vertex!C60,Vertex!C125,Vertex!C190,Normal!C60,Normal!C125,Normal!C190)*255)</f>
        <v>69</v>
      </c>
      <c r="D60">
        <f>INT(shadex('Shade - 1'!$D$9,'Shade - 1'!$E$9,'Shade - 1'!$F$9,'Shade - 1'!$D$7,Vertex!D60,Vertex!D125,Vertex!D190,Normal!D60,Normal!D125,Normal!D190)*255)</f>
        <v>64</v>
      </c>
      <c r="E60">
        <f>INT(shadex('Shade - 1'!$D$9,'Shade - 1'!$E$9,'Shade - 1'!$F$9,'Shade - 1'!$D$7,Vertex!E60,Vertex!E125,Vertex!E190,Normal!E60,Normal!E125,Normal!E190)*255)</f>
        <v>51</v>
      </c>
      <c r="F60">
        <f>INT(shadex('Shade - 1'!$D$9,'Shade - 1'!$E$9,'Shade - 1'!$F$9,'Shade - 1'!$D$7,Vertex!F60,Vertex!F125,Vertex!F190,Normal!F60,Normal!F125,Normal!F190)*255)</f>
        <v>48</v>
      </c>
      <c r="G60">
        <f>INT(shadex('Shade - 1'!$D$9,'Shade - 1'!$E$9,'Shade - 1'!$F$9,'Shade - 1'!$D$7,Vertex!G60,Vertex!G125,Vertex!G190,Normal!G60,Normal!G125,Normal!G190)*255)</f>
        <v>57</v>
      </c>
      <c r="H60">
        <f>INT(shadex('Shade - 1'!$D$9,'Shade - 1'!$E$9,'Shade - 1'!$F$9,'Shade - 1'!$D$7,Vertex!H60,Vertex!H125,Vertex!H190,Normal!H60,Normal!H125,Normal!H190)*255)</f>
        <v>64</v>
      </c>
      <c r="I60">
        <f>INT(shadex('Shade - 1'!$D$9,'Shade - 1'!$E$9,'Shade - 1'!$F$9,'Shade - 1'!$D$7,Vertex!I60,Vertex!I125,Vertex!I190,Normal!I60,Normal!I125,Normal!I190)*255)</f>
        <v>53</v>
      </c>
      <c r="J60">
        <f>INT(shadex('Shade - 1'!$D$9,'Shade - 1'!$E$9,'Shade - 1'!$F$9,'Shade - 1'!$D$7,Vertex!J60,Vertex!J125,Vertex!J190,Normal!J60,Normal!J125,Normal!J190)*255)</f>
        <v>41</v>
      </c>
      <c r="K60">
        <f>INT(shadex('Shade - 1'!$D$9,'Shade - 1'!$E$9,'Shade - 1'!$F$9,'Shade - 1'!$D$7,Vertex!K60,Vertex!K125,Vertex!K190,Normal!K60,Normal!K125,Normal!K190)*255)</f>
        <v>43</v>
      </c>
      <c r="L60">
        <f>INT(shadex('Shade - 1'!$D$9,'Shade - 1'!$E$9,'Shade - 1'!$F$9,'Shade - 1'!$D$7,Vertex!L60,Vertex!L125,Vertex!L190,Normal!L60,Normal!L125,Normal!L190)*255)</f>
        <v>50</v>
      </c>
      <c r="M60">
        <f>INT(shadex('Shade - 1'!$D$9,'Shade - 1'!$E$9,'Shade - 1'!$F$9,'Shade - 1'!$D$7,Vertex!M60,Vertex!M125,Vertex!M190,Normal!M60,Normal!M125,Normal!M190)*255)</f>
        <v>49</v>
      </c>
      <c r="N60">
        <f>INT(shadex('Shade - 1'!$D$9,'Shade - 1'!$E$9,'Shade - 1'!$F$9,'Shade - 1'!$D$7,Vertex!N60,Vertex!N125,Vertex!N190,Normal!N60,Normal!N125,Normal!N190)*255)</f>
        <v>51</v>
      </c>
      <c r="O60">
        <f>INT(shadex('Shade - 1'!$D$9,'Shade - 1'!$E$9,'Shade - 1'!$F$9,'Shade - 1'!$D$7,Vertex!O60,Vertex!O125,Vertex!O190,Normal!O60,Normal!O125,Normal!O190)*255)</f>
        <v>67</v>
      </c>
      <c r="P60">
        <f>INT(shadex('Shade - 1'!$D$9,'Shade - 1'!$E$9,'Shade - 1'!$F$9,'Shade - 1'!$D$7,Vertex!P60,Vertex!P125,Vertex!P190,Normal!P60,Normal!P125,Normal!P190)*255)</f>
        <v>73</v>
      </c>
      <c r="Q60">
        <f>INT(shadex('Shade - 1'!$D$9,'Shade - 1'!$E$9,'Shade - 1'!$F$9,'Shade - 1'!$D$7,Vertex!Q60,Vertex!Q125,Vertex!Q190,Normal!Q60,Normal!Q125,Normal!Q190)*255)</f>
        <v>82</v>
      </c>
      <c r="R60">
        <f>INT(shadex('Shade - 1'!$D$9,'Shade - 1'!$E$9,'Shade - 1'!$F$9,'Shade - 1'!$D$7,Vertex!R60,Vertex!R125,Vertex!R190,Normal!R60,Normal!R125,Normal!R190)*255)</f>
        <v>86</v>
      </c>
      <c r="S60">
        <f>INT(shadex('Shade - 1'!$D$9,'Shade - 1'!$E$9,'Shade - 1'!$F$9,'Shade - 1'!$D$7,Vertex!S60,Vertex!S125,Vertex!S190,Normal!S60,Normal!S125,Normal!S190)*255)</f>
        <v>80</v>
      </c>
      <c r="T60">
        <f>INT(shadex('Shade - 1'!$D$9,'Shade - 1'!$E$9,'Shade - 1'!$F$9,'Shade - 1'!$D$7,Vertex!T60,Vertex!T125,Vertex!T190,Normal!T60,Normal!T125,Normal!T190)*255)</f>
        <v>60</v>
      </c>
      <c r="U60">
        <f>INT(shadex('Shade - 1'!$D$9,'Shade - 1'!$E$9,'Shade - 1'!$F$9,'Shade - 1'!$D$7,Vertex!U60,Vertex!U125,Vertex!U190,Normal!U60,Normal!U125,Normal!U190)*255)</f>
        <v>52</v>
      </c>
      <c r="V60">
        <f>INT(shadex('Shade - 1'!$D$9,'Shade - 1'!$E$9,'Shade - 1'!$F$9,'Shade - 1'!$D$7,Vertex!V60,Vertex!V125,Vertex!V190,Normal!V60,Normal!V125,Normal!V190)*255)</f>
        <v>63</v>
      </c>
      <c r="W60">
        <f>INT(shadex('Shade - 1'!$D$9,'Shade - 1'!$E$9,'Shade - 1'!$F$9,'Shade - 1'!$D$7,Vertex!W60,Vertex!W125,Vertex!W190,Normal!W60,Normal!W125,Normal!W190)*255)</f>
        <v>69</v>
      </c>
      <c r="X60">
        <f>INT(shadex('Shade - 1'!$D$9,'Shade - 1'!$E$9,'Shade - 1'!$F$9,'Shade - 1'!$D$7,Vertex!X60,Vertex!X125,Vertex!X190,Normal!X60,Normal!X125,Normal!X190)*255)</f>
        <v>62</v>
      </c>
      <c r="Y60">
        <f>INT(shadex('Shade - 1'!$D$9,'Shade - 1'!$E$9,'Shade - 1'!$F$9,'Shade - 1'!$D$7,Vertex!Y60,Vertex!Y125,Vertex!Y190,Normal!Y60,Normal!Y125,Normal!Y190)*255)</f>
        <v>43</v>
      </c>
      <c r="Z60">
        <f>INT(shadex('Shade - 1'!$D$9,'Shade - 1'!$E$9,'Shade - 1'!$F$9,'Shade - 1'!$D$7,Vertex!Z60,Vertex!Z125,Vertex!Z190,Normal!Z60,Normal!Z125,Normal!Z190)*255)</f>
        <v>0</v>
      </c>
      <c r="AA60">
        <f>INT(shadex('Shade - 1'!$D$9,'Shade - 1'!$E$9,'Shade - 1'!$F$9,'Shade - 1'!$D$7,Vertex!AA60,Vertex!AA125,Vertex!AA190,Normal!AA60,Normal!AA125,Normal!AA190)*255)</f>
        <v>42</v>
      </c>
      <c r="AB60">
        <f>INT(shadex('Shade - 1'!$D$9,'Shade - 1'!$E$9,'Shade - 1'!$F$9,'Shade - 1'!$D$7,Vertex!AB60,Vertex!AB125,Vertex!AB190,Normal!AB60,Normal!AB125,Normal!AB190)*255)</f>
        <v>75</v>
      </c>
      <c r="AC60">
        <f>INT(shadex('Shade - 1'!$D$9,'Shade - 1'!$E$9,'Shade - 1'!$F$9,'Shade - 1'!$D$7,Vertex!AC60,Vertex!AC125,Vertex!AC190,Normal!AC60,Normal!AC125,Normal!AC190)*255)</f>
        <v>70</v>
      </c>
      <c r="AD60">
        <f>INT(shadex('Shade - 1'!$D$9,'Shade - 1'!$E$9,'Shade - 1'!$F$9,'Shade - 1'!$D$7,Vertex!AD60,Vertex!AD125,Vertex!AD190,Normal!AD60,Normal!AD125,Normal!AD190)*255)</f>
        <v>60</v>
      </c>
      <c r="AE60">
        <f>INT(shadex('Shade - 1'!$D$9,'Shade - 1'!$E$9,'Shade - 1'!$F$9,'Shade - 1'!$D$7,Vertex!AE60,Vertex!AE125,Vertex!AE190,Normal!AE60,Normal!AE125,Normal!AE190)*255)</f>
        <v>59</v>
      </c>
      <c r="AF60">
        <f>INT(shadex('Shade - 1'!$D$9,'Shade - 1'!$E$9,'Shade - 1'!$F$9,'Shade - 1'!$D$7,Vertex!AF60,Vertex!AF125,Vertex!AF190,Normal!AF60,Normal!AF125,Normal!AF190)*255)</f>
        <v>65</v>
      </c>
      <c r="AG60">
        <f>INT(shadex('Shade - 1'!$D$9,'Shade - 1'!$E$9,'Shade - 1'!$F$9,'Shade - 1'!$D$7,Vertex!AG60,Vertex!AG125,Vertex!AG190,Normal!AG60,Normal!AG125,Normal!AG190)*255)</f>
        <v>55</v>
      </c>
      <c r="AH60">
        <f>INT(shadex('Shade - 1'!$D$9,'Shade - 1'!$E$9,'Shade - 1'!$F$9,'Shade - 1'!$D$7,Vertex!AH60,Vertex!AH125,Vertex!AH190,Normal!AH60,Normal!AH125,Normal!AH190)*255)</f>
        <v>39</v>
      </c>
      <c r="AI60" s="4">
        <f>INT(shadex('Shade - 1'!$D$9,'Shade - 1'!$E$9,'Shade - 1'!$F$9,'Shade - 1'!$D$7,Vertex!AI60,Vertex!AI125,Vertex!AI190,Normal!AI60,Normal!AI125,Normal!AI190)*255)</f>
        <v>62</v>
      </c>
      <c r="AJ60" s="4">
        <f>INT(shadex('Shade - 1'!$D$9,'Shade - 1'!$E$9,'Shade - 1'!$F$9,'Shade - 1'!$D$7,Vertex!AJ60,Vertex!AJ125,Vertex!AJ190,Normal!AJ60,Normal!AJ125,Normal!AJ190)*255)</f>
        <v>82</v>
      </c>
      <c r="AK60" s="4">
        <f>INT(shadex('Shade - 1'!$D$9,'Shade - 1'!$E$9,'Shade - 1'!$F$9,'Shade - 1'!$D$7,Vertex!AK60,Vertex!AK125,Vertex!AK190,Normal!AK60,Normal!AK125,Normal!AK190)*255)</f>
        <v>71</v>
      </c>
      <c r="AL60" s="4">
        <f>INT(shadex('Shade - 1'!$D$9,'Shade - 1'!$E$9,'Shade - 1'!$F$9,'Shade - 1'!$D$7,Vertex!AL60,Vertex!AL125,Vertex!AL190,Normal!AL60,Normal!AL125,Normal!AL190)*255)</f>
        <v>78</v>
      </c>
      <c r="AM60" s="4">
        <f>INT(shadex('Shade - 1'!$D$9,'Shade - 1'!$E$9,'Shade - 1'!$F$9,'Shade - 1'!$D$7,Vertex!AM60,Vertex!AM125,Vertex!AM190,Normal!AM60,Normal!AM125,Normal!AM190)*255)</f>
        <v>90</v>
      </c>
      <c r="AN60" s="4">
        <f>INT(shadex('Shade - 1'!$D$9,'Shade - 1'!$E$9,'Shade - 1'!$F$9,'Shade - 1'!$D$7,Vertex!AN60,Vertex!AN125,Vertex!AN190,Normal!AN60,Normal!AN125,Normal!AN190)*255)</f>
        <v>87</v>
      </c>
      <c r="AO60" s="4">
        <f>INT(shadex('Shade - 1'!$D$9,'Shade - 1'!$E$9,'Shade - 1'!$F$9,'Shade - 1'!$D$7,Vertex!AO60,Vertex!AO125,Vertex!AO190,Normal!AO60,Normal!AO125,Normal!AO190)*255)</f>
        <v>80</v>
      </c>
      <c r="AP60" s="4">
        <f>INT(shadex('Shade - 1'!$D$9,'Shade - 1'!$E$9,'Shade - 1'!$F$9,'Shade - 1'!$D$7,Vertex!AP60,Vertex!AP125,Vertex!AP190,Normal!AP60,Normal!AP125,Normal!AP190)*255)</f>
        <v>75</v>
      </c>
      <c r="AQ60" s="4">
        <f>INT(shadex('Shade - 1'!$D$9,'Shade - 1'!$E$9,'Shade - 1'!$F$9,'Shade - 1'!$D$7,Vertex!AQ60,Vertex!AQ125,Vertex!AQ190,Normal!AQ60,Normal!AQ125,Normal!AQ190)*255)</f>
        <v>91</v>
      </c>
      <c r="AR60" s="4">
        <f>INT(shadex('Shade - 1'!$D$9,'Shade - 1'!$E$9,'Shade - 1'!$F$9,'Shade - 1'!$D$7,Vertex!AR60,Vertex!AR125,Vertex!AR190,Normal!AR60,Normal!AR125,Normal!AR190)*255)</f>
        <v>88</v>
      </c>
      <c r="AS60" s="4">
        <f>INT(shadex('Shade - 1'!$D$9,'Shade - 1'!$E$9,'Shade - 1'!$F$9,'Shade - 1'!$D$7,Vertex!AS60,Vertex!AS125,Vertex!AS190,Normal!AS60,Normal!AS125,Normal!AS190)*255)</f>
        <v>91</v>
      </c>
      <c r="AT60" s="4">
        <f>INT(shadex('Shade - 1'!$D$9,'Shade - 1'!$E$9,'Shade - 1'!$F$9,'Shade - 1'!$D$7,Vertex!AT60,Vertex!AT125,Vertex!AT190,Normal!AT60,Normal!AT125,Normal!AT190)*255)</f>
        <v>86</v>
      </c>
      <c r="AU60" s="4">
        <f>INT(shadex('Shade - 1'!$D$9,'Shade - 1'!$E$9,'Shade - 1'!$F$9,'Shade - 1'!$D$7,Vertex!AU60,Vertex!AU125,Vertex!AU190,Normal!AU60,Normal!AU125,Normal!AU190)*255)</f>
        <v>66</v>
      </c>
      <c r="AV60" s="4">
        <f>INT(shadex('Shade - 1'!$D$9,'Shade - 1'!$E$9,'Shade - 1'!$F$9,'Shade - 1'!$D$7,Vertex!AV60,Vertex!AV125,Vertex!AV190,Normal!AV60,Normal!AV125,Normal!AV190)*255)</f>
        <v>81</v>
      </c>
      <c r="AW60" s="4">
        <f>INT(shadex('Shade - 1'!$D$9,'Shade - 1'!$E$9,'Shade - 1'!$F$9,'Shade - 1'!$D$7,Vertex!AW60,Vertex!AW125,Vertex!AW190,Normal!AW60,Normal!AW125,Normal!AW190)*255)</f>
        <v>85</v>
      </c>
      <c r="AX60" s="4">
        <f>INT(shadex('Shade - 1'!$D$9,'Shade - 1'!$E$9,'Shade - 1'!$F$9,'Shade - 1'!$D$7,Vertex!AX60,Vertex!AX125,Vertex!AX190,Normal!AX60,Normal!AX125,Normal!AX190)*255)</f>
        <v>83</v>
      </c>
      <c r="AY60" s="4">
        <f>INT(shadex('Shade - 1'!$D$9,'Shade - 1'!$E$9,'Shade - 1'!$F$9,'Shade - 1'!$D$7,Vertex!AY60,Vertex!AY125,Vertex!AY190,Normal!AY60,Normal!AY125,Normal!AY190)*255)</f>
        <v>84</v>
      </c>
      <c r="AZ60" s="4">
        <f>INT(shadex('Shade - 1'!$D$9,'Shade - 1'!$E$9,'Shade - 1'!$F$9,'Shade - 1'!$D$7,Vertex!AZ60,Vertex!AZ125,Vertex!AZ190,Normal!AZ60,Normal!AZ125,Normal!AZ190)*255)</f>
        <v>82</v>
      </c>
      <c r="BA60" s="4">
        <f>INT(shadex('Shade - 1'!$D$9,'Shade - 1'!$E$9,'Shade - 1'!$F$9,'Shade - 1'!$D$7,Vertex!BA60,Vertex!BA125,Vertex!BA190,Normal!BA60,Normal!BA125,Normal!BA190)*255)</f>
        <v>67</v>
      </c>
      <c r="BB60" s="4">
        <f>INT(shadex('Shade - 1'!$D$9,'Shade - 1'!$E$9,'Shade - 1'!$F$9,'Shade - 1'!$D$7,Vertex!BB60,Vertex!BB125,Vertex!BB190,Normal!BB60,Normal!BB125,Normal!BB190)*255)</f>
        <v>51</v>
      </c>
      <c r="BC60" s="4">
        <f>INT(shadex('Shade - 1'!$D$9,'Shade - 1'!$E$9,'Shade - 1'!$F$9,'Shade - 1'!$D$7,Vertex!BC60,Vertex!BC125,Vertex!BC190,Normal!BC60,Normal!BC125,Normal!BC190)*255)</f>
        <v>45</v>
      </c>
      <c r="BD60" s="4">
        <f>INT(shadex('Shade - 1'!$D$9,'Shade - 1'!$E$9,'Shade - 1'!$F$9,'Shade - 1'!$D$7,Vertex!BD60,Vertex!BD125,Vertex!BD190,Normal!BD60,Normal!BD125,Normal!BD190)*255)</f>
        <v>64</v>
      </c>
      <c r="BE60" s="4">
        <f>INT(shadex('Shade - 1'!$D$9,'Shade - 1'!$E$9,'Shade - 1'!$F$9,'Shade - 1'!$D$7,Vertex!BE60,Vertex!BE125,Vertex!BE190,Normal!BE60,Normal!BE125,Normal!BE190)*255)</f>
        <v>81</v>
      </c>
      <c r="BF60" s="4">
        <f>INT(shadex('Shade - 1'!$D$9,'Shade - 1'!$E$9,'Shade - 1'!$F$9,'Shade - 1'!$D$7,Vertex!BF60,Vertex!BF125,Vertex!BF190,Normal!BF60,Normal!BF125,Normal!BF190)*255)</f>
        <v>88</v>
      </c>
      <c r="BG60" s="4">
        <f>INT(shadex('Shade - 1'!$D$9,'Shade - 1'!$E$9,'Shade - 1'!$F$9,'Shade - 1'!$D$7,Vertex!BG60,Vertex!BG125,Vertex!BG190,Normal!BG60,Normal!BG125,Normal!BG190)*255)</f>
        <v>93</v>
      </c>
      <c r="BH60" s="4">
        <f>INT(shadex('Shade - 1'!$D$9,'Shade - 1'!$E$9,'Shade - 1'!$F$9,'Shade - 1'!$D$7,Vertex!BH60,Vertex!BH125,Vertex!BH190,Normal!BH60,Normal!BH125,Normal!BH190)*255)</f>
        <v>96</v>
      </c>
      <c r="BI60" s="4">
        <f>INT(shadex('Shade - 1'!$D$9,'Shade - 1'!$E$9,'Shade - 1'!$F$9,'Shade - 1'!$D$7,Vertex!BI60,Vertex!BI125,Vertex!BI190,Normal!BI60,Normal!BI125,Normal!BI190)*255)</f>
        <v>95</v>
      </c>
      <c r="BJ60" s="4">
        <f>INT(shadex('Shade - 1'!$D$9,'Shade - 1'!$E$9,'Shade - 1'!$F$9,'Shade - 1'!$D$7,Vertex!BJ60,Vertex!BJ125,Vertex!BJ190,Normal!BJ60,Normal!BJ125,Normal!BJ190)*255)</f>
        <v>90</v>
      </c>
      <c r="BK60" s="4">
        <f>INT(shadex('Shade - 1'!$D$9,'Shade - 1'!$E$9,'Shade - 1'!$F$9,'Shade - 1'!$D$7,Vertex!BK60,Vertex!BK125,Vertex!BK190,Normal!BK60,Normal!BK125,Normal!BK190)*255)</f>
        <v>82</v>
      </c>
      <c r="BL60" s="4">
        <f>INT(shadex('Shade - 1'!$D$9,'Shade - 1'!$E$9,'Shade - 1'!$F$9,'Shade - 1'!$D$7,Vertex!BL60,Vertex!BL125,Vertex!BL190,Normal!BL60,Normal!BL125,Normal!BL190)*255)</f>
        <v>75</v>
      </c>
    </row>
    <row r="61" spans="1:64" x14ac:dyDescent="0.25">
      <c r="A61">
        <f>INT(shadex('Shade - 1'!$D$9,'Shade - 1'!$E$9,'Shade - 1'!$F$9,'Shade - 1'!$D$7,Vertex!A61,Vertex!A126,Vertex!A191,Normal!A61,Normal!A126,Normal!A191)*255)</f>
        <v>48</v>
      </c>
      <c r="B61">
        <f>INT(shadex('Shade - 1'!$D$9,'Shade - 1'!$E$9,'Shade - 1'!$F$9,'Shade - 1'!$D$7,Vertex!B61,Vertex!B126,Vertex!B191,Normal!B61,Normal!B126,Normal!B191)*255)</f>
        <v>56</v>
      </c>
      <c r="C61">
        <f>INT(shadex('Shade - 1'!$D$9,'Shade - 1'!$E$9,'Shade - 1'!$F$9,'Shade - 1'!$D$7,Vertex!C61,Vertex!C126,Vertex!C191,Normal!C61,Normal!C126,Normal!C191)*255)</f>
        <v>55</v>
      </c>
      <c r="D61">
        <f>INT(shadex('Shade - 1'!$D$9,'Shade - 1'!$E$9,'Shade - 1'!$F$9,'Shade - 1'!$D$7,Vertex!D61,Vertex!D126,Vertex!D191,Normal!D61,Normal!D126,Normal!D191)*255)</f>
        <v>57</v>
      </c>
      <c r="E61">
        <f>INT(shadex('Shade - 1'!$D$9,'Shade - 1'!$E$9,'Shade - 1'!$F$9,'Shade - 1'!$D$7,Vertex!E61,Vertex!E126,Vertex!E191,Normal!E61,Normal!E126,Normal!E191)*255)</f>
        <v>68</v>
      </c>
      <c r="F61">
        <f>INT(shadex('Shade - 1'!$D$9,'Shade - 1'!$E$9,'Shade - 1'!$F$9,'Shade - 1'!$D$7,Vertex!F61,Vertex!F126,Vertex!F191,Normal!F61,Normal!F126,Normal!F191)*255)</f>
        <v>68</v>
      </c>
      <c r="G61">
        <f>INT(shadex('Shade - 1'!$D$9,'Shade - 1'!$E$9,'Shade - 1'!$F$9,'Shade - 1'!$D$7,Vertex!G61,Vertex!G126,Vertex!G191,Normal!G61,Normal!G126,Normal!G191)*255)</f>
        <v>63</v>
      </c>
      <c r="H61">
        <f>INT(shadex('Shade - 1'!$D$9,'Shade - 1'!$E$9,'Shade - 1'!$F$9,'Shade - 1'!$D$7,Vertex!H61,Vertex!H126,Vertex!H191,Normal!H61,Normal!H126,Normal!H191)*255)</f>
        <v>82</v>
      </c>
      <c r="I61">
        <f>INT(shadex('Shade - 1'!$D$9,'Shade - 1'!$E$9,'Shade - 1'!$F$9,'Shade - 1'!$D$7,Vertex!I61,Vertex!I126,Vertex!I191,Normal!I61,Normal!I126,Normal!I191)*255)</f>
        <v>68</v>
      </c>
      <c r="J61">
        <f>INT(shadex('Shade - 1'!$D$9,'Shade - 1'!$E$9,'Shade - 1'!$F$9,'Shade - 1'!$D$7,Vertex!J61,Vertex!J126,Vertex!J191,Normal!J61,Normal!J126,Normal!J191)*255)</f>
        <v>60</v>
      </c>
      <c r="K61">
        <f>INT(shadex('Shade - 1'!$D$9,'Shade - 1'!$E$9,'Shade - 1'!$F$9,'Shade - 1'!$D$7,Vertex!K61,Vertex!K126,Vertex!K191,Normal!K61,Normal!K126,Normal!K191)*255)</f>
        <v>71</v>
      </c>
      <c r="L61">
        <f>INT(shadex('Shade - 1'!$D$9,'Shade - 1'!$E$9,'Shade - 1'!$F$9,'Shade - 1'!$D$7,Vertex!L61,Vertex!L126,Vertex!L191,Normal!L61,Normal!L126,Normal!L191)*255)</f>
        <v>80</v>
      </c>
      <c r="M61">
        <f>INT(shadex('Shade - 1'!$D$9,'Shade - 1'!$E$9,'Shade - 1'!$F$9,'Shade - 1'!$D$7,Vertex!M61,Vertex!M126,Vertex!M191,Normal!M61,Normal!M126,Normal!M191)*255)</f>
        <v>85</v>
      </c>
      <c r="N61">
        <f>INT(shadex('Shade - 1'!$D$9,'Shade - 1'!$E$9,'Shade - 1'!$F$9,'Shade - 1'!$D$7,Vertex!N61,Vertex!N126,Vertex!N191,Normal!N61,Normal!N126,Normal!N191)*255)</f>
        <v>66</v>
      </c>
      <c r="O61">
        <f>INT(shadex('Shade - 1'!$D$9,'Shade - 1'!$E$9,'Shade - 1'!$F$9,'Shade - 1'!$D$7,Vertex!O61,Vertex!O126,Vertex!O191,Normal!O61,Normal!O126,Normal!O191)*255)</f>
        <v>81</v>
      </c>
      <c r="P61">
        <f>INT(shadex('Shade - 1'!$D$9,'Shade - 1'!$E$9,'Shade - 1'!$F$9,'Shade - 1'!$D$7,Vertex!P61,Vertex!P126,Vertex!P191,Normal!P61,Normal!P126,Normal!P191)*255)</f>
        <v>84</v>
      </c>
      <c r="Q61">
        <f>INT(shadex('Shade - 1'!$D$9,'Shade - 1'!$E$9,'Shade - 1'!$F$9,'Shade - 1'!$D$7,Vertex!Q61,Vertex!Q126,Vertex!Q191,Normal!Q61,Normal!Q126,Normal!Q191)*255)</f>
        <v>83</v>
      </c>
      <c r="R61">
        <f>INT(shadex('Shade - 1'!$D$9,'Shade - 1'!$E$9,'Shade - 1'!$F$9,'Shade - 1'!$D$7,Vertex!R61,Vertex!R126,Vertex!R191,Normal!R61,Normal!R126,Normal!R191)*255)</f>
        <v>86</v>
      </c>
      <c r="S61">
        <f>INT(shadex('Shade - 1'!$D$9,'Shade - 1'!$E$9,'Shade - 1'!$F$9,'Shade - 1'!$D$7,Vertex!S61,Vertex!S126,Vertex!S191,Normal!S61,Normal!S126,Normal!S191)*255)</f>
        <v>90</v>
      </c>
      <c r="T61">
        <f>INT(shadex('Shade - 1'!$D$9,'Shade - 1'!$E$9,'Shade - 1'!$F$9,'Shade - 1'!$D$7,Vertex!T61,Vertex!T126,Vertex!T191,Normal!T61,Normal!T126,Normal!T191)*255)</f>
        <v>86</v>
      </c>
      <c r="U61">
        <f>INT(shadex('Shade - 1'!$D$9,'Shade - 1'!$E$9,'Shade - 1'!$F$9,'Shade - 1'!$D$7,Vertex!U61,Vertex!U126,Vertex!U191,Normal!U61,Normal!U126,Normal!U191)*255)</f>
        <v>74</v>
      </c>
      <c r="V61">
        <f>INT(shadex('Shade - 1'!$D$9,'Shade - 1'!$E$9,'Shade - 1'!$F$9,'Shade - 1'!$D$7,Vertex!V61,Vertex!V126,Vertex!V191,Normal!V61,Normal!V126,Normal!V191)*255)</f>
        <v>71</v>
      </c>
      <c r="W61">
        <f>INT(shadex('Shade - 1'!$D$9,'Shade - 1'!$E$9,'Shade - 1'!$F$9,'Shade - 1'!$D$7,Vertex!W61,Vertex!W126,Vertex!W191,Normal!W61,Normal!W126,Normal!W191)*255)</f>
        <v>68</v>
      </c>
      <c r="X61">
        <f>INT(shadex('Shade - 1'!$D$9,'Shade - 1'!$E$9,'Shade - 1'!$F$9,'Shade - 1'!$D$7,Vertex!X61,Vertex!X126,Vertex!X191,Normal!X61,Normal!X126,Normal!X191)*255)</f>
        <v>64</v>
      </c>
      <c r="Y61">
        <f>INT(shadex('Shade - 1'!$D$9,'Shade - 1'!$E$9,'Shade - 1'!$F$9,'Shade - 1'!$D$7,Vertex!Y61,Vertex!Y126,Vertex!Y191,Normal!Y61,Normal!Y126,Normal!Y191)*255)</f>
        <v>53</v>
      </c>
      <c r="Z61">
        <f>INT(shadex('Shade - 1'!$D$9,'Shade - 1'!$E$9,'Shade - 1'!$F$9,'Shade - 1'!$D$7,Vertex!Z61,Vertex!Z126,Vertex!Z191,Normal!Z61,Normal!Z126,Normal!Z191)*255)</f>
        <v>26</v>
      </c>
      <c r="AA61">
        <f>INT(shadex('Shade - 1'!$D$9,'Shade - 1'!$E$9,'Shade - 1'!$F$9,'Shade - 1'!$D$7,Vertex!AA61,Vertex!AA126,Vertex!AA191,Normal!AA61,Normal!AA126,Normal!AA191)*255)</f>
        <v>34</v>
      </c>
      <c r="AB61">
        <f>INT(shadex('Shade - 1'!$D$9,'Shade - 1'!$E$9,'Shade - 1'!$F$9,'Shade - 1'!$D$7,Vertex!AB61,Vertex!AB126,Vertex!AB191,Normal!AB61,Normal!AB126,Normal!AB191)*255)</f>
        <v>56</v>
      </c>
      <c r="AC61">
        <f>INT(shadex('Shade - 1'!$D$9,'Shade - 1'!$E$9,'Shade - 1'!$F$9,'Shade - 1'!$D$7,Vertex!AC61,Vertex!AC126,Vertex!AC191,Normal!AC61,Normal!AC126,Normal!AC191)*255)</f>
        <v>56</v>
      </c>
      <c r="AD61">
        <f>INT(shadex('Shade - 1'!$D$9,'Shade - 1'!$E$9,'Shade - 1'!$F$9,'Shade - 1'!$D$7,Vertex!AD61,Vertex!AD126,Vertex!AD191,Normal!AD61,Normal!AD126,Normal!AD191)*255)</f>
        <v>53</v>
      </c>
      <c r="AE61">
        <f>INT(shadex('Shade - 1'!$D$9,'Shade - 1'!$E$9,'Shade - 1'!$F$9,'Shade - 1'!$D$7,Vertex!AE61,Vertex!AE126,Vertex!AE191,Normal!AE61,Normal!AE126,Normal!AE191)*255)</f>
        <v>52</v>
      </c>
      <c r="AF61">
        <f>INT(shadex('Shade - 1'!$D$9,'Shade - 1'!$E$9,'Shade - 1'!$F$9,'Shade - 1'!$D$7,Vertex!AF61,Vertex!AF126,Vertex!AF191,Normal!AF61,Normal!AF126,Normal!AF191)*255)</f>
        <v>56</v>
      </c>
      <c r="AG61">
        <f>INT(shadex('Shade - 1'!$D$9,'Shade - 1'!$E$9,'Shade - 1'!$F$9,'Shade - 1'!$D$7,Vertex!AG61,Vertex!AG126,Vertex!AG191,Normal!AG61,Normal!AG126,Normal!AG191)*255)</f>
        <v>61</v>
      </c>
      <c r="AH61">
        <f>INT(shadex('Shade - 1'!$D$9,'Shade - 1'!$E$9,'Shade - 1'!$F$9,'Shade - 1'!$D$7,Vertex!AH61,Vertex!AH126,Vertex!AH191,Normal!AH61,Normal!AH126,Normal!AH191)*255)</f>
        <v>37</v>
      </c>
      <c r="AI61" s="4">
        <f>INT(shadex('Shade - 1'!$D$9,'Shade - 1'!$E$9,'Shade - 1'!$F$9,'Shade - 1'!$D$7,Vertex!AI61,Vertex!AI126,Vertex!AI191,Normal!AI61,Normal!AI126,Normal!AI191)*255)</f>
        <v>36</v>
      </c>
      <c r="AJ61" s="4">
        <f>INT(shadex('Shade - 1'!$D$9,'Shade - 1'!$E$9,'Shade - 1'!$F$9,'Shade - 1'!$D$7,Vertex!AJ61,Vertex!AJ126,Vertex!AJ191,Normal!AJ61,Normal!AJ126,Normal!AJ191)*255)</f>
        <v>54</v>
      </c>
      <c r="AK61" s="4">
        <f>INT(shadex('Shade - 1'!$D$9,'Shade - 1'!$E$9,'Shade - 1'!$F$9,'Shade - 1'!$D$7,Vertex!AK61,Vertex!AK126,Vertex!AK191,Normal!AK61,Normal!AK126,Normal!AK191)*255)</f>
        <v>67</v>
      </c>
      <c r="AL61" s="4">
        <f>INT(shadex('Shade - 1'!$D$9,'Shade - 1'!$E$9,'Shade - 1'!$F$9,'Shade - 1'!$D$7,Vertex!AL61,Vertex!AL126,Vertex!AL191,Normal!AL61,Normal!AL126,Normal!AL191)*255)</f>
        <v>63</v>
      </c>
      <c r="AM61" s="4">
        <f>INT(shadex('Shade - 1'!$D$9,'Shade - 1'!$E$9,'Shade - 1'!$F$9,'Shade - 1'!$D$7,Vertex!AM61,Vertex!AM126,Vertex!AM191,Normal!AM61,Normal!AM126,Normal!AM191)*255)</f>
        <v>76</v>
      </c>
      <c r="AN61" s="4">
        <f>INT(shadex('Shade - 1'!$D$9,'Shade - 1'!$E$9,'Shade - 1'!$F$9,'Shade - 1'!$D$7,Vertex!AN61,Vertex!AN126,Vertex!AN191,Normal!AN61,Normal!AN126,Normal!AN191)*255)</f>
        <v>93</v>
      </c>
      <c r="AO61" s="4">
        <f>INT(shadex('Shade - 1'!$D$9,'Shade - 1'!$E$9,'Shade - 1'!$F$9,'Shade - 1'!$D$7,Vertex!AO61,Vertex!AO126,Vertex!AO191,Normal!AO61,Normal!AO126,Normal!AO191)*255)</f>
        <v>90</v>
      </c>
      <c r="AP61" s="4">
        <f>INT(shadex('Shade - 1'!$D$9,'Shade - 1'!$E$9,'Shade - 1'!$F$9,'Shade - 1'!$D$7,Vertex!AP61,Vertex!AP126,Vertex!AP191,Normal!AP61,Normal!AP126,Normal!AP191)*255)</f>
        <v>74</v>
      </c>
      <c r="AQ61" s="4">
        <f>INT(shadex('Shade - 1'!$D$9,'Shade - 1'!$E$9,'Shade - 1'!$F$9,'Shade - 1'!$D$7,Vertex!AQ61,Vertex!AQ126,Vertex!AQ191,Normal!AQ61,Normal!AQ126,Normal!AQ191)*255)</f>
        <v>85</v>
      </c>
      <c r="AR61" s="4">
        <f>INT(shadex('Shade - 1'!$D$9,'Shade - 1'!$E$9,'Shade - 1'!$F$9,'Shade - 1'!$D$7,Vertex!AR61,Vertex!AR126,Vertex!AR191,Normal!AR61,Normal!AR126,Normal!AR191)*255)</f>
        <v>81</v>
      </c>
      <c r="AS61" s="4">
        <f>INT(shadex('Shade - 1'!$D$9,'Shade - 1'!$E$9,'Shade - 1'!$F$9,'Shade - 1'!$D$7,Vertex!AS61,Vertex!AS126,Vertex!AS191,Normal!AS61,Normal!AS126,Normal!AS191)*255)</f>
        <v>80</v>
      </c>
      <c r="AT61" s="4">
        <f>INT(shadex('Shade - 1'!$D$9,'Shade - 1'!$E$9,'Shade - 1'!$F$9,'Shade - 1'!$D$7,Vertex!AT61,Vertex!AT126,Vertex!AT191,Normal!AT61,Normal!AT126,Normal!AT191)*255)</f>
        <v>86</v>
      </c>
      <c r="AU61" s="4">
        <f>INT(shadex('Shade - 1'!$D$9,'Shade - 1'!$E$9,'Shade - 1'!$F$9,'Shade - 1'!$D$7,Vertex!AU61,Vertex!AU126,Vertex!AU191,Normal!AU61,Normal!AU126,Normal!AU191)*255)</f>
        <v>72</v>
      </c>
      <c r="AV61" s="4">
        <f>INT(shadex('Shade - 1'!$D$9,'Shade - 1'!$E$9,'Shade - 1'!$F$9,'Shade - 1'!$D$7,Vertex!AV61,Vertex!AV126,Vertex!AV191,Normal!AV61,Normal!AV126,Normal!AV191)*255)</f>
        <v>73</v>
      </c>
      <c r="AW61" s="4">
        <f>INT(shadex('Shade - 1'!$D$9,'Shade - 1'!$E$9,'Shade - 1'!$F$9,'Shade - 1'!$D$7,Vertex!AW61,Vertex!AW126,Vertex!AW191,Normal!AW61,Normal!AW126,Normal!AW191)*255)</f>
        <v>71</v>
      </c>
      <c r="AX61" s="4">
        <f>INT(shadex('Shade - 1'!$D$9,'Shade - 1'!$E$9,'Shade - 1'!$F$9,'Shade - 1'!$D$7,Vertex!AX61,Vertex!AX126,Vertex!AX191,Normal!AX61,Normal!AX126,Normal!AX191)*255)</f>
        <v>73</v>
      </c>
      <c r="AY61" s="4">
        <f>INT(shadex('Shade - 1'!$D$9,'Shade - 1'!$E$9,'Shade - 1'!$F$9,'Shade - 1'!$D$7,Vertex!AY61,Vertex!AY126,Vertex!AY191,Normal!AY61,Normal!AY126,Normal!AY191)*255)</f>
        <v>80</v>
      </c>
      <c r="AZ61" s="4">
        <f>INT(shadex('Shade - 1'!$D$9,'Shade - 1'!$E$9,'Shade - 1'!$F$9,'Shade - 1'!$D$7,Vertex!AZ61,Vertex!AZ126,Vertex!AZ191,Normal!AZ61,Normal!AZ126,Normal!AZ191)*255)</f>
        <v>83</v>
      </c>
      <c r="BA61" s="4">
        <f>INT(shadex('Shade - 1'!$D$9,'Shade - 1'!$E$9,'Shade - 1'!$F$9,'Shade - 1'!$D$7,Vertex!BA61,Vertex!BA126,Vertex!BA191,Normal!BA61,Normal!BA126,Normal!BA191)*255)</f>
        <v>74</v>
      </c>
      <c r="BB61" s="4">
        <f>INT(shadex('Shade - 1'!$D$9,'Shade - 1'!$E$9,'Shade - 1'!$F$9,'Shade - 1'!$D$7,Vertex!BB61,Vertex!BB126,Vertex!BB191,Normal!BB61,Normal!BB126,Normal!BB191)*255)</f>
        <v>59</v>
      </c>
      <c r="BC61" s="4">
        <f>INT(shadex('Shade - 1'!$D$9,'Shade - 1'!$E$9,'Shade - 1'!$F$9,'Shade - 1'!$D$7,Vertex!BC61,Vertex!BC126,Vertex!BC191,Normal!BC61,Normal!BC126,Normal!BC191)*255)</f>
        <v>49</v>
      </c>
      <c r="BD61" s="4">
        <f>INT(shadex('Shade - 1'!$D$9,'Shade - 1'!$E$9,'Shade - 1'!$F$9,'Shade - 1'!$D$7,Vertex!BD61,Vertex!BD126,Vertex!BD191,Normal!BD61,Normal!BD126,Normal!BD191)*255)</f>
        <v>57</v>
      </c>
      <c r="BE61" s="4">
        <f>INT(shadex('Shade - 1'!$D$9,'Shade - 1'!$E$9,'Shade - 1'!$F$9,'Shade - 1'!$D$7,Vertex!BE61,Vertex!BE126,Vertex!BE191,Normal!BE61,Normal!BE126,Normal!BE191)*255)</f>
        <v>75</v>
      </c>
      <c r="BF61" s="4">
        <f>INT(shadex('Shade - 1'!$D$9,'Shade - 1'!$E$9,'Shade - 1'!$F$9,'Shade - 1'!$D$7,Vertex!BF61,Vertex!BF126,Vertex!BF191,Normal!BF61,Normal!BF126,Normal!BF191)*255)</f>
        <v>79</v>
      </c>
      <c r="BG61" s="4">
        <f>INT(shadex('Shade - 1'!$D$9,'Shade - 1'!$E$9,'Shade - 1'!$F$9,'Shade - 1'!$D$7,Vertex!BG61,Vertex!BG126,Vertex!BG191,Normal!BG61,Normal!BG126,Normal!BG191)*255)</f>
        <v>79</v>
      </c>
      <c r="BH61" s="4">
        <f>INT(shadex('Shade - 1'!$D$9,'Shade - 1'!$E$9,'Shade - 1'!$F$9,'Shade - 1'!$D$7,Vertex!BH61,Vertex!BH126,Vertex!BH191,Normal!BH61,Normal!BH126,Normal!BH191)*255)</f>
        <v>83</v>
      </c>
      <c r="BI61" s="4">
        <f>INT(shadex('Shade - 1'!$D$9,'Shade - 1'!$E$9,'Shade - 1'!$F$9,'Shade - 1'!$D$7,Vertex!BI61,Vertex!BI126,Vertex!BI191,Normal!BI61,Normal!BI126,Normal!BI191)*255)</f>
        <v>86</v>
      </c>
      <c r="BJ61" s="4">
        <f>INT(shadex('Shade - 1'!$D$9,'Shade - 1'!$E$9,'Shade - 1'!$F$9,'Shade - 1'!$D$7,Vertex!BJ61,Vertex!BJ126,Vertex!BJ191,Normal!BJ61,Normal!BJ126,Normal!BJ191)*255)</f>
        <v>86</v>
      </c>
      <c r="BK61" s="4">
        <f>INT(shadex('Shade - 1'!$D$9,'Shade - 1'!$E$9,'Shade - 1'!$F$9,'Shade - 1'!$D$7,Vertex!BK61,Vertex!BK126,Vertex!BK191,Normal!BK61,Normal!BK126,Normal!BK191)*255)</f>
        <v>88</v>
      </c>
      <c r="BL61" s="4">
        <f>INT(shadex('Shade - 1'!$D$9,'Shade - 1'!$E$9,'Shade - 1'!$F$9,'Shade - 1'!$D$7,Vertex!BL61,Vertex!BL126,Vertex!BL191,Normal!BL61,Normal!BL126,Normal!BL191)*255)</f>
        <v>89</v>
      </c>
    </row>
    <row r="62" spans="1:64" x14ac:dyDescent="0.25">
      <c r="A62">
        <f>INT(shadex('Shade - 1'!$D$9,'Shade - 1'!$E$9,'Shade - 1'!$F$9,'Shade - 1'!$D$7,Vertex!A62,Vertex!A127,Vertex!A192,Normal!A62,Normal!A127,Normal!A192)*255)</f>
        <v>80</v>
      </c>
      <c r="B62">
        <f>INT(shadex('Shade - 1'!$D$9,'Shade - 1'!$E$9,'Shade - 1'!$F$9,'Shade - 1'!$D$7,Vertex!B62,Vertex!B127,Vertex!B192,Normal!B62,Normal!B127,Normal!B192)*255)</f>
        <v>70</v>
      </c>
      <c r="C62">
        <f>INT(shadex('Shade - 1'!$D$9,'Shade - 1'!$E$9,'Shade - 1'!$F$9,'Shade - 1'!$D$7,Vertex!C62,Vertex!C127,Vertex!C192,Normal!C62,Normal!C127,Normal!C192)*255)</f>
        <v>33</v>
      </c>
      <c r="D62">
        <f>INT(shadex('Shade - 1'!$D$9,'Shade - 1'!$E$9,'Shade - 1'!$F$9,'Shade - 1'!$D$7,Vertex!D62,Vertex!D127,Vertex!D192,Normal!D62,Normal!D127,Normal!D192)*255)</f>
        <v>35</v>
      </c>
      <c r="E62">
        <f>INT(shadex('Shade - 1'!$D$9,'Shade - 1'!$E$9,'Shade - 1'!$F$9,'Shade - 1'!$D$7,Vertex!E62,Vertex!E127,Vertex!E192,Normal!E62,Normal!E127,Normal!E192)*255)</f>
        <v>65</v>
      </c>
      <c r="F62">
        <f>INT(shadex('Shade - 1'!$D$9,'Shade - 1'!$E$9,'Shade - 1'!$F$9,'Shade - 1'!$D$7,Vertex!F62,Vertex!F127,Vertex!F192,Normal!F62,Normal!F127,Normal!F192)*255)</f>
        <v>65</v>
      </c>
      <c r="G62">
        <f>INT(shadex('Shade - 1'!$D$9,'Shade - 1'!$E$9,'Shade - 1'!$F$9,'Shade - 1'!$D$7,Vertex!G62,Vertex!G127,Vertex!G192,Normal!G62,Normal!G127,Normal!G192)*255)</f>
        <v>56</v>
      </c>
      <c r="H62">
        <f>INT(shadex('Shade - 1'!$D$9,'Shade - 1'!$E$9,'Shade - 1'!$F$9,'Shade - 1'!$D$7,Vertex!H62,Vertex!H127,Vertex!H192,Normal!H62,Normal!H127,Normal!H192)*255)</f>
        <v>68</v>
      </c>
      <c r="I62">
        <f>INT(shadex('Shade - 1'!$D$9,'Shade - 1'!$E$9,'Shade - 1'!$F$9,'Shade - 1'!$D$7,Vertex!I62,Vertex!I127,Vertex!I192,Normal!I62,Normal!I127,Normal!I192)*255)</f>
        <v>66</v>
      </c>
      <c r="J62">
        <f>INT(shadex('Shade - 1'!$D$9,'Shade - 1'!$E$9,'Shade - 1'!$F$9,'Shade - 1'!$D$7,Vertex!J62,Vertex!J127,Vertex!J192,Normal!J62,Normal!J127,Normal!J192)*255)</f>
        <v>63</v>
      </c>
      <c r="K62">
        <f>INT(shadex('Shade - 1'!$D$9,'Shade - 1'!$E$9,'Shade - 1'!$F$9,'Shade - 1'!$D$7,Vertex!K62,Vertex!K127,Vertex!K192,Normal!K62,Normal!K127,Normal!K192)*255)</f>
        <v>76</v>
      </c>
      <c r="L62">
        <f>INT(shadex('Shade - 1'!$D$9,'Shade - 1'!$E$9,'Shade - 1'!$F$9,'Shade - 1'!$D$7,Vertex!L62,Vertex!L127,Vertex!L192,Normal!L62,Normal!L127,Normal!L192)*255)</f>
        <v>86</v>
      </c>
      <c r="M62">
        <f>INT(shadex('Shade - 1'!$D$9,'Shade - 1'!$E$9,'Shade - 1'!$F$9,'Shade - 1'!$D$7,Vertex!M62,Vertex!M127,Vertex!M192,Normal!M62,Normal!M127,Normal!M192)*255)</f>
        <v>93</v>
      </c>
      <c r="N62">
        <f>INT(shadex('Shade - 1'!$D$9,'Shade - 1'!$E$9,'Shade - 1'!$F$9,'Shade - 1'!$D$7,Vertex!N62,Vertex!N127,Vertex!N192,Normal!N62,Normal!N127,Normal!N192)*255)</f>
        <v>89</v>
      </c>
      <c r="O62">
        <f>INT(shadex('Shade - 1'!$D$9,'Shade - 1'!$E$9,'Shade - 1'!$F$9,'Shade - 1'!$D$7,Vertex!O62,Vertex!O127,Vertex!O192,Normal!O62,Normal!O127,Normal!O192)*255)</f>
        <v>93</v>
      </c>
      <c r="P62">
        <f>INT(shadex('Shade - 1'!$D$9,'Shade - 1'!$E$9,'Shade - 1'!$F$9,'Shade - 1'!$D$7,Vertex!P62,Vertex!P127,Vertex!P192,Normal!P62,Normal!P127,Normal!P192)*255)</f>
        <v>94</v>
      </c>
      <c r="Q62">
        <f>INT(shadex('Shade - 1'!$D$9,'Shade - 1'!$E$9,'Shade - 1'!$F$9,'Shade - 1'!$D$7,Vertex!Q62,Vertex!Q127,Vertex!Q192,Normal!Q62,Normal!Q127,Normal!Q192)*255)</f>
        <v>91</v>
      </c>
      <c r="R62">
        <f>INT(shadex('Shade - 1'!$D$9,'Shade - 1'!$E$9,'Shade - 1'!$F$9,'Shade - 1'!$D$7,Vertex!R62,Vertex!R127,Vertex!R192,Normal!R62,Normal!R127,Normal!R192)*255)</f>
        <v>87</v>
      </c>
      <c r="S62">
        <f>INT(shadex('Shade - 1'!$D$9,'Shade - 1'!$E$9,'Shade - 1'!$F$9,'Shade - 1'!$D$7,Vertex!S62,Vertex!S127,Vertex!S192,Normal!S62,Normal!S127,Normal!S192)*255)</f>
        <v>96</v>
      </c>
      <c r="T62">
        <f>INT(shadex('Shade - 1'!$D$9,'Shade - 1'!$E$9,'Shade - 1'!$F$9,'Shade - 1'!$D$7,Vertex!T62,Vertex!T127,Vertex!T192,Normal!T62,Normal!T127,Normal!T192)*255)</f>
        <v>100</v>
      </c>
      <c r="U62">
        <f>INT(shadex('Shade - 1'!$D$9,'Shade - 1'!$E$9,'Shade - 1'!$F$9,'Shade - 1'!$D$7,Vertex!U62,Vertex!U127,Vertex!U192,Normal!U62,Normal!U127,Normal!U192)*255)</f>
        <v>94</v>
      </c>
      <c r="V62">
        <f>INT(shadex('Shade - 1'!$D$9,'Shade - 1'!$E$9,'Shade - 1'!$F$9,'Shade - 1'!$D$7,Vertex!V62,Vertex!V127,Vertex!V192,Normal!V62,Normal!V127,Normal!V192)*255)</f>
        <v>87</v>
      </c>
      <c r="W62">
        <f>INT(shadex('Shade - 1'!$D$9,'Shade - 1'!$E$9,'Shade - 1'!$F$9,'Shade - 1'!$D$7,Vertex!W62,Vertex!W127,Vertex!W192,Normal!W62,Normal!W127,Normal!W192)*255)</f>
        <v>84</v>
      </c>
      <c r="X62">
        <f>INT(shadex('Shade - 1'!$D$9,'Shade - 1'!$E$9,'Shade - 1'!$F$9,'Shade - 1'!$D$7,Vertex!X62,Vertex!X127,Vertex!X192,Normal!X62,Normal!X127,Normal!X192)*255)</f>
        <v>81</v>
      </c>
      <c r="Y62">
        <f>INT(shadex('Shade - 1'!$D$9,'Shade - 1'!$E$9,'Shade - 1'!$F$9,'Shade - 1'!$D$7,Vertex!Y62,Vertex!Y127,Vertex!Y192,Normal!Y62,Normal!Y127,Normal!Y192)*255)</f>
        <v>56</v>
      </c>
      <c r="Z62">
        <f>INT(shadex('Shade - 1'!$D$9,'Shade - 1'!$E$9,'Shade - 1'!$F$9,'Shade - 1'!$D$7,Vertex!Z62,Vertex!Z127,Vertex!Z192,Normal!Z62,Normal!Z127,Normal!Z192)*255)</f>
        <v>31</v>
      </c>
      <c r="AA62">
        <f>INT(shadex('Shade - 1'!$D$9,'Shade - 1'!$E$9,'Shade - 1'!$F$9,'Shade - 1'!$D$7,Vertex!AA62,Vertex!AA127,Vertex!AA192,Normal!AA62,Normal!AA127,Normal!AA192)*255)</f>
        <v>39</v>
      </c>
      <c r="AB62">
        <f>INT(shadex('Shade - 1'!$D$9,'Shade - 1'!$E$9,'Shade - 1'!$F$9,'Shade - 1'!$D$7,Vertex!AB62,Vertex!AB127,Vertex!AB192,Normal!AB62,Normal!AB127,Normal!AB192)*255)</f>
        <v>57</v>
      </c>
      <c r="AC62">
        <f>INT(shadex('Shade - 1'!$D$9,'Shade - 1'!$E$9,'Shade - 1'!$F$9,'Shade - 1'!$D$7,Vertex!AC62,Vertex!AC127,Vertex!AC192,Normal!AC62,Normal!AC127,Normal!AC192)*255)</f>
        <v>55</v>
      </c>
      <c r="AD62">
        <f>INT(shadex('Shade - 1'!$D$9,'Shade - 1'!$E$9,'Shade - 1'!$F$9,'Shade - 1'!$D$7,Vertex!AD62,Vertex!AD127,Vertex!AD192,Normal!AD62,Normal!AD127,Normal!AD192)*255)</f>
        <v>55</v>
      </c>
      <c r="AE62">
        <f>INT(shadex('Shade - 1'!$D$9,'Shade - 1'!$E$9,'Shade - 1'!$F$9,'Shade - 1'!$D$7,Vertex!AE62,Vertex!AE127,Vertex!AE192,Normal!AE62,Normal!AE127,Normal!AE192)*255)</f>
        <v>62</v>
      </c>
      <c r="AF62">
        <f>INT(shadex('Shade - 1'!$D$9,'Shade - 1'!$E$9,'Shade - 1'!$F$9,'Shade - 1'!$D$7,Vertex!AF62,Vertex!AF127,Vertex!AF192,Normal!AF62,Normal!AF127,Normal!AF192)*255)</f>
        <v>60</v>
      </c>
      <c r="AG62">
        <f>INT(shadex('Shade - 1'!$D$9,'Shade - 1'!$E$9,'Shade - 1'!$F$9,'Shade - 1'!$D$7,Vertex!AG62,Vertex!AG127,Vertex!AG192,Normal!AG62,Normal!AG127,Normal!AG192)*255)</f>
        <v>64</v>
      </c>
      <c r="AH62">
        <f>INT(shadex('Shade - 1'!$D$9,'Shade - 1'!$E$9,'Shade - 1'!$F$9,'Shade - 1'!$D$7,Vertex!AH62,Vertex!AH127,Vertex!AH192,Normal!AH62,Normal!AH127,Normal!AH192)*255)</f>
        <v>49</v>
      </c>
      <c r="AI62" s="4">
        <f>INT(shadex('Shade - 1'!$D$9,'Shade - 1'!$E$9,'Shade - 1'!$F$9,'Shade - 1'!$D$7,Vertex!AI62,Vertex!AI127,Vertex!AI192,Normal!AI62,Normal!AI127,Normal!AI192)*255)</f>
        <v>41</v>
      </c>
      <c r="AJ62" s="4">
        <f>INT(shadex('Shade - 1'!$D$9,'Shade - 1'!$E$9,'Shade - 1'!$F$9,'Shade - 1'!$D$7,Vertex!AJ62,Vertex!AJ127,Vertex!AJ192,Normal!AJ62,Normal!AJ127,Normal!AJ192)*255)</f>
        <v>42</v>
      </c>
      <c r="AK62" s="4">
        <f>INT(shadex('Shade - 1'!$D$9,'Shade - 1'!$E$9,'Shade - 1'!$F$9,'Shade - 1'!$D$7,Vertex!AK62,Vertex!AK127,Vertex!AK192,Normal!AK62,Normal!AK127,Normal!AK192)*255)</f>
        <v>56</v>
      </c>
      <c r="AL62" s="4">
        <f>INT(shadex('Shade - 1'!$D$9,'Shade - 1'!$E$9,'Shade - 1'!$F$9,'Shade - 1'!$D$7,Vertex!AL62,Vertex!AL127,Vertex!AL192,Normal!AL62,Normal!AL127,Normal!AL192)*255)</f>
        <v>63</v>
      </c>
      <c r="AM62" s="4">
        <f>INT(shadex('Shade - 1'!$D$9,'Shade - 1'!$E$9,'Shade - 1'!$F$9,'Shade - 1'!$D$7,Vertex!AM62,Vertex!AM127,Vertex!AM192,Normal!AM62,Normal!AM127,Normal!AM192)*255)</f>
        <v>65</v>
      </c>
      <c r="AN62" s="4">
        <f>INT(shadex('Shade - 1'!$D$9,'Shade - 1'!$E$9,'Shade - 1'!$F$9,'Shade - 1'!$D$7,Vertex!AN62,Vertex!AN127,Vertex!AN192,Normal!AN62,Normal!AN127,Normal!AN192)*255)</f>
        <v>91</v>
      </c>
      <c r="AO62" s="4">
        <f>INT(shadex('Shade - 1'!$D$9,'Shade - 1'!$E$9,'Shade - 1'!$F$9,'Shade - 1'!$D$7,Vertex!AO62,Vertex!AO127,Vertex!AO192,Normal!AO62,Normal!AO127,Normal!AO192)*255)</f>
        <v>98</v>
      </c>
      <c r="AP62" s="4">
        <f>INT(shadex('Shade - 1'!$D$9,'Shade - 1'!$E$9,'Shade - 1'!$F$9,'Shade - 1'!$D$7,Vertex!AP62,Vertex!AP127,Vertex!AP192,Normal!AP62,Normal!AP127,Normal!AP192)*255)</f>
        <v>93</v>
      </c>
      <c r="AQ62" s="4">
        <f>INT(shadex('Shade - 1'!$D$9,'Shade - 1'!$E$9,'Shade - 1'!$F$9,'Shade - 1'!$D$7,Vertex!AQ62,Vertex!AQ127,Vertex!AQ192,Normal!AQ62,Normal!AQ127,Normal!AQ192)*255)</f>
        <v>79</v>
      </c>
      <c r="AR62" s="4">
        <f>INT(shadex('Shade - 1'!$D$9,'Shade - 1'!$E$9,'Shade - 1'!$F$9,'Shade - 1'!$D$7,Vertex!AR62,Vertex!AR127,Vertex!AR192,Normal!AR62,Normal!AR127,Normal!AR192)*255)</f>
        <v>71</v>
      </c>
      <c r="AS62" s="4">
        <f>INT(shadex('Shade - 1'!$D$9,'Shade - 1'!$E$9,'Shade - 1'!$F$9,'Shade - 1'!$D$7,Vertex!AS62,Vertex!AS127,Vertex!AS192,Normal!AS62,Normal!AS127,Normal!AS192)*255)</f>
        <v>71</v>
      </c>
      <c r="AT62" s="4">
        <f>INT(shadex('Shade - 1'!$D$9,'Shade - 1'!$E$9,'Shade - 1'!$F$9,'Shade - 1'!$D$7,Vertex!AT62,Vertex!AT127,Vertex!AT192,Normal!AT62,Normal!AT127,Normal!AT192)*255)</f>
        <v>71</v>
      </c>
      <c r="AU62" s="4">
        <f>INT(shadex('Shade - 1'!$D$9,'Shade - 1'!$E$9,'Shade - 1'!$F$9,'Shade - 1'!$D$7,Vertex!AU62,Vertex!AU127,Vertex!AU192,Normal!AU62,Normal!AU127,Normal!AU192)*255)</f>
        <v>83</v>
      </c>
      <c r="AV62" s="4">
        <f>INT(shadex('Shade - 1'!$D$9,'Shade - 1'!$E$9,'Shade - 1'!$F$9,'Shade - 1'!$D$7,Vertex!AV62,Vertex!AV127,Vertex!AV192,Normal!AV62,Normal!AV127,Normal!AV192)*255)</f>
        <v>88</v>
      </c>
      <c r="AW62" s="4">
        <f>INT(shadex('Shade - 1'!$D$9,'Shade - 1'!$E$9,'Shade - 1'!$F$9,'Shade - 1'!$D$7,Vertex!AW62,Vertex!AW127,Vertex!AW192,Normal!AW62,Normal!AW127,Normal!AW192)*255)</f>
        <v>81</v>
      </c>
      <c r="AX62" s="4">
        <f>INT(shadex('Shade - 1'!$D$9,'Shade - 1'!$E$9,'Shade - 1'!$F$9,'Shade - 1'!$D$7,Vertex!AX62,Vertex!AX127,Vertex!AX192,Normal!AX62,Normal!AX127,Normal!AX192)*255)</f>
        <v>83</v>
      </c>
      <c r="AY62" s="4">
        <f>INT(shadex('Shade - 1'!$D$9,'Shade - 1'!$E$9,'Shade - 1'!$F$9,'Shade - 1'!$D$7,Vertex!AY62,Vertex!AY127,Vertex!AY192,Normal!AY62,Normal!AY127,Normal!AY192)*255)</f>
        <v>90</v>
      </c>
      <c r="AZ62" s="4">
        <f>INT(shadex('Shade - 1'!$D$9,'Shade - 1'!$E$9,'Shade - 1'!$F$9,'Shade - 1'!$D$7,Vertex!AZ62,Vertex!AZ127,Vertex!AZ192,Normal!AZ62,Normal!AZ127,Normal!AZ192)*255)</f>
        <v>88</v>
      </c>
      <c r="BA62" s="4">
        <f>INT(shadex('Shade - 1'!$D$9,'Shade - 1'!$E$9,'Shade - 1'!$F$9,'Shade - 1'!$D$7,Vertex!BA62,Vertex!BA127,Vertex!BA192,Normal!BA62,Normal!BA127,Normal!BA192)*255)</f>
        <v>84</v>
      </c>
      <c r="BB62" s="4">
        <f>INT(shadex('Shade - 1'!$D$9,'Shade - 1'!$E$9,'Shade - 1'!$F$9,'Shade - 1'!$D$7,Vertex!BB62,Vertex!BB127,Vertex!BB192,Normal!BB62,Normal!BB127,Normal!BB192)*255)</f>
        <v>77</v>
      </c>
      <c r="BC62" s="4">
        <f>INT(shadex('Shade - 1'!$D$9,'Shade - 1'!$E$9,'Shade - 1'!$F$9,'Shade - 1'!$D$7,Vertex!BC62,Vertex!BC127,Vertex!BC192,Normal!BC62,Normal!BC127,Normal!BC192)*255)</f>
        <v>56</v>
      </c>
      <c r="BD62" s="4">
        <f>INT(shadex('Shade - 1'!$D$9,'Shade - 1'!$E$9,'Shade - 1'!$F$9,'Shade - 1'!$D$7,Vertex!BD62,Vertex!BD127,Vertex!BD192,Normal!BD62,Normal!BD127,Normal!BD192)*255)</f>
        <v>47</v>
      </c>
      <c r="BE62" s="4">
        <f>INT(shadex('Shade - 1'!$D$9,'Shade - 1'!$E$9,'Shade - 1'!$F$9,'Shade - 1'!$D$7,Vertex!BE62,Vertex!BE127,Vertex!BE192,Normal!BE62,Normal!BE127,Normal!BE192)*255)</f>
        <v>61</v>
      </c>
      <c r="BF62" s="4">
        <f>INT(shadex('Shade - 1'!$D$9,'Shade - 1'!$E$9,'Shade - 1'!$F$9,'Shade - 1'!$D$7,Vertex!BF62,Vertex!BF127,Vertex!BF192,Normal!BF62,Normal!BF127,Normal!BF192)*255)</f>
        <v>70</v>
      </c>
      <c r="BG62" s="4">
        <f>INT(shadex('Shade - 1'!$D$9,'Shade - 1'!$E$9,'Shade - 1'!$F$9,'Shade - 1'!$D$7,Vertex!BG62,Vertex!BG127,Vertex!BG192,Normal!BG62,Normal!BG127,Normal!BG192)*255)</f>
        <v>63</v>
      </c>
      <c r="BH62" s="4">
        <f>INT(shadex('Shade - 1'!$D$9,'Shade - 1'!$E$9,'Shade - 1'!$F$9,'Shade - 1'!$D$7,Vertex!BH62,Vertex!BH127,Vertex!BH192,Normal!BH62,Normal!BH127,Normal!BH192)*255)</f>
        <v>58</v>
      </c>
      <c r="BI62" s="4">
        <f>INT(shadex('Shade - 1'!$D$9,'Shade - 1'!$E$9,'Shade - 1'!$F$9,'Shade - 1'!$D$7,Vertex!BI62,Vertex!BI127,Vertex!BI192,Normal!BI62,Normal!BI127,Normal!BI192)*255)</f>
        <v>69</v>
      </c>
      <c r="BJ62" s="4">
        <f>INT(shadex('Shade - 1'!$D$9,'Shade - 1'!$E$9,'Shade - 1'!$F$9,'Shade - 1'!$D$7,Vertex!BJ62,Vertex!BJ127,Vertex!BJ192,Normal!BJ62,Normal!BJ127,Normal!BJ192)*255)</f>
        <v>82</v>
      </c>
      <c r="BK62" s="4">
        <f>INT(shadex('Shade - 1'!$D$9,'Shade - 1'!$E$9,'Shade - 1'!$F$9,'Shade - 1'!$D$7,Vertex!BK62,Vertex!BK127,Vertex!BK192,Normal!BK62,Normal!BK127,Normal!BK192)*255)</f>
        <v>89</v>
      </c>
      <c r="BL62" s="4">
        <f>INT(shadex('Shade - 1'!$D$9,'Shade - 1'!$E$9,'Shade - 1'!$F$9,'Shade - 1'!$D$7,Vertex!BL62,Vertex!BL127,Vertex!BL192,Normal!BL62,Normal!BL127,Normal!BL192)*255)</f>
        <v>91</v>
      </c>
    </row>
    <row r="63" spans="1:64" x14ac:dyDescent="0.25">
      <c r="A63">
        <f>INT(shadex('Shade - 1'!$D$9,'Shade - 1'!$E$9,'Shade - 1'!$F$9,'Shade - 1'!$D$7,Vertex!A63,Vertex!A128,Vertex!A193,Normal!A63,Normal!A128,Normal!A193)*255)</f>
        <v>98</v>
      </c>
      <c r="B63">
        <f>INT(shadex('Shade - 1'!$D$9,'Shade - 1'!$E$9,'Shade - 1'!$F$9,'Shade - 1'!$D$7,Vertex!B63,Vertex!B128,Vertex!B193,Normal!B63,Normal!B128,Normal!B193)*255)</f>
        <v>80</v>
      </c>
      <c r="C63">
        <f>INT(shadex('Shade - 1'!$D$9,'Shade - 1'!$E$9,'Shade - 1'!$F$9,'Shade - 1'!$D$7,Vertex!C63,Vertex!C128,Vertex!C193,Normal!C63,Normal!C128,Normal!C193)*255)</f>
        <v>26</v>
      </c>
      <c r="D63">
        <f>INT(shadex('Shade - 1'!$D$9,'Shade - 1'!$E$9,'Shade - 1'!$F$9,'Shade - 1'!$D$7,Vertex!D63,Vertex!D128,Vertex!D193,Normal!D63,Normal!D128,Normal!D193)*255)</f>
        <v>0</v>
      </c>
      <c r="E63">
        <f>INT(shadex('Shade - 1'!$D$9,'Shade - 1'!$E$9,'Shade - 1'!$F$9,'Shade - 1'!$D$7,Vertex!E63,Vertex!E128,Vertex!E193,Normal!E63,Normal!E128,Normal!E193)*255)</f>
        <v>59</v>
      </c>
      <c r="F63">
        <f>INT(shadex('Shade - 1'!$D$9,'Shade - 1'!$E$9,'Shade - 1'!$F$9,'Shade - 1'!$D$7,Vertex!F63,Vertex!F128,Vertex!F193,Normal!F63,Normal!F128,Normal!F193)*255)</f>
        <v>67</v>
      </c>
      <c r="G63">
        <f>INT(shadex('Shade - 1'!$D$9,'Shade - 1'!$E$9,'Shade - 1'!$F$9,'Shade - 1'!$D$7,Vertex!G63,Vertex!G128,Vertex!G193,Normal!G63,Normal!G128,Normal!G193)*255)</f>
        <v>50</v>
      </c>
      <c r="H63">
        <f>INT(shadex('Shade - 1'!$D$9,'Shade - 1'!$E$9,'Shade - 1'!$F$9,'Shade - 1'!$D$7,Vertex!H63,Vertex!H128,Vertex!H193,Normal!H63,Normal!H128,Normal!H193)*255)</f>
        <v>62</v>
      </c>
      <c r="I63">
        <f>INT(shadex('Shade - 1'!$D$9,'Shade - 1'!$E$9,'Shade - 1'!$F$9,'Shade - 1'!$D$7,Vertex!I63,Vertex!I128,Vertex!I193,Normal!I63,Normal!I128,Normal!I193)*255)</f>
        <v>74</v>
      </c>
      <c r="J63">
        <f>INT(shadex('Shade - 1'!$D$9,'Shade - 1'!$E$9,'Shade - 1'!$F$9,'Shade - 1'!$D$7,Vertex!J63,Vertex!J128,Vertex!J193,Normal!J63,Normal!J128,Normal!J193)*255)</f>
        <v>72</v>
      </c>
      <c r="K63">
        <f>INT(shadex('Shade - 1'!$D$9,'Shade - 1'!$E$9,'Shade - 1'!$F$9,'Shade - 1'!$D$7,Vertex!K63,Vertex!K128,Vertex!K193,Normal!K63,Normal!K128,Normal!K193)*255)</f>
        <v>86</v>
      </c>
      <c r="L63">
        <f>INT(shadex('Shade - 1'!$D$9,'Shade - 1'!$E$9,'Shade - 1'!$F$9,'Shade - 1'!$D$7,Vertex!L63,Vertex!L128,Vertex!L193,Normal!L63,Normal!L128,Normal!L193)*255)</f>
        <v>94</v>
      </c>
      <c r="M63">
        <f>INT(shadex('Shade - 1'!$D$9,'Shade - 1'!$E$9,'Shade - 1'!$F$9,'Shade - 1'!$D$7,Vertex!M63,Vertex!M128,Vertex!M193,Normal!M63,Normal!M128,Normal!M193)*255)</f>
        <v>87</v>
      </c>
      <c r="N63">
        <f>INT(shadex('Shade - 1'!$D$9,'Shade - 1'!$E$9,'Shade - 1'!$F$9,'Shade - 1'!$D$7,Vertex!N63,Vertex!N128,Vertex!N193,Normal!N63,Normal!N128,Normal!N193)*255)</f>
        <v>87</v>
      </c>
      <c r="O63">
        <f>INT(shadex('Shade - 1'!$D$9,'Shade - 1'!$E$9,'Shade - 1'!$F$9,'Shade - 1'!$D$7,Vertex!O63,Vertex!O128,Vertex!O193,Normal!O63,Normal!O128,Normal!O193)*255)</f>
        <v>87</v>
      </c>
      <c r="P63">
        <f>INT(shadex('Shade - 1'!$D$9,'Shade - 1'!$E$9,'Shade - 1'!$F$9,'Shade - 1'!$D$7,Vertex!P63,Vertex!P128,Vertex!P193,Normal!P63,Normal!P128,Normal!P193)*255)</f>
        <v>88</v>
      </c>
      <c r="Q63">
        <f>INT(shadex('Shade - 1'!$D$9,'Shade - 1'!$E$9,'Shade - 1'!$F$9,'Shade - 1'!$D$7,Vertex!Q63,Vertex!Q128,Vertex!Q193,Normal!Q63,Normal!Q128,Normal!Q193)*255)</f>
        <v>93</v>
      </c>
      <c r="R63">
        <f>INT(shadex('Shade - 1'!$D$9,'Shade - 1'!$E$9,'Shade - 1'!$F$9,'Shade - 1'!$D$7,Vertex!R63,Vertex!R128,Vertex!R193,Normal!R63,Normal!R128,Normal!R193)*255)</f>
        <v>89</v>
      </c>
      <c r="S63">
        <f>INT(shadex('Shade - 1'!$D$9,'Shade - 1'!$E$9,'Shade - 1'!$F$9,'Shade - 1'!$D$7,Vertex!S63,Vertex!S128,Vertex!S193,Normal!S63,Normal!S128,Normal!S193)*255)</f>
        <v>96</v>
      </c>
      <c r="T63">
        <f>INT(shadex('Shade - 1'!$D$9,'Shade - 1'!$E$9,'Shade - 1'!$F$9,'Shade - 1'!$D$7,Vertex!T63,Vertex!T128,Vertex!T193,Normal!T63,Normal!T128,Normal!T193)*255)</f>
        <v>100</v>
      </c>
      <c r="U63">
        <f>INT(shadex('Shade - 1'!$D$9,'Shade - 1'!$E$9,'Shade - 1'!$F$9,'Shade - 1'!$D$7,Vertex!U63,Vertex!U128,Vertex!U193,Normal!U63,Normal!U128,Normal!U193)*255)</f>
        <v>99</v>
      </c>
      <c r="V63">
        <f>INT(shadex('Shade - 1'!$D$9,'Shade - 1'!$E$9,'Shade - 1'!$F$9,'Shade - 1'!$D$7,Vertex!V63,Vertex!V128,Vertex!V193,Normal!V63,Normal!V128,Normal!V193)*255)</f>
        <v>93</v>
      </c>
      <c r="W63">
        <f>INT(shadex('Shade - 1'!$D$9,'Shade - 1'!$E$9,'Shade - 1'!$F$9,'Shade - 1'!$D$7,Vertex!W63,Vertex!W128,Vertex!W193,Normal!W63,Normal!W128,Normal!W193)*255)</f>
        <v>83</v>
      </c>
      <c r="X63">
        <f>INT(shadex('Shade - 1'!$D$9,'Shade - 1'!$E$9,'Shade - 1'!$F$9,'Shade - 1'!$D$7,Vertex!X63,Vertex!X128,Vertex!X193,Normal!X63,Normal!X128,Normal!X193)*255)</f>
        <v>80</v>
      </c>
      <c r="Y63">
        <f>INT(shadex('Shade - 1'!$D$9,'Shade - 1'!$E$9,'Shade - 1'!$F$9,'Shade - 1'!$D$7,Vertex!Y63,Vertex!Y128,Vertex!Y193,Normal!Y63,Normal!Y128,Normal!Y193)*255)</f>
        <v>69</v>
      </c>
      <c r="Z63">
        <f>INT(shadex('Shade - 1'!$D$9,'Shade - 1'!$E$9,'Shade - 1'!$F$9,'Shade - 1'!$D$7,Vertex!Z63,Vertex!Z128,Vertex!Z193,Normal!Z63,Normal!Z128,Normal!Z193)*255)</f>
        <v>45</v>
      </c>
      <c r="AA63">
        <f>INT(shadex('Shade - 1'!$D$9,'Shade - 1'!$E$9,'Shade - 1'!$F$9,'Shade - 1'!$D$7,Vertex!AA63,Vertex!AA128,Vertex!AA193,Normal!AA63,Normal!AA128,Normal!AA193)*255)</f>
        <v>64</v>
      </c>
      <c r="AB63">
        <f>INT(shadex('Shade - 1'!$D$9,'Shade - 1'!$E$9,'Shade - 1'!$F$9,'Shade - 1'!$D$7,Vertex!AB63,Vertex!AB128,Vertex!AB193,Normal!AB63,Normal!AB128,Normal!AB193)*255)</f>
        <v>82</v>
      </c>
      <c r="AC63">
        <f>INT(shadex('Shade - 1'!$D$9,'Shade - 1'!$E$9,'Shade - 1'!$F$9,'Shade - 1'!$D$7,Vertex!AC63,Vertex!AC128,Vertex!AC193,Normal!AC63,Normal!AC128,Normal!AC193)*255)</f>
        <v>72</v>
      </c>
      <c r="AD63">
        <f>INT(shadex('Shade - 1'!$D$9,'Shade - 1'!$E$9,'Shade - 1'!$F$9,'Shade - 1'!$D$7,Vertex!AD63,Vertex!AD128,Vertex!AD193,Normal!AD63,Normal!AD128,Normal!AD193)*255)</f>
        <v>55</v>
      </c>
      <c r="AE63">
        <f>INT(shadex('Shade - 1'!$D$9,'Shade - 1'!$E$9,'Shade - 1'!$F$9,'Shade - 1'!$D$7,Vertex!AE63,Vertex!AE128,Vertex!AE193,Normal!AE63,Normal!AE128,Normal!AE193)*255)</f>
        <v>56</v>
      </c>
      <c r="AF63">
        <f>INT(shadex('Shade - 1'!$D$9,'Shade - 1'!$E$9,'Shade - 1'!$F$9,'Shade - 1'!$D$7,Vertex!AF63,Vertex!AF128,Vertex!AF193,Normal!AF63,Normal!AF128,Normal!AF193)*255)</f>
        <v>60</v>
      </c>
      <c r="AG63">
        <f>INT(shadex('Shade - 1'!$D$9,'Shade - 1'!$E$9,'Shade - 1'!$F$9,'Shade - 1'!$D$7,Vertex!AG63,Vertex!AG128,Vertex!AG193,Normal!AG63,Normal!AG128,Normal!AG193)*255)</f>
        <v>62</v>
      </c>
      <c r="AH63">
        <f>INT(shadex('Shade - 1'!$D$9,'Shade - 1'!$E$9,'Shade - 1'!$F$9,'Shade - 1'!$D$7,Vertex!AH63,Vertex!AH128,Vertex!AH193,Normal!AH63,Normal!AH128,Normal!AH193)*255)</f>
        <v>58</v>
      </c>
      <c r="AI63" s="4">
        <f>INT(shadex('Shade - 1'!$D$9,'Shade - 1'!$E$9,'Shade - 1'!$F$9,'Shade - 1'!$D$7,Vertex!AI63,Vertex!AI128,Vertex!AI193,Normal!AI63,Normal!AI128,Normal!AI193)*255)</f>
        <v>61</v>
      </c>
      <c r="AJ63" s="4">
        <f>INT(shadex('Shade - 1'!$D$9,'Shade - 1'!$E$9,'Shade - 1'!$F$9,'Shade - 1'!$D$7,Vertex!AJ63,Vertex!AJ128,Vertex!AJ193,Normal!AJ63,Normal!AJ128,Normal!AJ193)*255)</f>
        <v>59</v>
      </c>
      <c r="AK63" s="4">
        <f>INT(shadex('Shade - 1'!$D$9,'Shade - 1'!$E$9,'Shade - 1'!$F$9,'Shade - 1'!$D$7,Vertex!AK63,Vertex!AK128,Vertex!AK193,Normal!AK63,Normal!AK128,Normal!AK193)*255)</f>
        <v>64</v>
      </c>
      <c r="AL63" s="4">
        <f>INT(shadex('Shade - 1'!$D$9,'Shade - 1'!$E$9,'Shade - 1'!$F$9,'Shade - 1'!$D$7,Vertex!AL63,Vertex!AL128,Vertex!AL193,Normal!AL63,Normal!AL128,Normal!AL193)*255)</f>
        <v>77</v>
      </c>
      <c r="AM63" s="4">
        <f>INT(shadex('Shade - 1'!$D$9,'Shade - 1'!$E$9,'Shade - 1'!$F$9,'Shade - 1'!$D$7,Vertex!AM63,Vertex!AM128,Vertex!AM193,Normal!AM63,Normal!AM128,Normal!AM193)*255)</f>
        <v>73</v>
      </c>
      <c r="AN63" s="4">
        <f>INT(shadex('Shade - 1'!$D$9,'Shade - 1'!$E$9,'Shade - 1'!$F$9,'Shade - 1'!$D$7,Vertex!AN63,Vertex!AN128,Vertex!AN193,Normal!AN63,Normal!AN128,Normal!AN193)*255)</f>
        <v>75</v>
      </c>
      <c r="AO63" s="4">
        <f>INT(shadex('Shade - 1'!$D$9,'Shade - 1'!$E$9,'Shade - 1'!$F$9,'Shade - 1'!$D$7,Vertex!AO63,Vertex!AO128,Vertex!AO193,Normal!AO63,Normal!AO128,Normal!AO193)*255)</f>
        <v>89</v>
      </c>
      <c r="AP63" s="4">
        <f>INT(shadex('Shade - 1'!$D$9,'Shade - 1'!$E$9,'Shade - 1'!$F$9,'Shade - 1'!$D$7,Vertex!AP63,Vertex!AP128,Vertex!AP193,Normal!AP63,Normal!AP128,Normal!AP193)*255)</f>
        <v>95</v>
      </c>
      <c r="AQ63" s="4">
        <f>INT(shadex('Shade - 1'!$D$9,'Shade - 1'!$E$9,'Shade - 1'!$F$9,'Shade - 1'!$D$7,Vertex!AQ63,Vertex!AQ128,Vertex!AQ193,Normal!AQ63,Normal!AQ128,Normal!AQ193)*255)</f>
        <v>88</v>
      </c>
      <c r="AR63" s="4">
        <f>INT(shadex('Shade - 1'!$D$9,'Shade - 1'!$E$9,'Shade - 1'!$F$9,'Shade - 1'!$D$7,Vertex!AR63,Vertex!AR128,Vertex!AR193,Normal!AR63,Normal!AR128,Normal!AR193)*255)</f>
        <v>80</v>
      </c>
      <c r="AS63" s="4">
        <f>INT(shadex('Shade - 1'!$D$9,'Shade - 1'!$E$9,'Shade - 1'!$F$9,'Shade - 1'!$D$7,Vertex!AS63,Vertex!AS128,Vertex!AS193,Normal!AS63,Normal!AS128,Normal!AS193)*255)</f>
        <v>90</v>
      </c>
      <c r="AT63" s="4">
        <f>INT(shadex('Shade - 1'!$D$9,'Shade - 1'!$E$9,'Shade - 1'!$F$9,'Shade - 1'!$D$7,Vertex!AT63,Vertex!AT128,Vertex!AT193,Normal!AT63,Normal!AT128,Normal!AT193)*255)</f>
        <v>71</v>
      </c>
      <c r="AU63" s="4">
        <f>INT(shadex('Shade - 1'!$D$9,'Shade - 1'!$E$9,'Shade - 1'!$F$9,'Shade - 1'!$D$7,Vertex!AU63,Vertex!AU128,Vertex!AU193,Normal!AU63,Normal!AU128,Normal!AU193)*255)</f>
        <v>81</v>
      </c>
      <c r="AV63" s="4">
        <f>INT(shadex('Shade - 1'!$D$9,'Shade - 1'!$E$9,'Shade - 1'!$F$9,'Shade - 1'!$D$7,Vertex!AV63,Vertex!AV128,Vertex!AV193,Normal!AV63,Normal!AV128,Normal!AV193)*255)</f>
        <v>92</v>
      </c>
      <c r="AW63" s="4">
        <f>INT(shadex('Shade - 1'!$D$9,'Shade - 1'!$E$9,'Shade - 1'!$F$9,'Shade - 1'!$D$7,Vertex!AW63,Vertex!AW128,Vertex!AW193,Normal!AW63,Normal!AW128,Normal!AW193)*255)</f>
        <v>91</v>
      </c>
      <c r="AX63" s="4">
        <f>INT(shadex('Shade - 1'!$D$9,'Shade - 1'!$E$9,'Shade - 1'!$F$9,'Shade - 1'!$D$7,Vertex!AX63,Vertex!AX128,Vertex!AX193,Normal!AX63,Normal!AX128,Normal!AX193)*255)</f>
        <v>94</v>
      </c>
      <c r="AY63" s="4">
        <f>INT(shadex('Shade - 1'!$D$9,'Shade - 1'!$E$9,'Shade - 1'!$F$9,'Shade - 1'!$D$7,Vertex!AY63,Vertex!AY128,Vertex!AY193,Normal!AY63,Normal!AY128,Normal!AY193)*255)</f>
        <v>94</v>
      </c>
      <c r="AZ63" s="4">
        <f>INT(shadex('Shade - 1'!$D$9,'Shade - 1'!$E$9,'Shade - 1'!$F$9,'Shade - 1'!$D$7,Vertex!AZ63,Vertex!AZ128,Vertex!AZ193,Normal!AZ63,Normal!AZ128,Normal!AZ193)*255)</f>
        <v>86</v>
      </c>
      <c r="BA63" s="4">
        <f>INT(shadex('Shade - 1'!$D$9,'Shade - 1'!$E$9,'Shade - 1'!$F$9,'Shade - 1'!$D$7,Vertex!BA63,Vertex!BA128,Vertex!BA193,Normal!BA63,Normal!BA128,Normal!BA193)*255)</f>
        <v>85</v>
      </c>
      <c r="BB63" s="4">
        <f>INT(shadex('Shade - 1'!$D$9,'Shade - 1'!$E$9,'Shade - 1'!$F$9,'Shade - 1'!$D$7,Vertex!BB63,Vertex!BB128,Vertex!BB193,Normal!BB63,Normal!BB128,Normal!BB193)*255)</f>
        <v>80</v>
      </c>
      <c r="BC63" s="4">
        <f>INT(shadex('Shade - 1'!$D$9,'Shade - 1'!$E$9,'Shade - 1'!$F$9,'Shade - 1'!$D$7,Vertex!BC63,Vertex!BC128,Vertex!BC193,Normal!BC63,Normal!BC128,Normal!BC193)*255)</f>
        <v>69</v>
      </c>
      <c r="BD63" s="4">
        <f>INT(shadex('Shade - 1'!$D$9,'Shade - 1'!$E$9,'Shade - 1'!$F$9,'Shade - 1'!$D$7,Vertex!BD63,Vertex!BD128,Vertex!BD193,Normal!BD63,Normal!BD128,Normal!BD193)*255)</f>
        <v>58</v>
      </c>
      <c r="BE63" s="4">
        <f>INT(shadex('Shade - 1'!$D$9,'Shade - 1'!$E$9,'Shade - 1'!$F$9,'Shade - 1'!$D$7,Vertex!BE63,Vertex!BE128,Vertex!BE193,Normal!BE63,Normal!BE128,Normal!BE193)*255)</f>
        <v>66</v>
      </c>
      <c r="BF63" s="4">
        <f>INT(shadex('Shade - 1'!$D$9,'Shade - 1'!$E$9,'Shade - 1'!$F$9,'Shade - 1'!$D$7,Vertex!BF63,Vertex!BF128,Vertex!BF193,Normal!BF63,Normal!BF128,Normal!BF193)*255)</f>
        <v>70</v>
      </c>
      <c r="BG63" s="4">
        <f>INT(shadex('Shade - 1'!$D$9,'Shade - 1'!$E$9,'Shade - 1'!$F$9,'Shade - 1'!$D$7,Vertex!BG63,Vertex!BG128,Vertex!BG193,Normal!BG63,Normal!BG128,Normal!BG193)*255)</f>
        <v>67</v>
      </c>
      <c r="BH63" s="4">
        <f>INT(shadex('Shade - 1'!$D$9,'Shade - 1'!$E$9,'Shade - 1'!$F$9,'Shade - 1'!$D$7,Vertex!BH63,Vertex!BH128,Vertex!BH193,Normal!BH63,Normal!BH128,Normal!BH193)*255)</f>
        <v>58</v>
      </c>
      <c r="BI63" s="4">
        <f>INT(shadex('Shade - 1'!$D$9,'Shade - 1'!$E$9,'Shade - 1'!$F$9,'Shade - 1'!$D$7,Vertex!BI63,Vertex!BI128,Vertex!BI193,Normal!BI63,Normal!BI128,Normal!BI193)*255)</f>
        <v>62</v>
      </c>
      <c r="BJ63" s="4">
        <f>INT(shadex('Shade - 1'!$D$9,'Shade - 1'!$E$9,'Shade - 1'!$F$9,'Shade - 1'!$D$7,Vertex!BJ63,Vertex!BJ128,Vertex!BJ193,Normal!BJ63,Normal!BJ128,Normal!BJ193)*255)</f>
        <v>74</v>
      </c>
      <c r="BK63" s="4">
        <f>INT(shadex('Shade - 1'!$D$9,'Shade - 1'!$E$9,'Shade - 1'!$F$9,'Shade - 1'!$D$7,Vertex!BK63,Vertex!BK128,Vertex!BK193,Normal!BK63,Normal!BK128,Normal!BK193)*255)</f>
        <v>85</v>
      </c>
      <c r="BL63" s="4">
        <f>INT(shadex('Shade - 1'!$D$9,'Shade - 1'!$E$9,'Shade - 1'!$F$9,'Shade - 1'!$D$7,Vertex!BL63,Vertex!BL128,Vertex!BL193,Normal!BL63,Normal!BL128,Normal!BL193)*255)</f>
        <v>91</v>
      </c>
    </row>
    <row r="64" spans="1:64" x14ac:dyDescent="0.25">
      <c r="A64">
        <f>INT(shadex('Shade - 1'!$D$9,'Shade - 1'!$E$9,'Shade - 1'!$F$9,'Shade - 1'!$D$7,Vertex!A64,Vertex!A129,Vertex!A194,Normal!A64,Normal!A129,Normal!A194)*255)</f>
        <v>72</v>
      </c>
      <c r="B64">
        <f>INT(shadex('Shade - 1'!$D$9,'Shade - 1'!$E$9,'Shade - 1'!$F$9,'Shade - 1'!$D$7,Vertex!B64,Vertex!B129,Vertex!B194,Normal!B64,Normal!B129,Normal!B194)*255)</f>
        <v>49</v>
      </c>
      <c r="C64">
        <f>INT(shadex('Shade - 1'!$D$9,'Shade - 1'!$E$9,'Shade - 1'!$F$9,'Shade - 1'!$D$7,Vertex!C64,Vertex!C129,Vertex!C194,Normal!C64,Normal!C129,Normal!C194)*255)</f>
        <v>27</v>
      </c>
      <c r="D64">
        <f>INT(shadex('Shade - 1'!$D$9,'Shade - 1'!$E$9,'Shade - 1'!$F$9,'Shade - 1'!$D$7,Vertex!D64,Vertex!D129,Vertex!D194,Normal!D64,Normal!D129,Normal!D194)*255)</f>
        <v>32</v>
      </c>
      <c r="E64">
        <f>INT(shadex('Shade - 1'!$D$9,'Shade - 1'!$E$9,'Shade - 1'!$F$9,'Shade - 1'!$D$7,Vertex!E64,Vertex!E129,Vertex!E194,Normal!E64,Normal!E129,Normal!E194)*255)</f>
        <v>55</v>
      </c>
      <c r="F64">
        <f>INT(shadex('Shade - 1'!$D$9,'Shade - 1'!$E$9,'Shade - 1'!$F$9,'Shade - 1'!$D$7,Vertex!F64,Vertex!F129,Vertex!F194,Normal!F64,Normal!F129,Normal!F194)*255)</f>
        <v>65</v>
      </c>
      <c r="G64">
        <f>INT(shadex('Shade - 1'!$D$9,'Shade - 1'!$E$9,'Shade - 1'!$F$9,'Shade - 1'!$D$7,Vertex!G64,Vertex!G129,Vertex!G194,Normal!G64,Normal!G129,Normal!G194)*255)</f>
        <v>47</v>
      </c>
      <c r="H64">
        <f>INT(shadex('Shade - 1'!$D$9,'Shade - 1'!$E$9,'Shade - 1'!$F$9,'Shade - 1'!$D$7,Vertex!H64,Vertex!H129,Vertex!H194,Normal!H64,Normal!H129,Normal!H194)*255)</f>
        <v>45</v>
      </c>
      <c r="I64">
        <f>INT(shadex('Shade - 1'!$D$9,'Shade - 1'!$E$9,'Shade - 1'!$F$9,'Shade - 1'!$D$7,Vertex!I64,Vertex!I129,Vertex!I194,Normal!I64,Normal!I129,Normal!I194)*255)</f>
        <v>67</v>
      </c>
      <c r="J64">
        <f>INT(shadex('Shade - 1'!$D$9,'Shade - 1'!$E$9,'Shade - 1'!$F$9,'Shade - 1'!$D$7,Vertex!J64,Vertex!J129,Vertex!J194,Normal!J64,Normal!J129,Normal!J194)*255)</f>
        <v>83</v>
      </c>
      <c r="K64">
        <f>INT(shadex('Shade - 1'!$D$9,'Shade - 1'!$E$9,'Shade - 1'!$F$9,'Shade - 1'!$D$7,Vertex!K64,Vertex!K129,Vertex!K194,Normal!K64,Normal!K129,Normal!K194)*255)</f>
        <v>91</v>
      </c>
      <c r="L64">
        <f>INT(shadex('Shade - 1'!$D$9,'Shade - 1'!$E$9,'Shade - 1'!$F$9,'Shade - 1'!$D$7,Vertex!L64,Vertex!L129,Vertex!L194,Normal!L64,Normal!L129,Normal!L194)*255)</f>
        <v>93</v>
      </c>
      <c r="M64">
        <f>INT(shadex('Shade - 1'!$D$9,'Shade - 1'!$E$9,'Shade - 1'!$F$9,'Shade - 1'!$D$7,Vertex!M64,Vertex!M129,Vertex!M194,Normal!M64,Normal!M129,Normal!M194)*255)</f>
        <v>82</v>
      </c>
      <c r="N64">
        <f>INT(shadex('Shade - 1'!$D$9,'Shade - 1'!$E$9,'Shade - 1'!$F$9,'Shade - 1'!$D$7,Vertex!N64,Vertex!N129,Vertex!N194,Normal!N64,Normal!N129,Normal!N194)*255)</f>
        <v>72</v>
      </c>
      <c r="O64">
        <f>INT(shadex('Shade - 1'!$D$9,'Shade - 1'!$E$9,'Shade - 1'!$F$9,'Shade - 1'!$D$7,Vertex!O64,Vertex!O129,Vertex!O194,Normal!O64,Normal!O129,Normal!O194)*255)</f>
        <v>82</v>
      </c>
      <c r="P64">
        <f>INT(shadex('Shade - 1'!$D$9,'Shade - 1'!$E$9,'Shade - 1'!$F$9,'Shade - 1'!$D$7,Vertex!P64,Vertex!P129,Vertex!P194,Normal!P64,Normal!P129,Normal!P194)*255)</f>
        <v>81</v>
      </c>
      <c r="Q64">
        <f>INT(shadex('Shade - 1'!$D$9,'Shade - 1'!$E$9,'Shade - 1'!$F$9,'Shade - 1'!$D$7,Vertex!Q64,Vertex!Q129,Vertex!Q194,Normal!Q64,Normal!Q129,Normal!Q194)*255)</f>
        <v>87</v>
      </c>
      <c r="R64">
        <f>INT(shadex('Shade - 1'!$D$9,'Shade - 1'!$E$9,'Shade - 1'!$F$9,'Shade - 1'!$D$7,Vertex!R64,Vertex!R129,Vertex!R194,Normal!R64,Normal!R129,Normal!R194)*255)</f>
        <v>99</v>
      </c>
      <c r="S64">
        <f>INT(shadex('Shade - 1'!$D$9,'Shade - 1'!$E$9,'Shade - 1'!$F$9,'Shade - 1'!$D$7,Vertex!S64,Vertex!S129,Vertex!S194,Normal!S64,Normal!S129,Normal!S194)*255)</f>
        <v>95</v>
      </c>
      <c r="T64">
        <f>INT(shadex('Shade - 1'!$D$9,'Shade - 1'!$E$9,'Shade - 1'!$F$9,'Shade - 1'!$D$7,Vertex!T64,Vertex!T129,Vertex!T194,Normal!T64,Normal!T129,Normal!T194)*255)</f>
        <v>90</v>
      </c>
      <c r="U64">
        <f>INT(shadex('Shade - 1'!$D$9,'Shade - 1'!$E$9,'Shade - 1'!$F$9,'Shade - 1'!$D$7,Vertex!U64,Vertex!U129,Vertex!U194,Normal!U64,Normal!U129,Normal!U194)*255)</f>
        <v>93</v>
      </c>
      <c r="V64">
        <f>INT(shadex('Shade - 1'!$D$9,'Shade - 1'!$E$9,'Shade - 1'!$F$9,'Shade - 1'!$D$7,Vertex!V64,Vertex!V129,Vertex!V194,Normal!V64,Normal!V129,Normal!V194)*255)</f>
        <v>92</v>
      </c>
      <c r="W64">
        <f>INT(shadex('Shade - 1'!$D$9,'Shade - 1'!$E$9,'Shade - 1'!$F$9,'Shade - 1'!$D$7,Vertex!W64,Vertex!W129,Vertex!W194,Normal!W64,Normal!W129,Normal!W194)*255)</f>
        <v>85</v>
      </c>
      <c r="X64">
        <f>INT(shadex('Shade - 1'!$D$9,'Shade - 1'!$E$9,'Shade - 1'!$F$9,'Shade - 1'!$D$7,Vertex!X64,Vertex!X129,Vertex!X194,Normal!X64,Normal!X129,Normal!X194)*255)</f>
        <v>83</v>
      </c>
      <c r="Y64">
        <f>INT(shadex('Shade - 1'!$D$9,'Shade - 1'!$E$9,'Shade - 1'!$F$9,'Shade - 1'!$D$7,Vertex!Y64,Vertex!Y129,Vertex!Y194,Normal!Y64,Normal!Y129,Normal!Y194)*255)</f>
        <v>74</v>
      </c>
      <c r="Z64">
        <f>INT(shadex('Shade - 1'!$D$9,'Shade - 1'!$E$9,'Shade - 1'!$F$9,'Shade - 1'!$D$7,Vertex!Z64,Vertex!Z129,Vertex!Z194,Normal!Z64,Normal!Z129,Normal!Z194)*255)</f>
        <v>45</v>
      </c>
      <c r="AA64">
        <f>INT(shadex('Shade - 1'!$D$9,'Shade - 1'!$E$9,'Shade - 1'!$F$9,'Shade - 1'!$D$7,Vertex!AA64,Vertex!AA129,Vertex!AA194,Normal!AA64,Normal!AA129,Normal!AA194)*255)</f>
        <v>66</v>
      </c>
      <c r="AB64">
        <f>INT(shadex('Shade - 1'!$D$9,'Shade - 1'!$E$9,'Shade - 1'!$F$9,'Shade - 1'!$D$7,Vertex!AB64,Vertex!AB129,Vertex!AB194,Normal!AB64,Normal!AB129,Normal!AB194)*255)</f>
        <v>85</v>
      </c>
      <c r="AC64">
        <f>INT(shadex('Shade - 1'!$D$9,'Shade - 1'!$E$9,'Shade - 1'!$F$9,'Shade - 1'!$D$7,Vertex!AC64,Vertex!AC129,Vertex!AC194,Normal!AC64,Normal!AC129,Normal!AC194)*255)</f>
        <v>84</v>
      </c>
      <c r="AD64">
        <f>INT(shadex('Shade - 1'!$D$9,'Shade - 1'!$E$9,'Shade - 1'!$F$9,'Shade - 1'!$D$7,Vertex!AD64,Vertex!AD129,Vertex!AD194,Normal!AD64,Normal!AD129,Normal!AD194)*255)</f>
        <v>69</v>
      </c>
      <c r="AE64">
        <f>INT(shadex('Shade - 1'!$D$9,'Shade - 1'!$E$9,'Shade - 1'!$F$9,'Shade - 1'!$D$7,Vertex!AE64,Vertex!AE129,Vertex!AE194,Normal!AE64,Normal!AE129,Normal!AE194)*255)</f>
        <v>58</v>
      </c>
      <c r="AF64">
        <f>INT(shadex('Shade - 1'!$D$9,'Shade - 1'!$E$9,'Shade - 1'!$F$9,'Shade - 1'!$D$7,Vertex!AF64,Vertex!AF129,Vertex!AF194,Normal!AF64,Normal!AF129,Normal!AF194)*255)</f>
        <v>60</v>
      </c>
      <c r="AG64">
        <f>INT(shadex('Shade - 1'!$D$9,'Shade - 1'!$E$9,'Shade - 1'!$F$9,'Shade - 1'!$D$7,Vertex!AG64,Vertex!AG129,Vertex!AG194,Normal!AG64,Normal!AG129,Normal!AG194)*255)</f>
        <v>53</v>
      </c>
      <c r="AH64">
        <f>INT(shadex('Shade - 1'!$D$9,'Shade - 1'!$E$9,'Shade - 1'!$F$9,'Shade - 1'!$D$7,Vertex!AH64,Vertex!AH129,Vertex!AH194,Normal!AH64,Normal!AH129,Normal!AH194)*255)</f>
        <v>44</v>
      </c>
      <c r="AI64" s="4">
        <f>INT(shadex('Shade - 1'!$D$9,'Shade - 1'!$E$9,'Shade - 1'!$F$9,'Shade - 1'!$D$7,Vertex!AI64,Vertex!AI129,Vertex!AI194,Normal!AI64,Normal!AI129,Normal!AI194)*255)</f>
        <v>60</v>
      </c>
      <c r="AJ64" s="4">
        <f>INT(shadex('Shade - 1'!$D$9,'Shade - 1'!$E$9,'Shade - 1'!$F$9,'Shade - 1'!$D$7,Vertex!AJ64,Vertex!AJ129,Vertex!AJ194,Normal!AJ64,Normal!AJ129,Normal!AJ194)*255)</f>
        <v>69</v>
      </c>
      <c r="AK64" s="4">
        <f>INT(shadex('Shade - 1'!$D$9,'Shade - 1'!$E$9,'Shade - 1'!$F$9,'Shade - 1'!$D$7,Vertex!AK64,Vertex!AK129,Vertex!AK194,Normal!AK64,Normal!AK129,Normal!AK194)*255)</f>
        <v>78</v>
      </c>
      <c r="AL64" s="4">
        <f>INT(shadex('Shade - 1'!$D$9,'Shade - 1'!$E$9,'Shade - 1'!$F$9,'Shade - 1'!$D$7,Vertex!AL64,Vertex!AL129,Vertex!AL194,Normal!AL64,Normal!AL129,Normal!AL194)*255)</f>
        <v>76</v>
      </c>
      <c r="AM64" s="4">
        <f>INT(shadex('Shade - 1'!$D$9,'Shade - 1'!$E$9,'Shade - 1'!$F$9,'Shade - 1'!$D$7,Vertex!AM64,Vertex!AM129,Vertex!AM194,Normal!AM64,Normal!AM129,Normal!AM194)*255)</f>
        <v>83</v>
      </c>
      <c r="AN64" s="4">
        <f>INT(shadex('Shade - 1'!$D$9,'Shade - 1'!$E$9,'Shade - 1'!$F$9,'Shade - 1'!$D$7,Vertex!AN64,Vertex!AN129,Vertex!AN194,Normal!AN64,Normal!AN129,Normal!AN194)*255)</f>
        <v>79</v>
      </c>
      <c r="AO64" s="4">
        <f>INT(shadex('Shade - 1'!$D$9,'Shade - 1'!$E$9,'Shade - 1'!$F$9,'Shade - 1'!$D$7,Vertex!AO64,Vertex!AO129,Vertex!AO194,Normal!AO64,Normal!AO129,Normal!AO194)*255)</f>
        <v>75</v>
      </c>
      <c r="AP64" s="4">
        <f>INT(shadex('Shade - 1'!$D$9,'Shade - 1'!$E$9,'Shade - 1'!$F$9,'Shade - 1'!$D$7,Vertex!AP64,Vertex!AP129,Vertex!AP194,Normal!AP64,Normal!AP129,Normal!AP194)*255)</f>
        <v>86</v>
      </c>
      <c r="AQ64" s="4">
        <f>INT(shadex('Shade - 1'!$D$9,'Shade - 1'!$E$9,'Shade - 1'!$F$9,'Shade - 1'!$D$7,Vertex!AQ64,Vertex!AQ129,Vertex!AQ194,Normal!AQ64,Normal!AQ129,Normal!AQ194)*255)</f>
        <v>83</v>
      </c>
      <c r="AR64" s="4">
        <f>INT(shadex('Shade - 1'!$D$9,'Shade - 1'!$E$9,'Shade - 1'!$F$9,'Shade - 1'!$D$7,Vertex!AR64,Vertex!AR129,Vertex!AR194,Normal!AR64,Normal!AR129,Normal!AR194)*255)</f>
        <v>75</v>
      </c>
      <c r="AS64" s="4">
        <f>INT(shadex('Shade - 1'!$D$9,'Shade - 1'!$E$9,'Shade - 1'!$F$9,'Shade - 1'!$D$7,Vertex!AS64,Vertex!AS129,Vertex!AS194,Normal!AS64,Normal!AS129,Normal!AS194)*255)</f>
        <v>90</v>
      </c>
      <c r="AT64" s="4">
        <f>INT(shadex('Shade - 1'!$D$9,'Shade - 1'!$E$9,'Shade - 1'!$F$9,'Shade - 1'!$D$7,Vertex!AT64,Vertex!AT129,Vertex!AT194,Normal!AT64,Normal!AT129,Normal!AT194)*255)</f>
        <v>82</v>
      </c>
      <c r="AU64" s="4">
        <f>INT(shadex('Shade - 1'!$D$9,'Shade - 1'!$E$9,'Shade - 1'!$F$9,'Shade - 1'!$D$7,Vertex!AU64,Vertex!AU129,Vertex!AU194,Normal!AU64,Normal!AU129,Normal!AU194)*255)</f>
        <v>88</v>
      </c>
      <c r="AV64" s="4">
        <f>INT(shadex('Shade - 1'!$D$9,'Shade - 1'!$E$9,'Shade - 1'!$F$9,'Shade - 1'!$D$7,Vertex!AV64,Vertex!AV129,Vertex!AV194,Normal!AV64,Normal!AV129,Normal!AV194)*255)</f>
        <v>89</v>
      </c>
      <c r="AW64" s="4">
        <f>INT(shadex('Shade - 1'!$D$9,'Shade - 1'!$E$9,'Shade - 1'!$F$9,'Shade - 1'!$D$7,Vertex!AW64,Vertex!AW129,Vertex!AW194,Normal!AW64,Normal!AW129,Normal!AW194)*255)</f>
        <v>75</v>
      </c>
      <c r="AX64" s="4">
        <f>INT(shadex('Shade - 1'!$D$9,'Shade - 1'!$E$9,'Shade - 1'!$F$9,'Shade - 1'!$D$7,Vertex!AX64,Vertex!AX129,Vertex!AX194,Normal!AX64,Normal!AX129,Normal!AX194)*255)</f>
        <v>88</v>
      </c>
      <c r="AY64" s="4">
        <f>INT(shadex('Shade - 1'!$D$9,'Shade - 1'!$E$9,'Shade - 1'!$F$9,'Shade - 1'!$D$7,Vertex!AY64,Vertex!AY129,Vertex!AY194,Normal!AY64,Normal!AY129,Normal!AY194)*255)</f>
        <v>94</v>
      </c>
      <c r="AZ64" s="4">
        <f>INT(shadex('Shade - 1'!$D$9,'Shade - 1'!$E$9,'Shade - 1'!$F$9,'Shade - 1'!$D$7,Vertex!AZ64,Vertex!AZ129,Vertex!AZ194,Normal!AZ64,Normal!AZ129,Normal!AZ194)*255)</f>
        <v>91</v>
      </c>
      <c r="BA64" s="4">
        <f>INT(shadex('Shade - 1'!$D$9,'Shade - 1'!$E$9,'Shade - 1'!$F$9,'Shade - 1'!$D$7,Vertex!BA64,Vertex!BA129,Vertex!BA194,Normal!BA64,Normal!BA129,Normal!BA194)*255)</f>
        <v>93</v>
      </c>
      <c r="BB64" s="4">
        <f>INT(shadex('Shade - 1'!$D$9,'Shade - 1'!$E$9,'Shade - 1'!$F$9,'Shade - 1'!$D$7,Vertex!BB64,Vertex!BB129,Vertex!BB194,Normal!BB64,Normal!BB129,Normal!BB194)*255)</f>
        <v>89</v>
      </c>
      <c r="BC64" s="4">
        <f>INT(shadex('Shade - 1'!$D$9,'Shade - 1'!$E$9,'Shade - 1'!$F$9,'Shade - 1'!$D$7,Vertex!BC64,Vertex!BC129,Vertex!BC194,Normal!BC64,Normal!BC129,Normal!BC194)*255)</f>
        <v>80</v>
      </c>
      <c r="BD64" s="4">
        <f>INT(shadex('Shade - 1'!$D$9,'Shade - 1'!$E$9,'Shade - 1'!$F$9,'Shade - 1'!$D$7,Vertex!BD64,Vertex!BD129,Vertex!BD194,Normal!BD64,Normal!BD129,Normal!BD194)*255)</f>
        <v>66</v>
      </c>
      <c r="BE64" s="4">
        <f>INT(shadex('Shade - 1'!$D$9,'Shade - 1'!$E$9,'Shade - 1'!$F$9,'Shade - 1'!$D$7,Vertex!BE64,Vertex!BE129,Vertex!BE194,Normal!BE64,Normal!BE129,Normal!BE194)*255)</f>
        <v>72</v>
      </c>
      <c r="BF64" s="4">
        <f>INT(shadex('Shade - 1'!$D$9,'Shade - 1'!$E$9,'Shade - 1'!$F$9,'Shade - 1'!$D$7,Vertex!BF64,Vertex!BF129,Vertex!BF194,Normal!BF64,Normal!BF129,Normal!BF194)*255)</f>
        <v>72</v>
      </c>
      <c r="BG64" s="4">
        <f>INT(shadex('Shade - 1'!$D$9,'Shade - 1'!$E$9,'Shade - 1'!$F$9,'Shade - 1'!$D$7,Vertex!BG64,Vertex!BG129,Vertex!BG194,Normal!BG64,Normal!BG129,Normal!BG194)*255)</f>
        <v>73</v>
      </c>
      <c r="BH64" s="4">
        <f>INT(shadex('Shade - 1'!$D$9,'Shade - 1'!$E$9,'Shade - 1'!$F$9,'Shade - 1'!$D$7,Vertex!BH64,Vertex!BH129,Vertex!BH194,Normal!BH64,Normal!BH129,Normal!BH194)*255)</f>
        <v>73</v>
      </c>
      <c r="BI64" s="4">
        <f>INT(shadex('Shade - 1'!$D$9,'Shade - 1'!$E$9,'Shade - 1'!$F$9,'Shade - 1'!$D$7,Vertex!BI64,Vertex!BI129,Vertex!BI194,Normal!BI64,Normal!BI129,Normal!BI194)*255)</f>
        <v>69</v>
      </c>
      <c r="BJ64" s="4">
        <f>INT(shadex('Shade - 1'!$D$9,'Shade - 1'!$E$9,'Shade - 1'!$F$9,'Shade - 1'!$D$7,Vertex!BJ64,Vertex!BJ129,Vertex!BJ194,Normal!BJ64,Normal!BJ129,Normal!BJ194)*255)</f>
        <v>79</v>
      </c>
      <c r="BK64" s="4">
        <f>INT(shadex('Shade - 1'!$D$9,'Shade - 1'!$E$9,'Shade - 1'!$F$9,'Shade - 1'!$D$7,Vertex!BK64,Vertex!BK129,Vertex!BK194,Normal!BK64,Normal!BK129,Normal!BK194)*255)</f>
        <v>93</v>
      </c>
      <c r="BL64" s="4">
        <f>INT(shadex('Shade - 1'!$D$9,'Shade - 1'!$E$9,'Shade - 1'!$F$9,'Shade - 1'!$D$7,Vertex!BL64,Vertex!BL129,Vertex!BL194,Normal!BL64,Normal!BL129,Normal!BL194)*255)</f>
        <v>95</v>
      </c>
    </row>
    <row r="66" spans="1:64" x14ac:dyDescent="0.25">
      <c r="A66">
        <v>1</v>
      </c>
      <c r="B66">
        <f>A66+1</f>
        <v>2</v>
      </c>
      <c r="C66">
        <f t="shared" ref="C66:BL66" si="0">B66+1</f>
        <v>3</v>
      </c>
      <c r="D66">
        <f t="shared" si="0"/>
        <v>4</v>
      </c>
      <c r="E66">
        <f t="shared" si="0"/>
        <v>5</v>
      </c>
      <c r="F66">
        <f t="shared" si="0"/>
        <v>6</v>
      </c>
      <c r="G66">
        <f t="shared" si="0"/>
        <v>7</v>
      </c>
      <c r="H66">
        <f t="shared" si="0"/>
        <v>8</v>
      </c>
      <c r="I66">
        <f t="shared" si="0"/>
        <v>9</v>
      </c>
      <c r="J66">
        <f t="shared" si="0"/>
        <v>10</v>
      </c>
      <c r="K66">
        <f t="shared" si="0"/>
        <v>11</v>
      </c>
      <c r="L66">
        <f t="shared" si="0"/>
        <v>12</v>
      </c>
      <c r="M66">
        <f t="shared" si="0"/>
        <v>13</v>
      </c>
      <c r="N66">
        <f t="shared" si="0"/>
        <v>14</v>
      </c>
      <c r="O66">
        <f t="shared" si="0"/>
        <v>15</v>
      </c>
      <c r="P66">
        <f t="shared" si="0"/>
        <v>16</v>
      </c>
      <c r="Q66">
        <f t="shared" si="0"/>
        <v>17</v>
      </c>
      <c r="R66">
        <f t="shared" si="0"/>
        <v>18</v>
      </c>
      <c r="S66">
        <f t="shared" si="0"/>
        <v>19</v>
      </c>
      <c r="T66">
        <f t="shared" si="0"/>
        <v>20</v>
      </c>
      <c r="U66">
        <f t="shared" si="0"/>
        <v>21</v>
      </c>
      <c r="V66">
        <f t="shared" si="0"/>
        <v>22</v>
      </c>
      <c r="W66">
        <f t="shared" si="0"/>
        <v>23</v>
      </c>
      <c r="X66">
        <f t="shared" si="0"/>
        <v>24</v>
      </c>
      <c r="Y66">
        <f t="shared" si="0"/>
        <v>25</v>
      </c>
      <c r="Z66">
        <f t="shared" si="0"/>
        <v>26</v>
      </c>
      <c r="AA66">
        <f t="shared" si="0"/>
        <v>27</v>
      </c>
      <c r="AB66">
        <f t="shared" si="0"/>
        <v>28</v>
      </c>
      <c r="AC66">
        <f t="shared" si="0"/>
        <v>29</v>
      </c>
      <c r="AD66">
        <f t="shared" si="0"/>
        <v>30</v>
      </c>
      <c r="AE66">
        <f t="shared" si="0"/>
        <v>31</v>
      </c>
      <c r="AF66">
        <f t="shared" si="0"/>
        <v>32</v>
      </c>
      <c r="AG66">
        <f t="shared" si="0"/>
        <v>33</v>
      </c>
      <c r="AH66">
        <f t="shared" si="0"/>
        <v>34</v>
      </c>
      <c r="AI66">
        <f t="shared" si="0"/>
        <v>35</v>
      </c>
      <c r="AJ66">
        <f t="shared" si="0"/>
        <v>36</v>
      </c>
      <c r="AK66">
        <f t="shared" si="0"/>
        <v>37</v>
      </c>
      <c r="AL66">
        <f t="shared" si="0"/>
        <v>38</v>
      </c>
      <c r="AM66">
        <f t="shared" si="0"/>
        <v>39</v>
      </c>
      <c r="AN66">
        <f t="shared" si="0"/>
        <v>40</v>
      </c>
      <c r="AO66">
        <f t="shared" si="0"/>
        <v>41</v>
      </c>
      <c r="AP66">
        <f t="shared" si="0"/>
        <v>42</v>
      </c>
      <c r="AQ66">
        <f t="shared" si="0"/>
        <v>43</v>
      </c>
      <c r="AR66">
        <f t="shared" si="0"/>
        <v>44</v>
      </c>
      <c r="AS66">
        <f t="shared" si="0"/>
        <v>45</v>
      </c>
      <c r="AT66">
        <f t="shared" si="0"/>
        <v>46</v>
      </c>
      <c r="AU66">
        <f t="shared" si="0"/>
        <v>47</v>
      </c>
      <c r="AV66">
        <f t="shared" si="0"/>
        <v>48</v>
      </c>
      <c r="AW66">
        <f t="shared" si="0"/>
        <v>49</v>
      </c>
      <c r="AX66">
        <f t="shared" si="0"/>
        <v>50</v>
      </c>
      <c r="AY66">
        <f t="shared" si="0"/>
        <v>51</v>
      </c>
      <c r="AZ66">
        <f t="shared" si="0"/>
        <v>52</v>
      </c>
      <c r="BA66">
        <f t="shared" si="0"/>
        <v>53</v>
      </c>
      <c r="BB66">
        <f t="shared" si="0"/>
        <v>54</v>
      </c>
      <c r="BC66">
        <f t="shared" si="0"/>
        <v>55</v>
      </c>
      <c r="BD66">
        <f t="shared" si="0"/>
        <v>56</v>
      </c>
      <c r="BE66">
        <f t="shared" si="0"/>
        <v>57</v>
      </c>
      <c r="BF66">
        <f t="shared" si="0"/>
        <v>58</v>
      </c>
      <c r="BG66">
        <f t="shared" si="0"/>
        <v>59</v>
      </c>
      <c r="BH66">
        <f t="shared" si="0"/>
        <v>60</v>
      </c>
      <c r="BI66">
        <f t="shared" si="0"/>
        <v>61</v>
      </c>
      <c r="BJ66">
        <f t="shared" si="0"/>
        <v>62</v>
      </c>
      <c r="BK66">
        <f t="shared" si="0"/>
        <v>63</v>
      </c>
      <c r="BL66">
        <f t="shared" si="0"/>
        <v>64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62EE-2EAC-4BEF-960B-F120CEAEA419}">
  <sheetPr codeName="Sheet4"/>
  <dimension ref="A1:BL194"/>
  <sheetViews>
    <sheetView topLeftCell="A127" workbookViewId="0">
      <selection activeCell="A162" sqref="A162:XFD162"/>
    </sheetView>
  </sheetViews>
  <sheetFormatPr defaultRowHeight="15" x14ac:dyDescent="0.25"/>
  <sheetData>
    <row r="1" spans="1:64" x14ac:dyDescent="0.25">
      <c r="A1">
        <v>-50</v>
      </c>
      <c r="B1">
        <v>-49.902000000000001</v>
      </c>
      <c r="C1">
        <v>-49.805</v>
      </c>
      <c r="D1">
        <v>-49.707000000000001</v>
      </c>
      <c r="E1">
        <v>-49.609000000000002</v>
      </c>
      <c r="F1">
        <v>-49.512</v>
      </c>
      <c r="G1">
        <v>-49.414000000000001</v>
      </c>
      <c r="H1">
        <v>-49.316000000000003</v>
      </c>
      <c r="I1">
        <v>-49.219000000000001</v>
      </c>
      <c r="J1">
        <v>-49.121000000000002</v>
      </c>
      <c r="K1">
        <v>-49.023000000000003</v>
      </c>
      <c r="L1">
        <v>-48.926000000000002</v>
      </c>
      <c r="M1">
        <v>-48.828000000000003</v>
      </c>
      <c r="N1">
        <v>-48.73</v>
      </c>
      <c r="O1">
        <v>-48.633000000000003</v>
      </c>
      <c r="P1">
        <v>-48.534999999999997</v>
      </c>
      <c r="Q1">
        <v>-48.438000000000002</v>
      </c>
      <c r="R1">
        <v>-48.34</v>
      </c>
      <c r="S1">
        <v>-48.241999999999997</v>
      </c>
      <c r="T1">
        <v>-48.145000000000003</v>
      </c>
      <c r="U1">
        <v>-48.046999999999997</v>
      </c>
      <c r="V1">
        <v>-47.948999999999998</v>
      </c>
      <c r="W1">
        <v>-47.851999999999997</v>
      </c>
      <c r="X1">
        <v>-47.753999999999998</v>
      </c>
      <c r="Y1">
        <v>-47.655999999999999</v>
      </c>
      <c r="Z1">
        <v>-47.558999999999997</v>
      </c>
      <c r="AA1">
        <v>-47.460999999999999</v>
      </c>
      <c r="AB1">
        <v>-47.363</v>
      </c>
      <c r="AC1">
        <v>-47.265999999999998</v>
      </c>
      <c r="AD1">
        <v>-47.167999999999999</v>
      </c>
      <c r="AE1">
        <v>-47.07</v>
      </c>
      <c r="AF1">
        <v>-46.972999999999999</v>
      </c>
      <c r="AG1">
        <v>-46.875</v>
      </c>
      <c r="AH1">
        <v>-46.777000000000001</v>
      </c>
      <c r="AI1">
        <v>-46.68</v>
      </c>
      <c r="AJ1">
        <v>-46.582000000000001</v>
      </c>
      <c r="AK1">
        <v>-46.484000000000002</v>
      </c>
      <c r="AL1">
        <v>-46.387</v>
      </c>
      <c r="AM1">
        <v>-46.289000000000001</v>
      </c>
      <c r="AN1">
        <v>-46.191000000000003</v>
      </c>
      <c r="AO1">
        <v>-46.094000000000001</v>
      </c>
      <c r="AP1">
        <v>-45.996000000000002</v>
      </c>
      <c r="AQ1">
        <v>-45.898000000000003</v>
      </c>
      <c r="AR1">
        <v>-45.801000000000002</v>
      </c>
      <c r="AS1">
        <v>-45.703000000000003</v>
      </c>
      <c r="AT1">
        <v>-45.604999999999997</v>
      </c>
      <c r="AU1">
        <v>-45.508000000000003</v>
      </c>
      <c r="AV1">
        <v>-45.41</v>
      </c>
      <c r="AW1">
        <v>-45.313000000000002</v>
      </c>
      <c r="AX1">
        <v>-45.215000000000003</v>
      </c>
      <c r="AY1">
        <v>-45.116999999999997</v>
      </c>
      <c r="AZ1">
        <v>-45.02</v>
      </c>
      <c r="BA1">
        <v>-44.921999999999997</v>
      </c>
      <c r="BB1">
        <v>-44.823999999999998</v>
      </c>
      <c r="BC1">
        <v>-44.726999999999997</v>
      </c>
      <c r="BD1">
        <v>-44.628999999999998</v>
      </c>
      <c r="BE1">
        <v>-44.530999999999999</v>
      </c>
      <c r="BF1">
        <v>-44.433999999999997</v>
      </c>
      <c r="BG1">
        <v>-44.335999999999999</v>
      </c>
      <c r="BH1">
        <v>-44.238</v>
      </c>
      <c r="BI1">
        <v>-44.140999999999998</v>
      </c>
      <c r="BJ1">
        <v>-44.042999999999999</v>
      </c>
      <c r="BK1">
        <v>-43.945</v>
      </c>
      <c r="BL1">
        <v>-43.847999999999999</v>
      </c>
    </row>
    <row r="2" spans="1:64" x14ac:dyDescent="0.25">
      <c r="A2">
        <v>-50</v>
      </c>
      <c r="B2">
        <v>-49.902000000000001</v>
      </c>
      <c r="C2">
        <v>-49.805</v>
      </c>
      <c r="D2">
        <v>-49.707000000000001</v>
      </c>
      <c r="E2">
        <v>-49.609000000000002</v>
      </c>
      <c r="F2">
        <v>-49.512</v>
      </c>
      <c r="G2">
        <v>-49.414000000000001</v>
      </c>
      <c r="H2">
        <v>-49.316000000000003</v>
      </c>
      <c r="I2">
        <v>-49.219000000000001</v>
      </c>
      <c r="J2">
        <v>-49.121000000000002</v>
      </c>
      <c r="K2">
        <v>-49.023000000000003</v>
      </c>
      <c r="L2">
        <v>-48.926000000000002</v>
      </c>
      <c r="M2">
        <v>-48.828000000000003</v>
      </c>
      <c r="N2">
        <v>-48.73</v>
      </c>
      <c r="O2">
        <v>-48.633000000000003</v>
      </c>
      <c r="P2">
        <v>-48.534999999999997</v>
      </c>
      <c r="Q2">
        <v>-48.438000000000002</v>
      </c>
      <c r="R2">
        <v>-48.34</v>
      </c>
      <c r="S2">
        <v>-48.241999999999997</v>
      </c>
      <c r="T2">
        <v>-48.145000000000003</v>
      </c>
      <c r="U2">
        <v>-48.046999999999997</v>
      </c>
      <c r="V2">
        <v>-47.948999999999998</v>
      </c>
      <c r="W2">
        <v>-47.851999999999997</v>
      </c>
      <c r="X2">
        <v>-47.753999999999998</v>
      </c>
      <c r="Y2">
        <v>-47.655999999999999</v>
      </c>
      <c r="Z2">
        <v>-47.558999999999997</v>
      </c>
      <c r="AA2">
        <v>-47.460999999999999</v>
      </c>
      <c r="AB2">
        <v>-47.363</v>
      </c>
      <c r="AC2">
        <v>-47.265999999999998</v>
      </c>
      <c r="AD2">
        <v>-47.167999999999999</v>
      </c>
      <c r="AE2">
        <v>-47.07</v>
      </c>
      <c r="AF2">
        <v>-46.972999999999999</v>
      </c>
      <c r="AG2">
        <v>-46.875</v>
      </c>
      <c r="AH2">
        <v>-46.777000000000001</v>
      </c>
      <c r="AI2">
        <v>-46.68</v>
      </c>
      <c r="AJ2">
        <v>-46.582000000000001</v>
      </c>
      <c r="AK2">
        <v>-46.484000000000002</v>
      </c>
      <c r="AL2">
        <v>-46.387</v>
      </c>
      <c r="AM2">
        <v>-46.289000000000001</v>
      </c>
      <c r="AN2">
        <v>-46.191000000000003</v>
      </c>
      <c r="AO2">
        <v>-46.094000000000001</v>
      </c>
      <c r="AP2">
        <v>-45.996000000000002</v>
      </c>
      <c r="AQ2">
        <v>-45.898000000000003</v>
      </c>
      <c r="AR2">
        <v>-45.801000000000002</v>
      </c>
      <c r="AS2">
        <v>-45.703000000000003</v>
      </c>
      <c r="AT2">
        <v>-45.604999999999997</v>
      </c>
      <c r="AU2">
        <v>-45.508000000000003</v>
      </c>
      <c r="AV2">
        <v>-45.41</v>
      </c>
      <c r="AW2">
        <v>-45.313000000000002</v>
      </c>
      <c r="AX2">
        <v>-45.215000000000003</v>
      </c>
      <c r="AY2">
        <v>-45.116999999999997</v>
      </c>
      <c r="AZ2">
        <v>-45.02</v>
      </c>
      <c r="BA2">
        <v>-44.921999999999997</v>
      </c>
      <c r="BB2">
        <v>-44.823999999999998</v>
      </c>
      <c r="BC2">
        <v>-44.726999999999997</v>
      </c>
      <c r="BD2">
        <v>-44.628999999999998</v>
      </c>
      <c r="BE2">
        <v>-44.530999999999999</v>
      </c>
      <c r="BF2">
        <v>-44.433999999999997</v>
      </c>
      <c r="BG2">
        <v>-44.335999999999999</v>
      </c>
      <c r="BH2">
        <v>-44.238</v>
      </c>
      <c r="BI2">
        <v>-44.140999999999998</v>
      </c>
      <c r="BJ2">
        <v>-44.042999999999999</v>
      </c>
      <c r="BK2">
        <v>-43.945</v>
      </c>
      <c r="BL2">
        <v>-43.847999999999999</v>
      </c>
    </row>
    <row r="3" spans="1:64" x14ac:dyDescent="0.25">
      <c r="A3">
        <v>-50</v>
      </c>
      <c r="B3">
        <v>-49.902000000000001</v>
      </c>
      <c r="C3">
        <v>-49.805</v>
      </c>
      <c r="D3">
        <v>-49.707000000000001</v>
      </c>
      <c r="E3">
        <v>-49.609000000000002</v>
      </c>
      <c r="F3">
        <v>-49.512</v>
      </c>
      <c r="G3">
        <v>-49.414000000000001</v>
      </c>
      <c r="H3">
        <v>-49.316000000000003</v>
      </c>
      <c r="I3">
        <v>-49.219000000000001</v>
      </c>
      <c r="J3">
        <v>-49.121000000000002</v>
      </c>
      <c r="K3">
        <v>-49.023000000000003</v>
      </c>
      <c r="L3">
        <v>-48.926000000000002</v>
      </c>
      <c r="M3">
        <v>-48.828000000000003</v>
      </c>
      <c r="N3">
        <v>-48.73</v>
      </c>
      <c r="O3">
        <v>-48.633000000000003</v>
      </c>
      <c r="P3">
        <v>-48.534999999999997</v>
      </c>
      <c r="Q3">
        <v>-48.438000000000002</v>
      </c>
      <c r="R3">
        <v>-48.34</v>
      </c>
      <c r="S3">
        <v>-48.241999999999997</v>
      </c>
      <c r="T3">
        <v>-48.145000000000003</v>
      </c>
      <c r="U3">
        <v>-48.046999999999997</v>
      </c>
      <c r="V3">
        <v>-47.948999999999998</v>
      </c>
      <c r="W3">
        <v>-47.851999999999997</v>
      </c>
      <c r="X3">
        <v>-47.753999999999998</v>
      </c>
      <c r="Y3">
        <v>-47.655999999999999</v>
      </c>
      <c r="Z3">
        <v>-47.558999999999997</v>
      </c>
      <c r="AA3">
        <v>-47.460999999999999</v>
      </c>
      <c r="AB3">
        <v>-47.363</v>
      </c>
      <c r="AC3">
        <v>-47.265999999999998</v>
      </c>
      <c r="AD3">
        <v>-47.167999999999999</v>
      </c>
      <c r="AE3">
        <v>-47.07</v>
      </c>
      <c r="AF3">
        <v>-46.972999999999999</v>
      </c>
      <c r="AG3">
        <v>-46.875</v>
      </c>
      <c r="AH3">
        <v>-46.777000000000001</v>
      </c>
      <c r="AI3">
        <v>-46.68</v>
      </c>
      <c r="AJ3">
        <v>-46.582000000000001</v>
      </c>
      <c r="AK3">
        <v>-46.484000000000002</v>
      </c>
      <c r="AL3">
        <v>-46.387</v>
      </c>
      <c r="AM3">
        <v>-46.289000000000001</v>
      </c>
      <c r="AN3">
        <v>-46.191000000000003</v>
      </c>
      <c r="AO3">
        <v>-46.094000000000001</v>
      </c>
      <c r="AP3">
        <v>-45.996000000000002</v>
      </c>
      <c r="AQ3">
        <v>-45.898000000000003</v>
      </c>
      <c r="AR3">
        <v>-45.801000000000002</v>
      </c>
      <c r="AS3">
        <v>-45.703000000000003</v>
      </c>
      <c r="AT3">
        <v>-45.604999999999997</v>
      </c>
      <c r="AU3">
        <v>-45.508000000000003</v>
      </c>
      <c r="AV3">
        <v>-45.41</v>
      </c>
      <c r="AW3">
        <v>-45.313000000000002</v>
      </c>
      <c r="AX3">
        <v>-45.215000000000003</v>
      </c>
      <c r="AY3">
        <v>-45.116999999999997</v>
      </c>
      <c r="AZ3">
        <v>-45.02</v>
      </c>
      <c r="BA3">
        <v>-44.921999999999997</v>
      </c>
      <c r="BB3">
        <v>-44.823999999999998</v>
      </c>
      <c r="BC3">
        <v>-44.726999999999997</v>
      </c>
      <c r="BD3">
        <v>-44.628999999999998</v>
      </c>
      <c r="BE3">
        <v>-44.530999999999999</v>
      </c>
      <c r="BF3">
        <v>-44.433999999999997</v>
      </c>
      <c r="BG3">
        <v>-44.335999999999999</v>
      </c>
      <c r="BH3">
        <v>-44.238</v>
      </c>
      <c r="BI3">
        <v>-44.140999999999998</v>
      </c>
      <c r="BJ3">
        <v>-44.042999999999999</v>
      </c>
      <c r="BK3">
        <v>-43.945</v>
      </c>
      <c r="BL3">
        <v>-43.847999999999999</v>
      </c>
    </row>
    <row r="4" spans="1:64" x14ac:dyDescent="0.25">
      <c r="A4">
        <v>-50</v>
      </c>
      <c r="B4">
        <v>-49.902000000000001</v>
      </c>
      <c r="C4">
        <v>-49.805</v>
      </c>
      <c r="D4">
        <v>-49.707000000000001</v>
      </c>
      <c r="E4">
        <v>-49.609000000000002</v>
      </c>
      <c r="F4">
        <v>-49.512</v>
      </c>
      <c r="G4">
        <v>-49.414000000000001</v>
      </c>
      <c r="H4">
        <v>-49.316000000000003</v>
      </c>
      <c r="I4">
        <v>-49.219000000000001</v>
      </c>
      <c r="J4">
        <v>-49.121000000000002</v>
      </c>
      <c r="K4">
        <v>-49.023000000000003</v>
      </c>
      <c r="L4">
        <v>-48.926000000000002</v>
      </c>
      <c r="M4">
        <v>-48.828000000000003</v>
      </c>
      <c r="N4">
        <v>-48.73</v>
      </c>
      <c r="O4">
        <v>-48.633000000000003</v>
      </c>
      <c r="P4">
        <v>-48.534999999999997</v>
      </c>
      <c r="Q4">
        <v>-48.438000000000002</v>
      </c>
      <c r="R4">
        <v>-48.34</v>
      </c>
      <c r="S4">
        <v>-48.241999999999997</v>
      </c>
      <c r="T4">
        <v>-48.145000000000003</v>
      </c>
      <c r="U4">
        <v>-48.046999999999997</v>
      </c>
      <c r="V4">
        <v>-47.948999999999998</v>
      </c>
      <c r="W4">
        <v>-47.851999999999997</v>
      </c>
      <c r="X4">
        <v>-47.753999999999998</v>
      </c>
      <c r="Y4">
        <v>-47.655999999999999</v>
      </c>
      <c r="Z4">
        <v>-47.558999999999997</v>
      </c>
      <c r="AA4">
        <v>-47.460999999999999</v>
      </c>
      <c r="AB4">
        <v>-47.363</v>
      </c>
      <c r="AC4">
        <v>-47.265999999999998</v>
      </c>
      <c r="AD4">
        <v>-47.167999999999999</v>
      </c>
      <c r="AE4">
        <v>-47.07</v>
      </c>
      <c r="AF4">
        <v>-46.972999999999999</v>
      </c>
      <c r="AG4">
        <v>-46.875</v>
      </c>
      <c r="AH4">
        <v>-46.777000000000001</v>
      </c>
      <c r="AI4">
        <v>-46.68</v>
      </c>
      <c r="AJ4">
        <v>-46.582000000000001</v>
      </c>
      <c r="AK4">
        <v>-46.484000000000002</v>
      </c>
      <c r="AL4">
        <v>-46.387</v>
      </c>
      <c r="AM4">
        <v>-46.289000000000001</v>
      </c>
      <c r="AN4">
        <v>-46.191000000000003</v>
      </c>
      <c r="AO4">
        <v>-46.094000000000001</v>
      </c>
      <c r="AP4">
        <v>-45.996000000000002</v>
      </c>
      <c r="AQ4">
        <v>-45.898000000000003</v>
      </c>
      <c r="AR4">
        <v>-45.801000000000002</v>
      </c>
      <c r="AS4">
        <v>-45.703000000000003</v>
      </c>
      <c r="AT4">
        <v>-45.604999999999997</v>
      </c>
      <c r="AU4">
        <v>-45.508000000000003</v>
      </c>
      <c r="AV4">
        <v>-45.41</v>
      </c>
      <c r="AW4">
        <v>-45.313000000000002</v>
      </c>
      <c r="AX4">
        <v>-45.215000000000003</v>
      </c>
      <c r="AY4">
        <v>-45.116999999999997</v>
      </c>
      <c r="AZ4">
        <v>-45.02</v>
      </c>
      <c r="BA4">
        <v>-44.921999999999997</v>
      </c>
      <c r="BB4">
        <v>-44.823999999999998</v>
      </c>
      <c r="BC4">
        <v>-44.726999999999997</v>
      </c>
      <c r="BD4">
        <v>-44.628999999999998</v>
      </c>
      <c r="BE4">
        <v>-44.530999999999999</v>
      </c>
      <c r="BF4">
        <v>-44.433999999999997</v>
      </c>
      <c r="BG4">
        <v>-44.335999999999999</v>
      </c>
      <c r="BH4">
        <v>-44.238</v>
      </c>
      <c r="BI4">
        <v>-44.140999999999998</v>
      </c>
      <c r="BJ4">
        <v>-44.042999999999999</v>
      </c>
      <c r="BK4">
        <v>-43.945</v>
      </c>
      <c r="BL4">
        <v>-43.847999999999999</v>
      </c>
    </row>
    <row r="5" spans="1:64" x14ac:dyDescent="0.25">
      <c r="A5">
        <v>-50</v>
      </c>
      <c r="B5">
        <v>-49.902000000000001</v>
      </c>
      <c r="C5">
        <v>-49.805</v>
      </c>
      <c r="D5">
        <v>-49.707000000000001</v>
      </c>
      <c r="E5">
        <v>-49.609000000000002</v>
      </c>
      <c r="F5">
        <v>-49.512</v>
      </c>
      <c r="G5">
        <v>-49.414000000000001</v>
      </c>
      <c r="H5">
        <v>-49.316000000000003</v>
      </c>
      <c r="I5">
        <v>-49.219000000000001</v>
      </c>
      <c r="J5">
        <v>-49.121000000000002</v>
      </c>
      <c r="K5">
        <v>-49.023000000000003</v>
      </c>
      <c r="L5">
        <v>-48.926000000000002</v>
      </c>
      <c r="M5">
        <v>-48.828000000000003</v>
      </c>
      <c r="N5">
        <v>-48.73</v>
      </c>
      <c r="O5">
        <v>-48.633000000000003</v>
      </c>
      <c r="P5">
        <v>-48.534999999999997</v>
      </c>
      <c r="Q5">
        <v>-48.438000000000002</v>
      </c>
      <c r="R5">
        <v>-48.34</v>
      </c>
      <c r="S5">
        <v>-48.241999999999997</v>
      </c>
      <c r="T5">
        <v>-48.145000000000003</v>
      </c>
      <c r="U5">
        <v>-48.046999999999997</v>
      </c>
      <c r="V5">
        <v>-47.948999999999998</v>
      </c>
      <c r="W5">
        <v>-47.851999999999997</v>
      </c>
      <c r="X5">
        <v>-47.753999999999998</v>
      </c>
      <c r="Y5">
        <v>-47.655999999999999</v>
      </c>
      <c r="Z5">
        <v>-47.558999999999997</v>
      </c>
      <c r="AA5">
        <v>-47.460999999999999</v>
      </c>
      <c r="AB5">
        <v>-47.363</v>
      </c>
      <c r="AC5">
        <v>-47.265999999999998</v>
      </c>
      <c r="AD5">
        <v>-47.167999999999999</v>
      </c>
      <c r="AE5">
        <v>-47.07</v>
      </c>
      <c r="AF5">
        <v>-46.972999999999999</v>
      </c>
      <c r="AG5">
        <v>-46.875</v>
      </c>
      <c r="AH5">
        <v>-46.777000000000001</v>
      </c>
      <c r="AI5">
        <v>-46.68</v>
      </c>
      <c r="AJ5">
        <v>-46.582000000000001</v>
      </c>
      <c r="AK5">
        <v>-46.484000000000002</v>
      </c>
      <c r="AL5">
        <v>-46.387</v>
      </c>
      <c r="AM5">
        <v>-46.289000000000001</v>
      </c>
      <c r="AN5">
        <v>-46.191000000000003</v>
      </c>
      <c r="AO5">
        <v>-46.094000000000001</v>
      </c>
      <c r="AP5">
        <v>-45.996000000000002</v>
      </c>
      <c r="AQ5">
        <v>-45.898000000000003</v>
      </c>
      <c r="AR5">
        <v>-45.801000000000002</v>
      </c>
      <c r="AS5">
        <v>-45.703000000000003</v>
      </c>
      <c r="AT5">
        <v>-45.604999999999997</v>
      </c>
      <c r="AU5">
        <v>-45.508000000000003</v>
      </c>
      <c r="AV5">
        <v>-45.41</v>
      </c>
      <c r="AW5">
        <v>-45.313000000000002</v>
      </c>
      <c r="AX5">
        <v>-45.215000000000003</v>
      </c>
      <c r="AY5">
        <v>-45.116999999999997</v>
      </c>
      <c r="AZ5">
        <v>-45.02</v>
      </c>
      <c r="BA5">
        <v>-44.921999999999997</v>
      </c>
      <c r="BB5">
        <v>-44.823999999999998</v>
      </c>
      <c r="BC5">
        <v>-44.726999999999997</v>
      </c>
      <c r="BD5">
        <v>-44.628999999999998</v>
      </c>
      <c r="BE5">
        <v>-44.530999999999999</v>
      </c>
      <c r="BF5">
        <v>-44.433999999999997</v>
      </c>
      <c r="BG5">
        <v>-44.335999999999999</v>
      </c>
      <c r="BH5">
        <v>-44.238</v>
      </c>
      <c r="BI5">
        <v>-44.140999999999998</v>
      </c>
      <c r="BJ5">
        <v>-44.042999999999999</v>
      </c>
      <c r="BK5">
        <v>-43.945</v>
      </c>
      <c r="BL5">
        <v>-43.847999999999999</v>
      </c>
    </row>
    <row r="6" spans="1:64" x14ac:dyDescent="0.25">
      <c r="A6">
        <v>-50</v>
      </c>
      <c r="B6">
        <v>-49.902000000000001</v>
      </c>
      <c r="C6">
        <v>-49.805</v>
      </c>
      <c r="D6">
        <v>-49.707000000000001</v>
      </c>
      <c r="E6">
        <v>-49.609000000000002</v>
      </c>
      <c r="F6">
        <v>-49.512</v>
      </c>
      <c r="G6">
        <v>-49.414000000000001</v>
      </c>
      <c r="H6">
        <v>-49.316000000000003</v>
      </c>
      <c r="I6">
        <v>-49.219000000000001</v>
      </c>
      <c r="J6">
        <v>-49.121000000000002</v>
      </c>
      <c r="K6">
        <v>-49.023000000000003</v>
      </c>
      <c r="L6">
        <v>-48.926000000000002</v>
      </c>
      <c r="M6">
        <v>-48.828000000000003</v>
      </c>
      <c r="N6">
        <v>-48.73</v>
      </c>
      <c r="O6">
        <v>-48.633000000000003</v>
      </c>
      <c r="P6">
        <v>-48.534999999999997</v>
      </c>
      <c r="Q6">
        <v>-48.438000000000002</v>
      </c>
      <c r="R6">
        <v>-48.34</v>
      </c>
      <c r="S6">
        <v>-48.241999999999997</v>
      </c>
      <c r="T6">
        <v>-48.145000000000003</v>
      </c>
      <c r="U6">
        <v>-48.046999999999997</v>
      </c>
      <c r="V6">
        <v>-47.948999999999998</v>
      </c>
      <c r="W6">
        <v>-47.851999999999997</v>
      </c>
      <c r="X6">
        <v>-47.753999999999998</v>
      </c>
      <c r="Y6">
        <v>-47.655999999999999</v>
      </c>
      <c r="Z6">
        <v>-47.558999999999997</v>
      </c>
      <c r="AA6">
        <v>-47.460999999999999</v>
      </c>
      <c r="AB6">
        <v>-47.363</v>
      </c>
      <c r="AC6">
        <v>-47.265999999999998</v>
      </c>
      <c r="AD6">
        <v>-47.167999999999999</v>
      </c>
      <c r="AE6">
        <v>-47.07</v>
      </c>
      <c r="AF6">
        <v>-46.972999999999999</v>
      </c>
      <c r="AG6">
        <v>-46.875</v>
      </c>
      <c r="AH6">
        <v>-46.777000000000001</v>
      </c>
      <c r="AI6">
        <v>-46.68</v>
      </c>
      <c r="AJ6">
        <v>-46.582000000000001</v>
      </c>
      <c r="AK6">
        <v>-46.484000000000002</v>
      </c>
      <c r="AL6">
        <v>-46.387</v>
      </c>
      <c r="AM6">
        <v>-46.289000000000001</v>
      </c>
      <c r="AN6">
        <v>-46.191000000000003</v>
      </c>
      <c r="AO6">
        <v>-46.094000000000001</v>
      </c>
      <c r="AP6">
        <v>-45.996000000000002</v>
      </c>
      <c r="AQ6">
        <v>-45.898000000000003</v>
      </c>
      <c r="AR6">
        <v>-45.801000000000002</v>
      </c>
      <c r="AS6">
        <v>-45.703000000000003</v>
      </c>
      <c r="AT6">
        <v>-45.604999999999997</v>
      </c>
      <c r="AU6">
        <v>-45.508000000000003</v>
      </c>
      <c r="AV6">
        <v>-45.41</v>
      </c>
      <c r="AW6">
        <v>-45.313000000000002</v>
      </c>
      <c r="AX6">
        <v>-45.215000000000003</v>
      </c>
      <c r="AY6">
        <v>-45.116999999999997</v>
      </c>
      <c r="AZ6">
        <v>-45.02</v>
      </c>
      <c r="BA6">
        <v>-44.921999999999997</v>
      </c>
      <c r="BB6">
        <v>-44.823999999999998</v>
      </c>
      <c r="BC6">
        <v>-44.726999999999997</v>
      </c>
      <c r="BD6">
        <v>-44.628999999999998</v>
      </c>
      <c r="BE6">
        <v>-44.530999999999999</v>
      </c>
      <c r="BF6">
        <v>-44.433999999999997</v>
      </c>
      <c r="BG6">
        <v>-44.335999999999999</v>
      </c>
      <c r="BH6">
        <v>-44.238</v>
      </c>
      <c r="BI6">
        <v>-44.140999999999998</v>
      </c>
      <c r="BJ6">
        <v>-44.042999999999999</v>
      </c>
      <c r="BK6">
        <v>-43.945</v>
      </c>
      <c r="BL6">
        <v>-43.847999999999999</v>
      </c>
    </row>
    <row r="7" spans="1:64" x14ac:dyDescent="0.25">
      <c r="A7">
        <v>-50</v>
      </c>
      <c r="B7">
        <v>-49.902000000000001</v>
      </c>
      <c r="C7">
        <v>-49.805</v>
      </c>
      <c r="D7">
        <v>-49.707000000000001</v>
      </c>
      <c r="E7">
        <v>-49.609000000000002</v>
      </c>
      <c r="F7">
        <v>-49.512</v>
      </c>
      <c r="G7">
        <v>-49.414000000000001</v>
      </c>
      <c r="H7">
        <v>-49.316000000000003</v>
      </c>
      <c r="I7">
        <v>-49.219000000000001</v>
      </c>
      <c r="J7">
        <v>-49.121000000000002</v>
      </c>
      <c r="K7">
        <v>-49.023000000000003</v>
      </c>
      <c r="L7">
        <v>-48.926000000000002</v>
      </c>
      <c r="M7">
        <v>-48.828000000000003</v>
      </c>
      <c r="N7">
        <v>-48.73</v>
      </c>
      <c r="O7">
        <v>-48.633000000000003</v>
      </c>
      <c r="P7">
        <v>-48.534999999999997</v>
      </c>
      <c r="Q7">
        <v>-48.438000000000002</v>
      </c>
      <c r="R7">
        <v>-48.34</v>
      </c>
      <c r="S7">
        <v>-48.241999999999997</v>
      </c>
      <c r="T7">
        <v>-48.145000000000003</v>
      </c>
      <c r="U7">
        <v>-48.046999999999997</v>
      </c>
      <c r="V7">
        <v>-47.948999999999998</v>
      </c>
      <c r="W7">
        <v>-47.851999999999997</v>
      </c>
      <c r="X7">
        <v>-47.753999999999998</v>
      </c>
      <c r="Y7">
        <v>-47.655999999999999</v>
      </c>
      <c r="Z7">
        <v>-47.558999999999997</v>
      </c>
      <c r="AA7">
        <v>-47.460999999999999</v>
      </c>
      <c r="AB7">
        <v>-47.363</v>
      </c>
      <c r="AC7">
        <v>-47.265999999999998</v>
      </c>
      <c r="AD7">
        <v>-47.167999999999999</v>
      </c>
      <c r="AE7">
        <v>-47.07</v>
      </c>
      <c r="AF7">
        <v>-46.972999999999999</v>
      </c>
      <c r="AG7">
        <v>-46.875</v>
      </c>
      <c r="AH7">
        <v>-46.777000000000001</v>
      </c>
      <c r="AI7">
        <v>-46.68</v>
      </c>
      <c r="AJ7">
        <v>-46.582000000000001</v>
      </c>
      <c r="AK7">
        <v>-46.484000000000002</v>
      </c>
      <c r="AL7">
        <v>-46.387</v>
      </c>
      <c r="AM7">
        <v>-46.289000000000001</v>
      </c>
      <c r="AN7">
        <v>-46.191000000000003</v>
      </c>
      <c r="AO7">
        <v>-46.094000000000001</v>
      </c>
      <c r="AP7">
        <v>-45.996000000000002</v>
      </c>
      <c r="AQ7">
        <v>-45.898000000000003</v>
      </c>
      <c r="AR7">
        <v>-45.801000000000002</v>
      </c>
      <c r="AS7">
        <v>-45.703000000000003</v>
      </c>
      <c r="AT7">
        <v>-45.604999999999997</v>
      </c>
      <c r="AU7">
        <v>-45.508000000000003</v>
      </c>
      <c r="AV7">
        <v>-45.41</v>
      </c>
      <c r="AW7">
        <v>-45.313000000000002</v>
      </c>
      <c r="AX7">
        <v>-45.215000000000003</v>
      </c>
      <c r="AY7">
        <v>-45.116999999999997</v>
      </c>
      <c r="AZ7">
        <v>-45.02</v>
      </c>
      <c r="BA7">
        <v>-44.921999999999997</v>
      </c>
      <c r="BB7">
        <v>-44.823999999999998</v>
      </c>
      <c r="BC7">
        <v>-44.726999999999997</v>
      </c>
      <c r="BD7">
        <v>-44.628999999999998</v>
      </c>
      <c r="BE7">
        <v>-44.530999999999999</v>
      </c>
      <c r="BF7">
        <v>-44.433999999999997</v>
      </c>
      <c r="BG7">
        <v>-44.335999999999999</v>
      </c>
      <c r="BH7">
        <v>-44.238</v>
      </c>
      <c r="BI7">
        <v>-44.140999999999998</v>
      </c>
      <c r="BJ7">
        <v>-44.042999999999999</v>
      </c>
      <c r="BK7">
        <v>-43.945</v>
      </c>
      <c r="BL7">
        <v>-43.847999999999999</v>
      </c>
    </row>
    <row r="8" spans="1:64" x14ac:dyDescent="0.25">
      <c r="A8">
        <v>-50</v>
      </c>
      <c r="B8">
        <v>-49.902000000000001</v>
      </c>
      <c r="C8">
        <v>-49.805</v>
      </c>
      <c r="D8">
        <v>-49.707000000000001</v>
      </c>
      <c r="E8">
        <v>-49.609000000000002</v>
      </c>
      <c r="F8">
        <v>-49.512</v>
      </c>
      <c r="G8">
        <v>-49.414000000000001</v>
      </c>
      <c r="H8">
        <v>-49.316000000000003</v>
      </c>
      <c r="I8">
        <v>-49.219000000000001</v>
      </c>
      <c r="J8">
        <v>-49.121000000000002</v>
      </c>
      <c r="K8">
        <v>-49.023000000000003</v>
      </c>
      <c r="L8">
        <v>-48.926000000000002</v>
      </c>
      <c r="M8">
        <v>-48.828000000000003</v>
      </c>
      <c r="N8">
        <v>-48.73</v>
      </c>
      <c r="O8">
        <v>-48.633000000000003</v>
      </c>
      <c r="P8">
        <v>-48.534999999999997</v>
      </c>
      <c r="Q8">
        <v>-48.438000000000002</v>
      </c>
      <c r="R8">
        <v>-48.34</v>
      </c>
      <c r="S8">
        <v>-48.241999999999997</v>
      </c>
      <c r="T8">
        <v>-48.145000000000003</v>
      </c>
      <c r="U8">
        <v>-48.046999999999997</v>
      </c>
      <c r="V8">
        <v>-47.948999999999998</v>
      </c>
      <c r="W8">
        <v>-47.851999999999997</v>
      </c>
      <c r="X8">
        <v>-47.753999999999998</v>
      </c>
      <c r="Y8">
        <v>-47.655999999999999</v>
      </c>
      <c r="Z8">
        <v>-47.558999999999997</v>
      </c>
      <c r="AA8">
        <v>-47.460999999999999</v>
      </c>
      <c r="AB8">
        <v>-47.363</v>
      </c>
      <c r="AC8">
        <v>-47.265999999999998</v>
      </c>
      <c r="AD8">
        <v>-47.167999999999999</v>
      </c>
      <c r="AE8">
        <v>-47.07</v>
      </c>
      <c r="AF8">
        <v>-46.972999999999999</v>
      </c>
      <c r="AG8">
        <v>-46.875</v>
      </c>
      <c r="AH8">
        <v>-46.777000000000001</v>
      </c>
      <c r="AI8">
        <v>-46.68</v>
      </c>
      <c r="AJ8">
        <v>-46.582000000000001</v>
      </c>
      <c r="AK8">
        <v>-46.484000000000002</v>
      </c>
      <c r="AL8">
        <v>-46.387</v>
      </c>
      <c r="AM8">
        <v>-46.289000000000001</v>
      </c>
      <c r="AN8">
        <v>-46.191000000000003</v>
      </c>
      <c r="AO8">
        <v>-46.094000000000001</v>
      </c>
      <c r="AP8">
        <v>-45.996000000000002</v>
      </c>
      <c r="AQ8">
        <v>-45.898000000000003</v>
      </c>
      <c r="AR8">
        <v>-45.801000000000002</v>
      </c>
      <c r="AS8">
        <v>-45.703000000000003</v>
      </c>
      <c r="AT8">
        <v>-45.604999999999997</v>
      </c>
      <c r="AU8">
        <v>-45.508000000000003</v>
      </c>
      <c r="AV8">
        <v>-45.41</v>
      </c>
      <c r="AW8">
        <v>-45.313000000000002</v>
      </c>
      <c r="AX8">
        <v>-45.215000000000003</v>
      </c>
      <c r="AY8">
        <v>-45.116999999999997</v>
      </c>
      <c r="AZ8">
        <v>-45.02</v>
      </c>
      <c r="BA8">
        <v>-44.921999999999997</v>
      </c>
      <c r="BB8">
        <v>-44.823999999999998</v>
      </c>
      <c r="BC8">
        <v>-44.726999999999997</v>
      </c>
      <c r="BD8">
        <v>-44.628999999999998</v>
      </c>
      <c r="BE8">
        <v>-44.530999999999999</v>
      </c>
      <c r="BF8">
        <v>-44.433999999999997</v>
      </c>
      <c r="BG8">
        <v>-44.335999999999999</v>
      </c>
      <c r="BH8">
        <v>-44.238</v>
      </c>
      <c r="BI8">
        <v>-44.140999999999998</v>
      </c>
      <c r="BJ8">
        <v>-44.042999999999999</v>
      </c>
      <c r="BK8">
        <v>-43.945</v>
      </c>
      <c r="BL8">
        <v>-43.847999999999999</v>
      </c>
    </row>
    <row r="9" spans="1:64" x14ac:dyDescent="0.25">
      <c r="A9">
        <v>-50</v>
      </c>
      <c r="B9">
        <v>-49.902000000000001</v>
      </c>
      <c r="C9">
        <v>-49.805</v>
      </c>
      <c r="D9">
        <v>-49.707000000000001</v>
      </c>
      <c r="E9">
        <v>-49.609000000000002</v>
      </c>
      <c r="F9">
        <v>-49.512</v>
      </c>
      <c r="G9">
        <v>-49.414000000000001</v>
      </c>
      <c r="H9">
        <v>-49.316000000000003</v>
      </c>
      <c r="I9">
        <v>-49.219000000000001</v>
      </c>
      <c r="J9">
        <v>-49.121000000000002</v>
      </c>
      <c r="K9">
        <v>-49.023000000000003</v>
      </c>
      <c r="L9">
        <v>-48.926000000000002</v>
      </c>
      <c r="M9">
        <v>-48.828000000000003</v>
      </c>
      <c r="N9">
        <v>-48.73</v>
      </c>
      <c r="O9">
        <v>-48.633000000000003</v>
      </c>
      <c r="P9">
        <v>-48.534999999999997</v>
      </c>
      <c r="Q9">
        <v>-48.438000000000002</v>
      </c>
      <c r="R9">
        <v>-48.34</v>
      </c>
      <c r="S9">
        <v>-48.241999999999997</v>
      </c>
      <c r="T9">
        <v>-48.145000000000003</v>
      </c>
      <c r="U9">
        <v>-48.046999999999997</v>
      </c>
      <c r="V9">
        <v>-47.948999999999998</v>
      </c>
      <c r="W9">
        <v>-47.851999999999997</v>
      </c>
      <c r="X9">
        <v>-47.753999999999998</v>
      </c>
      <c r="Y9">
        <v>-47.655999999999999</v>
      </c>
      <c r="Z9">
        <v>-47.558999999999997</v>
      </c>
      <c r="AA9">
        <v>-47.460999999999999</v>
      </c>
      <c r="AB9">
        <v>-47.363</v>
      </c>
      <c r="AC9">
        <v>-47.265999999999998</v>
      </c>
      <c r="AD9">
        <v>-47.167999999999999</v>
      </c>
      <c r="AE9">
        <v>-47.07</v>
      </c>
      <c r="AF9">
        <v>-46.972999999999999</v>
      </c>
      <c r="AG9">
        <v>-46.875</v>
      </c>
      <c r="AH9">
        <v>-46.777000000000001</v>
      </c>
      <c r="AI9">
        <v>-46.68</v>
      </c>
      <c r="AJ9">
        <v>-46.582000000000001</v>
      </c>
      <c r="AK9">
        <v>-46.484000000000002</v>
      </c>
      <c r="AL9">
        <v>-46.387</v>
      </c>
      <c r="AM9">
        <v>-46.289000000000001</v>
      </c>
      <c r="AN9">
        <v>-46.191000000000003</v>
      </c>
      <c r="AO9">
        <v>-46.094000000000001</v>
      </c>
      <c r="AP9">
        <v>-45.996000000000002</v>
      </c>
      <c r="AQ9">
        <v>-45.898000000000003</v>
      </c>
      <c r="AR9">
        <v>-45.801000000000002</v>
      </c>
      <c r="AS9">
        <v>-45.703000000000003</v>
      </c>
      <c r="AT9">
        <v>-45.604999999999997</v>
      </c>
      <c r="AU9">
        <v>-45.508000000000003</v>
      </c>
      <c r="AV9">
        <v>-45.41</v>
      </c>
      <c r="AW9">
        <v>-45.313000000000002</v>
      </c>
      <c r="AX9">
        <v>-45.215000000000003</v>
      </c>
      <c r="AY9">
        <v>-45.116999999999997</v>
      </c>
      <c r="AZ9">
        <v>-45.02</v>
      </c>
      <c r="BA9">
        <v>-44.921999999999997</v>
      </c>
      <c r="BB9">
        <v>-44.823999999999998</v>
      </c>
      <c r="BC9">
        <v>-44.726999999999997</v>
      </c>
      <c r="BD9">
        <v>-44.628999999999998</v>
      </c>
      <c r="BE9">
        <v>-44.530999999999999</v>
      </c>
      <c r="BF9">
        <v>-44.433999999999997</v>
      </c>
      <c r="BG9">
        <v>-44.335999999999999</v>
      </c>
      <c r="BH9">
        <v>-44.238</v>
      </c>
      <c r="BI9">
        <v>-44.140999999999998</v>
      </c>
      <c r="BJ9">
        <v>-44.042999999999999</v>
      </c>
      <c r="BK9">
        <v>-43.945</v>
      </c>
      <c r="BL9">
        <v>-43.847999999999999</v>
      </c>
    </row>
    <row r="10" spans="1:64" x14ac:dyDescent="0.25">
      <c r="A10">
        <v>-50</v>
      </c>
      <c r="B10">
        <v>-49.902000000000001</v>
      </c>
      <c r="C10">
        <v>-49.805</v>
      </c>
      <c r="D10">
        <v>-49.707000000000001</v>
      </c>
      <c r="E10">
        <v>-49.609000000000002</v>
      </c>
      <c r="F10">
        <v>-49.512</v>
      </c>
      <c r="G10">
        <v>-49.414000000000001</v>
      </c>
      <c r="H10">
        <v>-49.316000000000003</v>
      </c>
      <c r="I10">
        <v>-49.219000000000001</v>
      </c>
      <c r="J10">
        <v>-49.121000000000002</v>
      </c>
      <c r="K10">
        <v>-49.023000000000003</v>
      </c>
      <c r="L10">
        <v>-48.926000000000002</v>
      </c>
      <c r="M10">
        <v>-48.828000000000003</v>
      </c>
      <c r="N10">
        <v>-48.73</v>
      </c>
      <c r="O10">
        <v>-48.633000000000003</v>
      </c>
      <c r="P10">
        <v>-48.534999999999997</v>
      </c>
      <c r="Q10">
        <v>-48.438000000000002</v>
      </c>
      <c r="R10">
        <v>-48.34</v>
      </c>
      <c r="S10">
        <v>-48.241999999999997</v>
      </c>
      <c r="T10">
        <v>-48.145000000000003</v>
      </c>
      <c r="U10">
        <v>-48.046999999999997</v>
      </c>
      <c r="V10">
        <v>-47.948999999999998</v>
      </c>
      <c r="W10">
        <v>-47.851999999999997</v>
      </c>
      <c r="X10">
        <v>-47.753999999999998</v>
      </c>
      <c r="Y10">
        <v>-47.655999999999999</v>
      </c>
      <c r="Z10">
        <v>-47.558999999999997</v>
      </c>
      <c r="AA10">
        <v>-47.460999999999999</v>
      </c>
      <c r="AB10">
        <v>-47.363</v>
      </c>
      <c r="AC10">
        <v>-47.265999999999998</v>
      </c>
      <c r="AD10">
        <v>-47.167999999999999</v>
      </c>
      <c r="AE10">
        <v>-47.07</v>
      </c>
      <c r="AF10">
        <v>-46.972999999999999</v>
      </c>
      <c r="AG10">
        <v>-46.875</v>
      </c>
      <c r="AH10">
        <v>-46.777000000000001</v>
      </c>
      <c r="AI10">
        <v>-46.68</v>
      </c>
      <c r="AJ10">
        <v>-46.582000000000001</v>
      </c>
      <c r="AK10">
        <v>-46.484000000000002</v>
      </c>
      <c r="AL10">
        <v>-46.387</v>
      </c>
      <c r="AM10">
        <v>-46.289000000000001</v>
      </c>
      <c r="AN10">
        <v>-46.191000000000003</v>
      </c>
      <c r="AO10">
        <v>-46.094000000000001</v>
      </c>
      <c r="AP10">
        <v>-45.996000000000002</v>
      </c>
      <c r="AQ10">
        <v>-45.898000000000003</v>
      </c>
      <c r="AR10">
        <v>-45.801000000000002</v>
      </c>
      <c r="AS10">
        <v>-45.703000000000003</v>
      </c>
      <c r="AT10">
        <v>-45.604999999999997</v>
      </c>
      <c r="AU10">
        <v>-45.508000000000003</v>
      </c>
      <c r="AV10">
        <v>-45.41</v>
      </c>
      <c r="AW10">
        <v>-45.313000000000002</v>
      </c>
      <c r="AX10">
        <v>-45.215000000000003</v>
      </c>
      <c r="AY10">
        <v>-45.116999999999997</v>
      </c>
      <c r="AZ10">
        <v>-45.02</v>
      </c>
      <c r="BA10">
        <v>-44.921999999999997</v>
      </c>
      <c r="BB10">
        <v>-44.823999999999998</v>
      </c>
      <c r="BC10">
        <v>-44.726999999999997</v>
      </c>
      <c r="BD10">
        <v>-44.628999999999998</v>
      </c>
      <c r="BE10">
        <v>-44.530999999999999</v>
      </c>
      <c r="BF10">
        <v>-44.433999999999997</v>
      </c>
      <c r="BG10">
        <v>-44.335999999999999</v>
      </c>
      <c r="BH10">
        <v>-44.238</v>
      </c>
      <c r="BI10">
        <v>-44.140999999999998</v>
      </c>
      <c r="BJ10">
        <v>-44.042999999999999</v>
      </c>
      <c r="BK10">
        <v>-43.945</v>
      </c>
      <c r="BL10">
        <v>-43.847999999999999</v>
      </c>
    </row>
    <row r="11" spans="1:64" x14ac:dyDescent="0.25">
      <c r="A11">
        <v>-50</v>
      </c>
      <c r="B11">
        <v>-49.902000000000001</v>
      </c>
      <c r="C11">
        <v>-49.805</v>
      </c>
      <c r="D11">
        <v>-49.707000000000001</v>
      </c>
      <c r="E11">
        <v>-49.609000000000002</v>
      </c>
      <c r="F11">
        <v>-49.512</v>
      </c>
      <c r="G11">
        <v>-49.414000000000001</v>
      </c>
      <c r="H11">
        <v>-49.316000000000003</v>
      </c>
      <c r="I11">
        <v>-49.219000000000001</v>
      </c>
      <c r="J11">
        <v>-49.121000000000002</v>
      </c>
      <c r="K11">
        <v>-49.023000000000003</v>
      </c>
      <c r="L11">
        <v>-48.926000000000002</v>
      </c>
      <c r="M11">
        <v>-48.828000000000003</v>
      </c>
      <c r="N11">
        <v>-48.73</v>
      </c>
      <c r="O11">
        <v>-48.633000000000003</v>
      </c>
      <c r="P11">
        <v>-48.534999999999997</v>
      </c>
      <c r="Q11">
        <v>-48.438000000000002</v>
      </c>
      <c r="R11">
        <v>-48.34</v>
      </c>
      <c r="S11">
        <v>-48.241999999999997</v>
      </c>
      <c r="T11">
        <v>-48.145000000000003</v>
      </c>
      <c r="U11">
        <v>-48.046999999999997</v>
      </c>
      <c r="V11">
        <v>-47.948999999999998</v>
      </c>
      <c r="W11">
        <v>-47.851999999999997</v>
      </c>
      <c r="X11">
        <v>-47.753999999999998</v>
      </c>
      <c r="Y11">
        <v>-47.655999999999999</v>
      </c>
      <c r="Z11">
        <v>-47.558999999999997</v>
      </c>
      <c r="AA11">
        <v>-47.460999999999999</v>
      </c>
      <c r="AB11">
        <v>-47.363</v>
      </c>
      <c r="AC11">
        <v>-47.265999999999998</v>
      </c>
      <c r="AD11">
        <v>-47.167999999999999</v>
      </c>
      <c r="AE11">
        <v>-47.07</v>
      </c>
      <c r="AF11">
        <v>-46.972999999999999</v>
      </c>
      <c r="AG11">
        <v>-46.875</v>
      </c>
      <c r="AH11">
        <v>-46.777000000000001</v>
      </c>
      <c r="AI11">
        <v>-46.68</v>
      </c>
      <c r="AJ11">
        <v>-46.582000000000001</v>
      </c>
      <c r="AK11">
        <v>-46.484000000000002</v>
      </c>
      <c r="AL11">
        <v>-46.387</v>
      </c>
      <c r="AM11">
        <v>-46.289000000000001</v>
      </c>
      <c r="AN11">
        <v>-46.191000000000003</v>
      </c>
      <c r="AO11">
        <v>-46.094000000000001</v>
      </c>
      <c r="AP11">
        <v>-45.996000000000002</v>
      </c>
      <c r="AQ11">
        <v>-45.898000000000003</v>
      </c>
      <c r="AR11">
        <v>-45.801000000000002</v>
      </c>
      <c r="AS11">
        <v>-45.703000000000003</v>
      </c>
      <c r="AT11">
        <v>-45.604999999999997</v>
      </c>
      <c r="AU11">
        <v>-45.508000000000003</v>
      </c>
      <c r="AV11">
        <v>-45.41</v>
      </c>
      <c r="AW11">
        <v>-45.313000000000002</v>
      </c>
      <c r="AX11">
        <v>-45.215000000000003</v>
      </c>
      <c r="AY11">
        <v>-45.116999999999997</v>
      </c>
      <c r="AZ11">
        <v>-45.02</v>
      </c>
      <c r="BA11">
        <v>-44.921999999999997</v>
      </c>
      <c r="BB11">
        <v>-44.823999999999998</v>
      </c>
      <c r="BC11">
        <v>-44.726999999999997</v>
      </c>
      <c r="BD11">
        <v>-44.628999999999998</v>
      </c>
      <c r="BE11">
        <v>-44.530999999999999</v>
      </c>
      <c r="BF11">
        <v>-44.433999999999997</v>
      </c>
      <c r="BG11">
        <v>-44.335999999999999</v>
      </c>
      <c r="BH11">
        <v>-44.238</v>
      </c>
      <c r="BI11">
        <v>-44.140999999999998</v>
      </c>
      <c r="BJ11">
        <v>-44.042999999999999</v>
      </c>
      <c r="BK11">
        <v>-43.945</v>
      </c>
      <c r="BL11">
        <v>-43.847999999999999</v>
      </c>
    </row>
    <row r="12" spans="1:64" x14ac:dyDescent="0.25">
      <c r="A12">
        <v>-50</v>
      </c>
      <c r="B12">
        <v>-49.902000000000001</v>
      </c>
      <c r="C12">
        <v>-49.805</v>
      </c>
      <c r="D12">
        <v>-49.707000000000001</v>
      </c>
      <c r="E12">
        <v>-49.609000000000002</v>
      </c>
      <c r="F12">
        <v>-49.512</v>
      </c>
      <c r="G12">
        <v>-49.414000000000001</v>
      </c>
      <c r="H12">
        <v>-49.316000000000003</v>
      </c>
      <c r="I12">
        <v>-49.219000000000001</v>
      </c>
      <c r="J12">
        <v>-49.121000000000002</v>
      </c>
      <c r="K12">
        <v>-49.023000000000003</v>
      </c>
      <c r="L12">
        <v>-48.926000000000002</v>
      </c>
      <c r="M12">
        <v>-48.828000000000003</v>
      </c>
      <c r="N12">
        <v>-48.73</v>
      </c>
      <c r="O12">
        <v>-48.633000000000003</v>
      </c>
      <c r="P12">
        <v>-48.534999999999997</v>
      </c>
      <c r="Q12">
        <v>-48.438000000000002</v>
      </c>
      <c r="R12">
        <v>-48.34</v>
      </c>
      <c r="S12">
        <v>-48.241999999999997</v>
      </c>
      <c r="T12">
        <v>-48.145000000000003</v>
      </c>
      <c r="U12">
        <v>-48.046999999999997</v>
      </c>
      <c r="V12">
        <v>-47.948999999999998</v>
      </c>
      <c r="W12">
        <v>-47.851999999999997</v>
      </c>
      <c r="X12">
        <v>-47.753999999999998</v>
      </c>
      <c r="Y12">
        <v>-47.655999999999999</v>
      </c>
      <c r="Z12">
        <v>-47.558999999999997</v>
      </c>
      <c r="AA12">
        <v>-47.460999999999999</v>
      </c>
      <c r="AB12">
        <v>-47.363</v>
      </c>
      <c r="AC12">
        <v>-47.265999999999998</v>
      </c>
      <c r="AD12">
        <v>-47.167999999999999</v>
      </c>
      <c r="AE12">
        <v>-47.07</v>
      </c>
      <c r="AF12">
        <v>-46.972999999999999</v>
      </c>
      <c r="AG12">
        <v>-46.875</v>
      </c>
      <c r="AH12">
        <v>-46.777000000000001</v>
      </c>
      <c r="AI12">
        <v>-46.68</v>
      </c>
      <c r="AJ12">
        <v>-46.582000000000001</v>
      </c>
      <c r="AK12">
        <v>-46.484000000000002</v>
      </c>
      <c r="AL12">
        <v>-46.387</v>
      </c>
      <c r="AM12">
        <v>-46.289000000000001</v>
      </c>
      <c r="AN12">
        <v>-46.191000000000003</v>
      </c>
      <c r="AO12">
        <v>-46.094000000000001</v>
      </c>
      <c r="AP12">
        <v>-45.996000000000002</v>
      </c>
      <c r="AQ12">
        <v>-45.898000000000003</v>
      </c>
      <c r="AR12">
        <v>-45.801000000000002</v>
      </c>
      <c r="AS12">
        <v>-45.703000000000003</v>
      </c>
      <c r="AT12">
        <v>-45.604999999999997</v>
      </c>
      <c r="AU12">
        <v>-45.508000000000003</v>
      </c>
      <c r="AV12">
        <v>-45.41</v>
      </c>
      <c r="AW12">
        <v>-45.313000000000002</v>
      </c>
      <c r="AX12">
        <v>-45.215000000000003</v>
      </c>
      <c r="AY12">
        <v>-45.116999999999997</v>
      </c>
      <c r="AZ12">
        <v>-45.02</v>
      </c>
      <c r="BA12">
        <v>-44.921999999999997</v>
      </c>
      <c r="BB12">
        <v>-44.823999999999998</v>
      </c>
      <c r="BC12">
        <v>-44.726999999999997</v>
      </c>
      <c r="BD12">
        <v>-44.628999999999998</v>
      </c>
      <c r="BE12">
        <v>-44.530999999999999</v>
      </c>
      <c r="BF12">
        <v>-44.433999999999997</v>
      </c>
      <c r="BG12">
        <v>-44.335999999999999</v>
      </c>
      <c r="BH12">
        <v>-44.238</v>
      </c>
      <c r="BI12">
        <v>-44.140999999999998</v>
      </c>
      <c r="BJ12">
        <v>-44.042999999999999</v>
      </c>
      <c r="BK12">
        <v>-43.945</v>
      </c>
      <c r="BL12">
        <v>-43.847999999999999</v>
      </c>
    </row>
    <row r="13" spans="1:64" x14ac:dyDescent="0.25">
      <c r="A13">
        <v>-50</v>
      </c>
      <c r="B13">
        <v>-49.902000000000001</v>
      </c>
      <c r="C13">
        <v>-49.805</v>
      </c>
      <c r="D13">
        <v>-49.707000000000001</v>
      </c>
      <c r="E13">
        <v>-49.609000000000002</v>
      </c>
      <c r="F13">
        <v>-49.512</v>
      </c>
      <c r="G13">
        <v>-49.414000000000001</v>
      </c>
      <c r="H13">
        <v>-49.316000000000003</v>
      </c>
      <c r="I13">
        <v>-49.219000000000001</v>
      </c>
      <c r="J13">
        <v>-49.121000000000002</v>
      </c>
      <c r="K13">
        <v>-49.023000000000003</v>
      </c>
      <c r="L13">
        <v>-48.926000000000002</v>
      </c>
      <c r="M13">
        <v>-48.828000000000003</v>
      </c>
      <c r="N13">
        <v>-48.73</v>
      </c>
      <c r="O13">
        <v>-48.633000000000003</v>
      </c>
      <c r="P13">
        <v>-48.534999999999997</v>
      </c>
      <c r="Q13">
        <v>-48.438000000000002</v>
      </c>
      <c r="R13">
        <v>-48.34</v>
      </c>
      <c r="S13">
        <v>-48.241999999999997</v>
      </c>
      <c r="T13">
        <v>-48.145000000000003</v>
      </c>
      <c r="U13">
        <v>-48.046999999999997</v>
      </c>
      <c r="V13">
        <v>-47.948999999999998</v>
      </c>
      <c r="W13">
        <v>-47.851999999999997</v>
      </c>
      <c r="X13">
        <v>-47.753999999999998</v>
      </c>
      <c r="Y13">
        <v>-47.655999999999999</v>
      </c>
      <c r="Z13">
        <v>-47.558999999999997</v>
      </c>
      <c r="AA13">
        <v>-47.460999999999999</v>
      </c>
      <c r="AB13">
        <v>-47.363</v>
      </c>
      <c r="AC13">
        <v>-47.265999999999998</v>
      </c>
      <c r="AD13">
        <v>-47.167999999999999</v>
      </c>
      <c r="AE13">
        <v>-47.07</v>
      </c>
      <c r="AF13">
        <v>-46.972999999999999</v>
      </c>
      <c r="AG13">
        <v>-46.875</v>
      </c>
      <c r="AH13">
        <v>-46.777000000000001</v>
      </c>
      <c r="AI13">
        <v>-46.68</v>
      </c>
      <c r="AJ13">
        <v>-46.582000000000001</v>
      </c>
      <c r="AK13">
        <v>-46.484000000000002</v>
      </c>
      <c r="AL13">
        <v>-46.387</v>
      </c>
      <c r="AM13">
        <v>-46.289000000000001</v>
      </c>
      <c r="AN13">
        <v>-46.191000000000003</v>
      </c>
      <c r="AO13">
        <v>-46.094000000000001</v>
      </c>
      <c r="AP13">
        <v>-45.996000000000002</v>
      </c>
      <c r="AQ13">
        <v>-45.898000000000003</v>
      </c>
      <c r="AR13">
        <v>-45.801000000000002</v>
      </c>
      <c r="AS13">
        <v>-45.703000000000003</v>
      </c>
      <c r="AT13">
        <v>-45.604999999999997</v>
      </c>
      <c r="AU13">
        <v>-45.508000000000003</v>
      </c>
      <c r="AV13">
        <v>-45.41</v>
      </c>
      <c r="AW13">
        <v>-45.313000000000002</v>
      </c>
      <c r="AX13">
        <v>-45.215000000000003</v>
      </c>
      <c r="AY13">
        <v>-45.116999999999997</v>
      </c>
      <c r="AZ13">
        <v>-45.02</v>
      </c>
      <c r="BA13">
        <v>-44.921999999999997</v>
      </c>
      <c r="BB13">
        <v>-44.823999999999998</v>
      </c>
      <c r="BC13">
        <v>-44.726999999999997</v>
      </c>
      <c r="BD13">
        <v>-44.628999999999998</v>
      </c>
      <c r="BE13">
        <v>-44.530999999999999</v>
      </c>
      <c r="BF13">
        <v>-44.433999999999997</v>
      </c>
      <c r="BG13">
        <v>-44.335999999999999</v>
      </c>
      <c r="BH13">
        <v>-44.238</v>
      </c>
      <c r="BI13">
        <v>-44.140999999999998</v>
      </c>
      <c r="BJ13">
        <v>-44.042999999999999</v>
      </c>
      <c r="BK13">
        <v>-43.945</v>
      </c>
      <c r="BL13">
        <v>-43.847999999999999</v>
      </c>
    </row>
    <row r="14" spans="1:64" x14ac:dyDescent="0.25">
      <c r="A14">
        <v>-50</v>
      </c>
      <c r="B14">
        <v>-49.902000000000001</v>
      </c>
      <c r="C14">
        <v>-49.805</v>
      </c>
      <c r="D14">
        <v>-49.707000000000001</v>
      </c>
      <c r="E14">
        <v>-49.609000000000002</v>
      </c>
      <c r="F14">
        <v>-49.512</v>
      </c>
      <c r="G14">
        <v>-49.414000000000001</v>
      </c>
      <c r="H14">
        <v>-49.316000000000003</v>
      </c>
      <c r="I14">
        <v>-49.219000000000001</v>
      </c>
      <c r="J14">
        <v>-49.121000000000002</v>
      </c>
      <c r="K14">
        <v>-49.023000000000003</v>
      </c>
      <c r="L14">
        <v>-48.926000000000002</v>
      </c>
      <c r="M14">
        <v>-48.828000000000003</v>
      </c>
      <c r="N14">
        <v>-48.73</v>
      </c>
      <c r="O14">
        <v>-48.633000000000003</v>
      </c>
      <c r="P14">
        <v>-48.534999999999997</v>
      </c>
      <c r="Q14">
        <v>-48.438000000000002</v>
      </c>
      <c r="R14">
        <v>-48.34</v>
      </c>
      <c r="S14">
        <v>-48.241999999999997</v>
      </c>
      <c r="T14">
        <v>-48.145000000000003</v>
      </c>
      <c r="U14">
        <v>-48.046999999999997</v>
      </c>
      <c r="V14">
        <v>-47.948999999999998</v>
      </c>
      <c r="W14">
        <v>-47.851999999999997</v>
      </c>
      <c r="X14">
        <v>-47.753999999999998</v>
      </c>
      <c r="Y14">
        <v>-47.655999999999999</v>
      </c>
      <c r="Z14">
        <v>-47.558999999999997</v>
      </c>
      <c r="AA14">
        <v>-47.460999999999999</v>
      </c>
      <c r="AB14">
        <v>-47.363</v>
      </c>
      <c r="AC14">
        <v>-47.265999999999998</v>
      </c>
      <c r="AD14">
        <v>-47.167999999999999</v>
      </c>
      <c r="AE14">
        <v>-47.07</v>
      </c>
      <c r="AF14">
        <v>-46.972999999999999</v>
      </c>
      <c r="AG14">
        <v>-46.875</v>
      </c>
      <c r="AH14">
        <v>-46.777000000000001</v>
      </c>
      <c r="AI14">
        <v>-46.68</v>
      </c>
      <c r="AJ14">
        <v>-46.582000000000001</v>
      </c>
      <c r="AK14">
        <v>-46.484000000000002</v>
      </c>
      <c r="AL14">
        <v>-46.387</v>
      </c>
      <c r="AM14">
        <v>-46.289000000000001</v>
      </c>
      <c r="AN14">
        <v>-46.191000000000003</v>
      </c>
      <c r="AO14">
        <v>-46.094000000000001</v>
      </c>
      <c r="AP14">
        <v>-45.996000000000002</v>
      </c>
      <c r="AQ14">
        <v>-45.898000000000003</v>
      </c>
      <c r="AR14">
        <v>-45.801000000000002</v>
      </c>
      <c r="AS14">
        <v>-45.703000000000003</v>
      </c>
      <c r="AT14">
        <v>-45.604999999999997</v>
      </c>
      <c r="AU14">
        <v>-45.508000000000003</v>
      </c>
      <c r="AV14">
        <v>-45.41</v>
      </c>
      <c r="AW14">
        <v>-45.313000000000002</v>
      </c>
      <c r="AX14">
        <v>-45.215000000000003</v>
      </c>
      <c r="AY14">
        <v>-45.116999999999997</v>
      </c>
      <c r="AZ14">
        <v>-45.02</v>
      </c>
      <c r="BA14">
        <v>-44.921999999999997</v>
      </c>
      <c r="BB14">
        <v>-44.823999999999998</v>
      </c>
      <c r="BC14">
        <v>-44.726999999999997</v>
      </c>
      <c r="BD14">
        <v>-44.628999999999998</v>
      </c>
      <c r="BE14">
        <v>-44.530999999999999</v>
      </c>
      <c r="BF14">
        <v>-44.433999999999997</v>
      </c>
      <c r="BG14">
        <v>-44.335999999999999</v>
      </c>
      <c r="BH14">
        <v>-44.238</v>
      </c>
      <c r="BI14">
        <v>-44.140999999999998</v>
      </c>
      <c r="BJ14">
        <v>-44.042999999999999</v>
      </c>
      <c r="BK14">
        <v>-43.945</v>
      </c>
      <c r="BL14">
        <v>-43.847999999999999</v>
      </c>
    </row>
    <row r="15" spans="1:64" x14ac:dyDescent="0.25">
      <c r="A15">
        <v>-50</v>
      </c>
      <c r="B15">
        <v>-49.902000000000001</v>
      </c>
      <c r="C15">
        <v>-49.805</v>
      </c>
      <c r="D15">
        <v>-49.707000000000001</v>
      </c>
      <c r="E15">
        <v>-49.609000000000002</v>
      </c>
      <c r="F15">
        <v>-49.512</v>
      </c>
      <c r="G15">
        <v>-49.414000000000001</v>
      </c>
      <c r="H15">
        <v>-49.316000000000003</v>
      </c>
      <c r="I15">
        <v>-49.219000000000001</v>
      </c>
      <c r="J15">
        <v>-49.121000000000002</v>
      </c>
      <c r="K15">
        <v>-49.023000000000003</v>
      </c>
      <c r="L15">
        <v>-48.926000000000002</v>
      </c>
      <c r="M15">
        <v>-48.828000000000003</v>
      </c>
      <c r="N15">
        <v>-48.73</v>
      </c>
      <c r="O15">
        <v>-48.633000000000003</v>
      </c>
      <c r="P15">
        <v>-48.534999999999997</v>
      </c>
      <c r="Q15">
        <v>-48.438000000000002</v>
      </c>
      <c r="R15">
        <v>-48.34</v>
      </c>
      <c r="S15">
        <v>-48.241999999999997</v>
      </c>
      <c r="T15">
        <v>-48.145000000000003</v>
      </c>
      <c r="U15">
        <v>-48.046999999999997</v>
      </c>
      <c r="V15">
        <v>-47.948999999999998</v>
      </c>
      <c r="W15">
        <v>-47.851999999999997</v>
      </c>
      <c r="X15">
        <v>-47.753999999999998</v>
      </c>
      <c r="Y15">
        <v>-47.655999999999999</v>
      </c>
      <c r="Z15">
        <v>-47.558999999999997</v>
      </c>
      <c r="AA15">
        <v>-47.460999999999999</v>
      </c>
      <c r="AB15">
        <v>-47.363</v>
      </c>
      <c r="AC15">
        <v>-47.265999999999998</v>
      </c>
      <c r="AD15">
        <v>-47.167999999999999</v>
      </c>
      <c r="AE15">
        <v>-47.07</v>
      </c>
      <c r="AF15">
        <v>-46.972999999999999</v>
      </c>
      <c r="AG15">
        <v>-46.875</v>
      </c>
      <c r="AH15">
        <v>-46.777000000000001</v>
      </c>
      <c r="AI15">
        <v>-46.68</v>
      </c>
      <c r="AJ15">
        <v>-46.582000000000001</v>
      </c>
      <c r="AK15">
        <v>-46.484000000000002</v>
      </c>
      <c r="AL15">
        <v>-46.387</v>
      </c>
      <c r="AM15">
        <v>-46.289000000000001</v>
      </c>
      <c r="AN15">
        <v>-46.191000000000003</v>
      </c>
      <c r="AO15">
        <v>-46.094000000000001</v>
      </c>
      <c r="AP15">
        <v>-45.996000000000002</v>
      </c>
      <c r="AQ15">
        <v>-45.898000000000003</v>
      </c>
      <c r="AR15">
        <v>-45.801000000000002</v>
      </c>
      <c r="AS15">
        <v>-45.703000000000003</v>
      </c>
      <c r="AT15">
        <v>-45.604999999999997</v>
      </c>
      <c r="AU15">
        <v>-45.508000000000003</v>
      </c>
      <c r="AV15">
        <v>-45.41</v>
      </c>
      <c r="AW15">
        <v>-45.313000000000002</v>
      </c>
      <c r="AX15">
        <v>-45.215000000000003</v>
      </c>
      <c r="AY15">
        <v>-45.116999999999997</v>
      </c>
      <c r="AZ15">
        <v>-45.02</v>
      </c>
      <c r="BA15">
        <v>-44.921999999999997</v>
      </c>
      <c r="BB15">
        <v>-44.823999999999998</v>
      </c>
      <c r="BC15">
        <v>-44.726999999999997</v>
      </c>
      <c r="BD15">
        <v>-44.628999999999998</v>
      </c>
      <c r="BE15">
        <v>-44.530999999999999</v>
      </c>
      <c r="BF15">
        <v>-44.433999999999997</v>
      </c>
      <c r="BG15">
        <v>-44.335999999999999</v>
      </c>
      <c r="BH15">
        <v>-44.238</v>
      </c>
      <c r="BI15">
        <v>-44.140999999999998</v>
      </c>
      <c r="BJ15">
        <v>-44.042999999999999</v>
      </c>
      <c r="BK15">
        <v>-43.945</v>
      </c>
      <c r="BL15">
        <v>-43.847999999999999</v>
      </c>
    </row>
    <row r="16" spans="1:64" x14ac:dyDescent="0.25">
      <c r="A16">
        <v>-50</v>
      </c>
      <c r="B16">
        <v>-49.902000000000001</v>
      </c>
      <c r="C16">
        <v>-49.805</v>
      </c>
      <c r="D16">
        <v>-49.707000000000001</v>
      </c>
      <c r="E16">
        <v>-49.609000000000002</v>
      </c>
      <c r="F16">
        <v>-49.512</v>
      </c>
      <c r="G16">
        <v>-49.414000000000001</v>
      </c>
      <c r="H16">
        <v>-49.316000000000003</v>
      </c>
      <c r="I16">
        <v>-49.219000000000001</v>
      </c>
      <c r="J16">
        <v>-49.121000000000002</v>
      </c>
      <c r="K16">
        <v>-49.023000000000003</v>
      </c>
      <c r="L16">
        <v>-48.926000000000002</v>
      </c>
      <c r="M16">
        <v>-48.828000000000003</v>
      </c>
      <c r="N16">
        <v>-48.73</v>
      </c>
      <c r="O16">
        <v>-48.633000000000003</v>
      </c>
      <c r="P16">
        <v>-48.534999999999997</v>
      </c>
      <c r="Q16">
        <v>-48.438000000000002</v>
      </c>
      <c r="R16">
        <v>-48.34</v>
      </c>
      <c r="S16">
        <v>-48.241999999999997</v>
      </c>
      <c r="T16">
        <v>-48.145000000000003</v>
      </c>
      <c r="U16">
        <v>-48.046999999999997</v>
      </c>
      <c r="V16">
        <v>-47.948999999999998</v>
      </c>
      <c r="W16">
        <v>-47.851999999999997</v>
      </c>
      <c r="X16">
        <v>-47.753999999999998</v>
      </c>
      <c r="Y16">
        <v>-47.655999999999999</v>
      </c>
      <c r="Z16">
        <v>-47.558999999999997</v>
      </c>
      <c r="AA16">
        <v>-47.460999999999999</v>
      </c>
      <c r="AB16">
        <v>-47.363</v>
      </c>
      <c r="AC16">
        <v>-47.265999999999998</v>
      </c>
      <c r="AD16">
        <v>-47.167999999999999</v>
      </c>
      <c r="AE16">
        <v>-47.07</v>
      </c>
      <c r="AF16">
        <v>-46.972999999999999</v>
      </c>
      <c r="AG16">
        <v>-46.875</v>
      </c>
      <c r="AH16">
        <v>-46.777000000000001</v>
      </c>
      <c r="AI16">
        <v>-46.68</v>
      </c>
      <c r="AJ16">
        <v>-46.582000000000001</v>
      </c>
      <c r="AK16">
        <v>-46.484000000000002</v>
      </c>
      <c r="AL16">
        <v>-46.387</v>
      </c>
      <c r="AM16">
        <v>-46.289000000000001</v>
      </c>
      <c r="AN16">
        <v>-46.191000000000003</v>
      </c>
      <c r="AO16">
        <v>-46.094000000000001</v>
      </c>
      <c r="AP16">
        <v>-45.996000000000002</v>
      </c>
      <c r="AQ16">
        <v>-45.898000000000003</v>
      </c>
      <c r="AR16">
        <v>-45.801000000000002</v>
      </c>
      <c r="AS16">
        <v>-45.703000000000003</v>
      </c>
      <c r="AT16">
        <v>-45.604999999999997</v>
      </c>
      <c r="AU16">
        <v>-45.508000000000003</v>
      </c>
      <c r="AV16">
        <v>-45.41</v>
      </c>
      <c r="AW16">
        <v>-45.313000000000002</v>
      </c>
      <c r="AX16">
        <v>-45.215000000000003</v>
      </c>
      <c r="AY16">
        <v>-45.116999999999997</v>
      </c>
      <c r="AZ16">
        <v>-45.02</v>
      </c>
      <c r="BA16">
        <v>-44.921999999999997</v>
      </c>
      <c r="BB16">
        <v>-44.823999999999998</v>
      </c>
      <c r="BC16">
        <v>-44.726999999999997</v>
      </c>
      <c r="BD16">
        <v>-44.628999999999998</v>
      </c>
      <c r="BE16">
        <v>-44.530999999999999</v>
      </c>
      <c r="BF16">
        <v>-44.433999999999997</v>
      </c>
      <c r="BG16">
        <v>-44.335999999999999</v>
      </c>
      <c r="BH16">
        <v>-44.238</v>
      </c>
      <c r="BI16">
        <v>-44.140999999999998</v>
      </c>
      <c r="BJ16">
        <v>-44.042999999999999</v>
      </c>
      <c r="BK16">
        <v>-43.945</v>
      </c>
      <c r="BL16">
        <v>-43.847999999999999</v>
      </c>
    </row>
    <row r="17" spans="1:64" x14ac:dyDescent="0.25">
      <c r="A17">
        <v>-50</v>
      </c>
      <c r="B17">
        <v>-49.902000000000001</v>
      </c>
      <c r="C17">
        <v>-49.805</v>
      </c>
      <c r="D17">
        <v>-49.707000000000001</v>
      </c>
      <c r="E17">
        <v>-49.609000000000002</v>
      </c>
      <c r="F17">
        <v>-49.512</v>
      </c>
      <c r="G17">
        <v>-49.414000000000001</v>
      </c>
      <c r="H17">
        <v>-49.316000000000003</v>
      </c>
      <c r="I17">
        <v>-49.219000000000001</v>
      </c>
      <c r="J17">
        <v>-49.121000000000002</v>
      </c>
      <c r="K17">
        <v>-49.023000000000003</v>
      </c>
      <c r="L17">
        <v>-48.926000000000002</v>
      </c>
      <c r="M17">
        <v>-48.828000000000003</v>
      </c>
      <c r="N17">
        <v>-48.73</v>
      </c>
      <c r="O17">
        <v>-48.633000000000003</v>
      </c>
      <c r="P17">
        <v>-48.534999999999997</v>
      </c>
      <c r="Q17">
        <v>-48.438000000000002</v>
      </c>
      <c r="R17">
        <v>-48.34</v>
      </c>
      <c r="S17">
        <v>-48.241999999999997</v>
      </c>
      <c r="T17">
        <v>-48.145000000000003</v>
      </c>
      <c r="U17">
        <v>-48.046999999999997</v>
      </c>
      <c r="V17">
        <v>-47.948999999999998</v>
      </c>
      <c r="W17">
        <v>-47.851999999999997</v>
      </c>
      <c r="X17">
        <v>-47.753999999999998</v>
      </c>
      <c r="Y17">
        <v>-47.655999999999999</v>
      </c>
      <c r="Z17">
        <v>-47.558999999999997</v>
      </c>
      <c r="AA17">
        <v>-47.460999999999999</v>
      </c>
      <c r="AB17">
        <v>-47.363</v>
      </c>
      <c r="AC17">
        <v>-47.265999999999998</v>
      </c>
      <c r="AD17">
        <v>-47.167999999999999</v>
      </c>
      <c r="AE17">
        <v>-47.07</v>
      </c>
      <c r="AF17">
        <v>-46.972999999999999</v>
      </c>
      <c r="AG17">
        <v>-46.875</v>
      </c>
      <c r="AH17">
        <v>-46.777000000000001</v>
      </c>
      <c r="AI17">
        <v>-46.68</v>
      </c>
      <c r="AJ17">
        <v>-46.582000000000001</v>
      </c>
      <c r="AK17">
        <v>-46.484000000000002</v>
      </c>
      <c r="AL17">
        <v>-46.387</v>
      </c>
      <c r="AM17">
        <v>-46.289000000000001</v>
      </c>
      <c r="AN17">
        <v>-46.191000000000003</v>
      </c>
      <c r="AO17">
        <v>-46.094000000000001</v>
      </c>
      <c r="AP17">
        <v>-45.996000000000002</v>
      </c>
      <c r="AQ17">
        <v>-45.898000000000003</v>
      </c>
      <c r="AR17">
        <v>-45.801000000000002</v>
      </c>
      <c r="AS17">
        <v>-45.703000000000003</v>
      </c>
      <c r="AT17">
        <v>-45.604999999999997</v>
      </c>
      <c r="AU17">
        <v>-45.508000000000003</v>
      </c>
      <c r="AV17">
        <v>-45.41</v>
      </c>
      <c r="AW17">
        <v>-45.313000000000002</v>
      </c>
      <c r="AX17">
        <v>-45.215000000000003</v>
      </c>
      <c r="AY17">
        <v>-45.116999999999997</v>
      </c>
      <c r="AZ17">
        <v>-45.02</v>
      </c>
      <c r="BA17">
        <v>-44.921999999999997</v>
      </c>
      <c r="BB17">
        <v>-44.823999999999998</v>
      </c>
      <c r="BC17">
        <v>-44.726999999999997</v>
      </c>
      <c r="BD17">
        <v>-44.628999999999998</v>
      </c>
      <c r="BE17">
        <v>-44.530999999999999</v>
      </c>
      <c r="BF17">
        <v>-44.433999999999997</v>
      </c>
      <c r="BG17">
        <v>-44.335999999999999</v>
      </c>
      <c r="BH17">
        <v>-44.238</v>
      </c>
      <c r="BI17">
        <v>-44.140999999999998</v>
      </c>
      <c r="BJ17">
        <v>-44.042999999999999</v>
      </c>
      <c r="BK17">
        <v>-43.945</v>
      </c>
      <c r="BL17">
        <v>-43.847999999999999</v>
      </c>
    </row>
    <row r="18" spans="1:64" x14ac:dyDescent="0.25">
      <c r="A18">
        <v>-50</v>
      </c>
      <c r="B18">
        <v>-49.902000000000001</v>
      </c>
      <c r="C18">
        <v>-49.805</v>
      </c>
      <c r="D18">
        <v>-49.707000000000001</v>
      </c>
      <c r="E18">
        <v>-49.609000000000002</v>
      </c>
      <c r="F18">
        <v>-49.512</v>
      </c>
      <c r="G18">
        <v>-49.414000000000001</v>
      </c>
      <c r="H18">
        <v>-49.316000000000003</v>
      </c>
      <c r="I18">
        <v>-49.219000000000001</v>
      </c>
      <c r="J18">
        <v>-49.121000000000002</v>
      </c>
      <c r="K18">
        <v>-49.023000000000003</v>
      </c>
      <c r="L18">
        <v>-48.926000000000002</v>
      </c>
      <c r="M18">
        <v>-48.828000000000003</v>
      </c>
      <c r="N18">
        <v>-48.73</v>
      </c>
      <c r="O18">
        <v>-48.633000000000003</v>
      </c>
      <c r="P18">
        <v>-48.534999999999997</v>
      </c>
      <c r="Q18">
        <v>-48.438000000000002</v>
      </c>
      <c r="R18">
        <v>-48.34</v>
      </c>
      <c r="S18">
        <v>-48.241999999999997</v>
      </c>
      <c r="T18">
        <v>-48.145000000000003</v>
      </c>
      <c r="U18">
        <v>-48.046999999999997</v>
      </c>
      <c r="V18">
        <v>-47.948999999999998</v>
      </c>
      <c r="W18">
        <v>-47.851999999999997</v>
      </c>
      <c r="X18">
        <v>-47.753999999999998</v>
      </c>
      <c r="Y18">
        <v>-47.655999999999999</v>
      </c>
      <c r="Z18">
        <v>-47.558999999999997</v>
      </c>
      <c r="AA18">
        <v>-47.460999999999999</v>
      </c>
      <c r="AB18">
        <v>-47.363</v>
      </c>
      <c r="AC18">
        <v>-47.265999999999998</v>
      </c>
      <c r="AD18">
        <v>-47.167999999999999</v>
      </c>
      <c r="AE18">
        <v>-47.07</v>
      </c>
      <c r="AF18">
        <v>-46.972999999999999</v>
      </c>
      <c r="AG18">
        <v>-46.875</v>
      </c>
      <c r="AH18">
        <v>-46.777000000000001</v>
      </c>
      <c r="AI18">
        <v>-46.68</v>
      </c>
      <c r="AJ18">
        <v>-46.582000000000001</v>
      </c>
      <c r="AK18">
        <v>-46.484000000000002</v>
      </c>
      <c r="AL18">
        <v>-46.387</v>
      </c>
      <c r="AM18">
        <v>-46.289000000000001</v>
      </c>
      <c r="AN18">
        <v>-46.191000000000003</v>
      </c>
      <c r="AO18">
        <v>-46.094000000000001</v>
      </c>
      <c r="AP18">
        <v>-45.996000000000002</v>
      </c>
      <c r="AQ18">
        <v>-45.898000000000003</v>
      </c>
      <c r="AR18">
        <v>-45.801000000000002</v>
      </c>
      <c r="AS18">
        <v>-45.703000000000003</v>
      </c>
      <c r="AT18">
        <v>-45.604999999999997</v>
      </c>
      <c r="AU18">
        <v>-45.508000000000003</v>
      </c>
      <c r="AV18">
        <v>-45.41</v>
      </c>
      <c r="AW18">
        <v>-45.313000000000002</v>
      </c>
      <c r="AX18">
        <v>-45.215000000000003</v>
      </c>
      <c r="AY18">
        <v>-45.116999999999997</v>
      </c>
      <c r="AZ18">
        <v>-45.02</v>
      </c>
      <c r="BA18">
        <v>-44.921999999999997</v>
      </c>
      <c r="BB18">
        <v>-44.823999999999998</v>
      </c>
      <c r="BC18">
        <v>-44.726999999999997</v>
      </c>
      <c r="BD18">
        <v>-44.628999999999998</v>
      </c>
      <c r="BE18">
        <v>-44.530999999999999</v>
      </c>
      <c r="BF18">
        <v>-44.433999999999997</v>
      </c>
      <c r="BG18">
        <v>-44.335999999999999</v>
      </c>
      <c r="BH18">
        <v>-44.238</v>
      </c>
      <c r="BI18">
        <v>-44.140999999999998</v>
      </c>
      <c r="BJ18">
        <v>-44.042999999999999</v>
      </c>
      <c r="BK18">
        <v>-43.945</v>
      </c>
      <c r="BL18">
        <v>-43.847999999999999</v>
      </c>
    </row>
    <row r="19" spans="1:64" x14ac:dyDescent="0.25">
      <c r="A19">
        <v>-50</v>
      </c>
      <c r="B19">
        <v>-49.902000000000001</v>
      </c>
      <c r="C19">
        <v>-49.805</v>
      </c>
      <c r="D19">
        <v>-49.707000000000001</v>
      </c>
      <c r="E19">
        <v>-49.609000000000002</v>
      </c>
      <c r="F19">
        <v>-49.512</v>
      </c>
      <c r="G19">
        <v>-49.414000000000001</v>
      </c>
      <c r="H19">
        <v>-49.316000000000003</v>
      </c>
      <c r="I19">
        <v>-49.219000000000001</v>
      </c>
      <c r="J19">
        <v>-49.121000000000002</v>
      </c>
      <c r="K19">
        <v>-49.023000000000003</v>
      </c>
      <c r="L19">
        <v>-48.926000000000002</v>
      </c>
      <c r="M19">
        <v>-48.828000000000003</v>
      </c>
      <c r="N19">
        <v>-48.73</v>
      </c>
      <c r="O19">
        <v>-48.633000000000003</v>
      </c>
      <c r="P19">
        <v>-48.534999999999997</v>
      </c>
      <c r="Q19">
        <v>-48.438000000000002</v>
      </c>
      <c r="R19">
        <v>-48.34</v>
      </c>
      <c r="S19">
        <v>-48.241999999999997</v>
      </c>
      <c r="T19">
        <v>-48.145000000000003</v>
      </c>
      <c r="U19">
        <v>-48.046999999999997</v>
      </c>
      <c r="V19">
        <v>-47.948999999999998</v>
      </c>
      <c r="W19">
        <v>-47.851999999999997</v>
      </c>
      <c r="X19">
        <v>-47.753999999999998</v>
      </c>
      <c r="Y19">
        <v>-47.655999999999999</v>
      </c>
      <c r="Z19">
        <v>-47.558999999999997</v>
      </c>
      <c r="AA19">
        <v>-47.460999999999999</v>
      </c>
      <c r="AB19">
        <v>-47.363</v>
      </c>
      <c r="AC19">
        <v>-47.265999999999998</v>
      </c>
      <c r="AD19">
        <v>-47.167999999999999</v>
      </c>
      <c r="AE19">
        <v>-47.07</v>
      </c>
      <c r="AF19">
        <v>-46.972999999999999</v>
      </c>
      <c r="AG19">
        <v>-46.875</v>
      </c>
      <c r="AH19">
        <v>-46.777000000000001</v>
      </c>
      <c r="AI19">
        <v>-46.68</v>
      </c>
      <c r="AJ19">
        <v>-46.582000000000001</v>
      </c>
      <c r="AK19">
        <v>-46.484000000000002</v>
      </c>
      <c r="AL19">
        <v>-46.387</v>
      </c>
      <c r="AM19">
        <v>-46.289000000000001</v>
      </c>
      <c r="AN19">
        <v>-46.191000000000003</v>
      </c>
      <c r="AO19">
        <v>-46.094000000000001</v>
      </c>
      <c r="AP19">
        <v>-45.996000000000002</v>
      </c>
      <c r="AQ19">
        <v>-45.898000000000003</v>
      </c>
      <c r="AR19">
        <v>-45.801000000000002</v>
      </c>
      <c r="AS19">
        <v>-45.703000000000003</v>
      </c>
      <c r="AT19">
        <v>-45.604999999999997</v>
      </c>
      <c r="AU19">
        <v>-45.508000000000003</v>
      </c>
      <c r="AV19">
        <v>-45.41</v>
      </c>
      <c r="AW19">
        <v>-45.313000000000002</v>
      </c>
      <c r="AX19">
        <v>-45.215000000000003</v>
      </c>
      <c r="AY19">
        <v>-45.116999999999997</v>
      </c>
      <c r="AZ19">
        <v>-45.02</v>
      </c>
      <c r="BA19">
        <v>-44.921999999999997</v>
      </c>
      <c r="BB19">
        <v>-44.823999999999998</v>
      </c>
      <c r="BC19">
        <v>-44.726999999999997</v>
      </c>
      <c r="BD19">
        <v>-44.628999999999998</v>
      </c>
      <c r="BE19">
        <v>-44.530999999999999</v>
      </c>
      <c r="BF19">
        <v>-44.433999999999997</v>
      </c>
      <c r="BG19">
        <v>-44.335999999999999</v>
      </c>
      <c r="BH19">
        <v>-44.238</v>
      </c>
      <c r="BI19">
        <v>-44.140999999999998</v>
      </c>
      <c r="BJ19">
        <v>-44.042999999999999</v>
      </c>
      <c r="BK19">
        <v>-43.945</v>
      </c>
      <c r="BL19">
        <v>-43.847999999999999</v>
      </c>
    </row>
    <row r="20" spans="1:64" x14ac:dyDescent="0.25">
      <c r="A20">
        <v>-50</v>
      </c>
      <c r="B20">
        <v>-49.902000000000001</v>
      </c>
      <c r="C20">
        <v>-49.805</v>
      </c>
      <c r="D20">
        <v>-49.707000000000001</v>
      </c>
      <c r="E20">
        <v>-49.609000000000002</v>
      </c>
      <c r="F20">
        <v>-49.512</v>
      </c>
      <c r="G20">
        <v>-49.414000000000001</v>
      </c>
      <c r="H20">
        <v>-49.316000000000003</v>
      </c>
      <c r="I20">
        <v>-49.219000000000001</v>
      </c>
      <c r="J20">
        <v>-49.121000000000002</v>
      </c>
      <c r="K20">
        <v>-49.023000000000003</v>
      </c>
      <c r="L20">
        <v>-48.926000000000002</v>
      </c>
      <c r="M20">
        <v>-48.828000000000003</v>
      </c>
      <c r="N20">
        <v>-48.73</v>
      </c>
      <c r="O20">
        <v>-48.633000000000003</v>
      </c>
      <c r="P20">
        <v>-48.534999999999997</v>
      </c>
      <c r="Q20">
        <v>-48.438000000000002</v>
      </c>
      <c r="R20">
        <v>-48.34</v>
      </c>
      <c r="S20">
        <v>-48.241999999999997</v>
      </c>
      <c r="T20">
        <v>-48.145000000000003</v>
      </c>
      <c r="U20">
        <v>-48.046999999999997</v>
      </c>
      <c r="V20">
        <v>-47.948999999999998</v>
      </c>
      <c r="W20">
        <v>-47.851999999999997</v>
      </c>
      <c r="X20">
        <v>-47.753999999999998</v>
      </c>
      <c r="Y20">
        <v>-47.655999999999999</v>
      </c>
      <c r="Z20">
        <v>-47.558999999999997</v>
      </c>
      <c r="AA20">
        <v>-47.460999999999999</v>
      </c>
      <c r="AB20">
        <v>-47.363</v>
      </c>
      <c r="AC20">
        <v>-47.265999999999998</v>
      </c>
      <c r="AD20">
        <v>-47.167999999999999</v>
      </c>
      <c r="AE20">
        <v>-47.07</v>
      </c>
      <c r="AF20">
        <v>-46.972999999999999</v>
      </c>
      <c r="AG20">
        <v>-46.875</v>
      </c>
      <c r="AH20">
        <v>-46.777000000000001</v>
      </c>
      <c r="AI20">
        <v>-46.68</v>
      </c>
      <c r="AJ20">
        <v>-46.582000000000001</v>
      </c>
      <c r="AK20">
        <v>-46.484000000000002</v>
      </c>
      <c r="AL20">
        <v>-46.387</v>
      </c>
      <c r="AM20">
        <v>-46.289000000000001</v>
      </c>
      <c r="AN20">
        <v>-46.191000000000003</v>
      </c>
      <c r="AO20">
        <v>-46.094000000000001</v>
      </c>
      <c r="AP20">
        <v>-45.996000000000002</v>
      </c>
      <c r="AQ20">
        <v>-45.898000000000003</v>
      </c>
      <c r="AR20">
        <v>-45.801000000000002</v>
      </c>
      <c r="AS20">
        <v>-45.703000000000003</v>
      </c>
      <c r="AT20">
        <v>-45.604999999999997</v>
      </c>
      <c r="AU20">
        <v>-45.508000000000003</v>
      </c>
      <c r="AV20">
        <v>-45.41</v>
      </c>
      <c r="AW20">
        <v>-45.313000000000002</v>
      </c>
      <c r="AX20">
        <v>-45.215000000000003</v>
      </c>
      <c r="AY20">
        <v>-45.116999999999997</v>
      </c>
      <c r="AZ20">
        <v>-45.02</v>
      </c>
      <c r="BA20">
        <v>-44.921999999999997</v>
      </c>
      <c r="BB20">
        <v>-44.823999999999998</v>
      </c>
      <c r="BC20">
        <v>-44.726999999999997</v>
      </c>
      <c r="BD20">
        <v>-44.628999999999998</v>
      </c>
      <c r="BE20">
        <v>-44.530999999999999</v>
      </c>
      <c r="BF20">
        <v>-44.433999999999997</v>
      </c>
      <c r="BG20">
        <v>-44.335999999999999</v>
      </c>
      <c r="BH20">
        <v>-44.238</v>
      </c>
      <c r="BI20">
        <v>-44.140999999999998</v>
      </c>
      <c r="BJ20">
        <v>-44.042999999999999</v>
      </c>
      <c r="BK20">
        <v>-43.945</v>
      </c>
      <c r="BL20">
        <v>-43.847999999999999</v>
      </c>
    </row>
    <row r="21" spans="1:64" x14ac:dyDescent="0.25">
      <c r="A21">
        <v>-50</v>
      </c>
      <c r="B21">
        <v>-49.902000000000001</v>
      </c>
      <c r="C21">
        <v>-49.805</v>
      </c>
      <c r="D21">
        <v>-49.707000000000001</v>
      </c>
      <c r="E21">
        <v>-49.609000000000002</v>
      </c>
      <c r="F21">
        <v>-49.512</v>
      </c>
      <c r="G21">
        <v>-49.414000000000001</v>
      </c>
      <c r="H21">
        <v>-49.316000000000003</v>
      </c>
      <c r="I21">
        <v>-49.219000000000001</v>
      </c>
      <c r="J21">
        <v>-49.121000000000002</v>
      </c>
      <c r="K21">
        <v>-49.023000000000003</v>
      </c>
      <c r="L21">
        <v>-48.926000000000002</v>
      </c>
      <c r="M21">
        <v>-48.828000000000003</v>
      </c>
      <c r="N21">
        <v>-48.73</v>
      </c>
      <c r="O21">
        <v>-48.633000000000003</v>
      </c>
      <c r="P21">
        <v>-48.534999999999997</v>
      </c>
      <c r="Q21">
        <v>-48.438000000000002</v>
      </c>
      <c r="R21">
        <v>-48.34</v>
      </c>
      <c r="S21">
        <v>-48.241999999999997</v>
      </c>
      <c r="T21">
        <v>-48.145000000000003</v>
      </c>
      <c r="U21">
        <v>-48.046999999999997</v>
      </c>
      <c r="V21">
        <v>-47.948999999999998</v>
      </c>
      <c r="W21">
        <v>-47.851999999999997</v>
      </c>
      <c r="X21">
        <v>-47.753999999999998</v>
      </c>
      <c r="Y21">
        <v>-47.655999999999999</v>
      </c>
      <c r="Z21">
        <v>-47.558999999999997</v>
      </c>
      <c r="AA21">
        <v>-47.460999999999999</v>
      </c>
      <c r="AB21">
        <v>-47.363</v>
      </c>
      <c r="AC21">
        <v>-47.265999999999998</v>
      </c>
      <c r="AD21">
        <v>-47.167999999999999</v>
      </c>
      <c r="AE21">
        <v>-47.07</v>
      </c>
      <c r="AF21">
        <v>-46.972999999999999</v>
      </c>
      <c r="AG21">
        <v>-46.875</v>
      </c>
      <c r="AH21">
        <v>-46.777000000000001</v>
      </c>
      <c r="AI21">
        <v>-46.68</v>
      </c>
      <c r="AJ21">
        <v>-46.582000000000001</v>
      </c>
      <c r="AK21">
        <v>-46.484000000000002</v>
      </c>
      <c r="AL21">
        <v>-46.387</v>
      </c>
      <c r="AM21">
        <v>-46.289000000000001</v>
      </c>
      <c r="AN21">
        <v>-46.191000000000003</v>
      </c>
      <c r="AO21">
        <v>-46.094000000000001</v>
      </c>
      <c r="AP21">
        <v>-45.996000000000002</v>
      </c>
      <c r="AQ21">
        <v>-45.898000000000003</v>
      </c>
      <c r="AR21">
        <v>-45.801000000000002</v>
      </c>
      <c r="AS21">
        <v>-45.703000000000003</v>
      </c>
      <c r="AT21">
        <v>-45.604999999999997</v>
      </c>
      <c r="AU21">
        <v>-45.508000000000003</v>
      </c>
      <c r="AV21">
        <v>-45.41</v>
      </c>
      <c r="AW21">
        <v>-45.313000000000002</v>
      </c>
      <c r="AX21">
        <v>-45.215000000000003</v>
      </c>
      <c r="AY21">
        <v>-45.116999999999997</v>
      </c>
      <c r="AZ21">
        <v>-45.02</v>
      </c>
      <c r="BA21">
        <v>-44.921999999999997</v>
      </c>
      <c r="BB21">
        <v>-44.823999999999998</v>
      </c>
      <c r="BC21">
        <v>-44.726999999999997</v>
      </c>
      <c r="BD21">
        <v>-44.628999999999998</v>
      </c>
      <c r="BE21">
        <v>-44.530999999999999</v>
      </c>
      <c r="BF21">
        <v>-44.433999999999997</v>
      </c>
      <c r="BG21">
        <v>-44.335999999999999</v>
      </c>
      <c r="BH21">
        <v>-44.238</v>
      </c>
      <c r="BI21">
        <v>-44.140999999999998</v>
      </c>
      <c r="BJ21">
        <v>-44.042999999999999</v>
      </c>
      <c r="BK21">
        <v>-43.945</v>
      </c>
      <c r="BL21">
        <v>-43.847999999999999</v>
      </c>
    </row>
    <row r="22" spans="1:64" x14ac:dyDescent="0.25">
      <c r="A22">
        <v>-50</v>
      </c>
      <c r="B22">
        <v>-49.902000000000001</v>
      </c>
      <c r="C22">
        <v>-49.805</v>
      </c>
      <c r="D22">
        <v>-49.707000000000001</v>
      </c>
      <c r="E22">
        <v>-49.609000000000002</v>
      </c>
      <c r="F22">
        <v>-49.512</v>
      </c>
      <c r="G22">
        <v>-49.414000000000001</v>
      </c>
      <c r="H22">
        <v>-49.316000000000003</v>
      </c>
      <c r="I22">
        <v>-49.219000000000001</v>
      </c>
      <c r="J22">
        <v>-49.121000000000002</v>
      </c>
      <c r="K22">
        <v>-49.023000000000003</v>
      </c>
      <c r="L22">
        <v>-48.926000000000002</v>
      </c>
      <c r="M22">
        <v>-48.828000000000003</v>
      </c>
      <c r="N22">
        <v>-48.73</v>
      </c>
      <c r="O22">
        <v>-48.633000000000003</v>
      </c>
      <c r="P22">
        <v>-48.534999999999997</v>
      </c>
      <c r="Q22">
        <v>-48.438000000000002</v>
      </c>
      <c r="R22">
        <v>-48.34</v>
      </c>
      <c r="S22">
        <v>-48.241999999999997</v>
      </c>
      <c r="T22">
        <v>-48.145000000000003</v>
      </c>
      <c r="U22">
        <v>-48.046999999999997</v>
      </c>
      <c r="V22">
        <v>-47.948999999999998</v>
      </c>
      <c r="W22">
        <v>-47.851999999999997</v>
      </c>
      <c r="X22">
        <v>-47.753999999999998</v>
      </c>
      <c r="Y22">
        <v>-47.655999999999999</v>
      </c>
      <c r="Z22">
        <v>-47.558999999999997</v>
      </c>
      <c r="AA22">
        <v>-47.460999999999999</v>
      </c>
      <c r="AB22">
        <v>-47.363</v>
      </c>
      <c r="AC22">
        <v>-47.265999999999998</v>
      </c>
      <c r="AD22">
        <v>-47.167999999999999</v>
      </c>
      <c r="AE22">
        <v>-47.07</v>
      </c>
      <c r="AF22">
        <v>-46.972999999999999</v>
      </c>
      <c r="AG22">
        <v>-46.875</v>
      </c>
      <c r="AH22">
        <v>-46.777000000000001</v>
      </c>
      <c r="AI22">
        <v>-46.68</v>
      </c>
      <c r="AJ22">
        <v>-46.582000000000001</v>
      </c>
      <c r="AK22">
        <v>-46.484000000000002</v>
      </c>
      <c r="AL22">
        <v>-46.387</v>
      </c>
      <c r="AM22">
        <v>-46.289000000000001</v>
      </c>
      <c r="AN22">
        <v>-46.191000000000003</v>
      </c>
      <c r="AO22">
        <v>-46.094000000000001</v>
      </c>
      <c r="AP22">
        <v>-45.996000000000002</v>
      </c>
      <c r="AQ22">
        <v>-45.898000000000003</v>
      </c>
      <c r="AR22">
        <v>-45.801000000000002</v>
      </c>
      <c r="AS22">
        <v>-45.703000000000003</v>
      </c>
      <c r="AT22">
        <v>-45.604999999999997</v>
      </c>
      <c r="AU22">
        <v>-45.508000000000003</v>
      </c>
      <c r="AV22">
        <v>-45.41</v>
      </c>
      <c r="AW22">
        <v>-45.313000000000002</v>
      </c>
      <c r="AX22">
        <v>-45.215000000000003</v>
      </c>
      <c r="AY22">
        <v>-45.116999999999997</v>
      </c>
      <c r="AZ22">
        <v>-45.02</v>
      </c>
      <c r="BA22">
        <v>-44.921999999999997</v>
      </c>
      <c r="BB22">
        <v>-44.823999999999998</v>
      </c>
      <c r="BC22">
        <v>-44.726999999999997</v>
      </c>
      <c r="BD22">
        <v>-44.628999999999998</v>
      </c>
      <c r="BE22">
        <v>-44.530999999999999</v>
      </c>
      <c r="BF22">
        <v>-44.433999999999997</v>
      </c>
      <c r="BG22">
        <v>-44.335999999999999</v>
      </c>
      <c r="BH22">
        <v>-44.238</v>
      </c>
      <c r="BI22">
        <v>-44.140999999999998</v>
      </c>
      <c r="BJ22">
        <v>-44.042999999999999</v>
      </c>
      <c r="BK22">
        <v>-43.945</v>
      </c>
      <c r="BL22">
        <v>-43.847999999999999</v>
      </c>
    </row>
    <row r="23" spans="1:64" x14ac:dyDescent="0.25">
      <c r="A23">
        <v>-50</v>
      </c>
      <c r="B23">
        <v>-49.902000000000001</v>
      </c>
      <c r="C23">
        <v>-49.805</v>
      </c>
      <c r="D23">
        <v>-49.707000000000001</v>
      </c>
      <c r="E23">
        <v>-49.609000000000002</v>
      </c>
      <c r="F23">
        <v>-49.512</v>
      </c>
      <c r="G23">
        <v>-49.414000000000001</v>
      </c>
      <c r="H23">
        <v>-49.316000000000003</v>
      </c>
      <c r="I23">
        <v>-49.219000000000001</v>
      </c>
      <c r="J23">
        <v>-49.121000000000002</v>
      </c>
      <c r="K23">
        <v>-49.023000000000003</v>
      </c>
      <c r="L23">
        <v>-48.926000000000002</v>
      </c>
      <c r="M23">
        <v>-48.828000000000003</v>
      </c>
      <c r="N23">
        <v>-48.73</v>
      </c>
      <c r="O23">
        <v>-48.633000000000003</v>
      </c>
      <c r="P23">
        <v>-48.534999999999997</v>
      </c>
      <c r="Q23">
        <v>-48.438000000000002</v>
      </c>
      <c r="R23">
        <v>-48.34</v>
      </c>
      <c r="S23">
        <v>-48.241999999999997</v>
      </c>
      <c r="T23">
        <v>-48.145000000000003</v>
      </c>
      <c r="U23">
        <v>-48.046999999999997</v>
      </c>
      <c r="V23">
        <v>-47.948999999999998</v>
      </c>
      <c r="W23">
        <v>-47.851999999999997</v>
      </c>
      <c r="X23">
        <v>-47.753999999999998</v>
      </c>
      <c r="Y23">
        <v>-47.655999999999999</v>
      </c>
      <c r="Z23">
        <v>-47.558999999999997</v>
      </c>
      <c r="AA23">
        <v>-47.460999999999999</v>
      </c>
      <c r="AB23">
        <v>-47.363</v>
      </c>
      <c r="AC23">
        <v>-47.265999999999998</v>
      </c>
      <c r="AD23">
        <v>-47.167999999999999</v>
      </c>
      <c r="AE23">
        <v>-47.07</v>
      </c>
      <c r="AF23">
        <v>-46.972999999999999</v>
      </c>
      <c r="AG23">
        <v>-46.875</v>
      </c>
      <c r="AH23">
        <v>-46.777000000000001</v>
      </c>
      <c r="AI23">
        <v>-46.68</v>
      </c>
      <c r="AJ23">
        <v>-46.582000000000001</v>
      </c>
      <c r="AK23">
        <v>-46.484000000000002</v>
      </c>
      <c r="AL23">
        <v>-46.387</v>
      </c>
      <c r="AM23">
        <v>-46.289000000000001</v>
      </c>
      <c r="AN23">
        <v>-46.191000000000003</v>
      </c>
      <c r="AO23">
        <v>-46.094000000000001</v>
      </c>
      <c r="AP23">
        <v>-45.996000000000002</v>
      </c>
      <c r="AQ23">
        <v>-45.898000000000003</v>
      </c>
      <c r="AR23">
        <v>-45.801000000000002</v>
      </c>
      <c r="AS23">
        <v>-45.703000000000003</v>
      </c>
      <c r="AT23">
        <v>-45.604999999999997</v>
      </c>
      <c r="AU23">
        <v>-45.508000000000003</v>
      </c>
      <c r="AV23">
        <v>-45.41</v>
      </c>
      <c r="AW23">
        <v>-45.313000000000002</v>
      </c>
      <c r="AX23">
        <v>-45.215000000000003</v>
      </c>
      <c r="AY23">
        <v>-45.116999999999997</v>
      </c>
      <c r="AZ23">
        <v>-45.02</v>
      </c>
      <c r="BA23">
        <v>-44.921999999999997</v>
      </c>
      <c r="BB23">
        <v>-44.823999999999998</v>
      </c>
      <c r="BC23">
        <v>-44.726999999999997</v>
      </c>
      <c r="BD23">
        <v>-44.628999999999998</v>
      </c>
      <c r="BE23">
        <v>-44.530999999999999</v>
      </c>
      <c r="BF23">
        <v>-44.433999999999997</v>
      </c>
      <c r="BG23">
        <v>-44.335999999999999</v>
      </c>
      <c r="BH23">
        <v>-44.238</v>
      </c>
      <c r="BI23">
        <v>-44.140999999999998</v>
      </c>
      <c r="BJ23">
        <v>-44.042999999999999</v>
      </c>
      <c r="BK23">
        <v>-43.945</v>
      </c>
      <c r="BL23">
        <v>-43.847999999999999</v>
      </c>
    </row>
    <row r="24" spans="1:64" x14ac:dyDescent="0.25">
      <c r="A24">
        <v>-50</v>
      </c>
      <c r="B24">
        <v>-49.902000000000001</v>
      </c>
      <c r="C24">
        <v>-49.805</v>
      </c>
      <c r="D24">
        <v>-49.707000000000001</v>
      </c>
      <c r="E24">
        <v>-49.609000000000002</v>
      </c>
      <c r="F24">
        <v>-49.512</v>
      </c>
      <c r="G24">
        <v>-49.414000000000001</v>
      </c>
      <c r="H24">
        <v>-49.316000000000003</v>
      </c>
      <c r="I24">
        <v>-49.219000000000001</v>
      </c>
      <c r="J24">
        <v>-49.121000000000002</v>
      </c>
      <c r="K24">
        <v>-49.023000000000003</v>
      </c>
      <c r="L24">
        <v>-48.926000000000002</v>
      </c>
      <c r="M24">
        <v>-48.828000000000003</v>
      </c>
      <c r="N24">
        <v>-48.73</v>
      </c>
      <c r="O24">
        <v>-48.633000000000003</v>
      </c>
      <c r="P24">
        <v>-48.534999999999997</v>
      </c>
      <c r="Q24">
        <v>-48.438000000000002</v>
      </c>
      <c r="R24">
        <v>-48.34</v>
      </c>
      <c r="S24">
        <v>-48.241999999999997</v>
      </c>
      <c r="T24">
        <v>-48.145000000000003</v>
      </c>
      <c r="U24">
        <v>-48.046999999999997</v>
      </c>
      <c r="V24">
        <v>-47.948999999999998</v>
      </c>
      <c r="W24">
        <v>-47.851999999999997</v>
      </c>
      <c r="X24">
        <v>-47.753999999999998</v>
      </c>
      <c r="Y24">
        <v>-47.655999999999999</v>
      </c>
      <c r="Z24">
        <v>-47.558999999999997</v>
      </c>
      <c r="AA24">
        <v>-47.460999999999999</v>
      </c>
      <c r="AB24">
        <v>-47.363</v>
      </c>
      <c r="AC24">
        <v>-47.265999999999998</v>
      </c>
      <c r="AD24">
        <v>-47.167999999999999</v>
      </c>
      <c r="AE24">
        <v>-47.07</v>
      </c>
      <c r="AF24">
        <v>-46.972999999999999</v>
      </c>
      <c r="AG24">
        <v>-46.875</v>
      </c>
      <c r="AH24">
        <v>-46.777000000000001</v>
      </c>
      <c r="AI24">
        <v>-46.68</v>
      </c>
      <c r="AJ24">
        <v>-46.582000000000001</v>
      </c>
      <c r="AK24">
        <v>-46.484000000000002</v>
      </c>
      <c r="AL24">
        <v>-46.387</v>
      </c>
      <c r="AM24">
        <v>-46.289000000000001</v>
      </c>
      <c r="AN24">
        <v>-46.191000000000003</v>
      </c>
      <c r="AO24">
        <v>-46.094000000000001</v>
      </c>
      <c r="AP24">
        <v>-45.996000000000002</v>
      </c>
      <c r="AQ24">
        <v>-45.898000000000003</v>
      </c>
      <c r="AR24">
        <v>-45.801000000000002</v>
      </c>
      <c r="AS24">
        <v>-45.703000000000003</v>
      </c>
      <c r="AT24">
        <v>-45.604999999999997</v>
      </c>
      <c r="AU24">
        <v>-45.508000000000003</v>
      </c>
      <c r="AV24">
        <v>-45.41</v>
      </c>
      <c r="AW24">
        <v>-45.313000000000002</v>
      </c>
      <c r="AX24">
        <v>-45.215000000000003</v>
      </c>
      <c r="AY24">
        <v>-45.116999999999997</v>
      </c>
      <c r="AZ24">
        <v>-45.02</v>
      </c>
      <c r="BA24">
        <v>-44.921999999999997</v>
      </c>
      <c r="BB24">
        <v>-44.823999999999998</v>
      </c>
      <c r="BC24">
        <v>-44.726999999999997</v>
      </c>
      <c r="BD24">
        <v>-44.628999999999998</v>
      </c>
      <c r="BE24">
        <v>-44.530999999999999</v>
      </c>
      <c r="BF24">
        <v>-44.433999999999997</v>
      </c>
      <c r="BG24">
        <v>-44.335999999999999</v>
      </c>
      <c r="BH24">
        <v>-44.238</v>
      </c>
      <c r="BI24">
        <v>-44.140999999999998</v>
      </c>
      <c r="BJ24">
        <v>-44.042999999999999</v>
      </c>
      <c r="BK24">
        <v>-43.945</v>
      </c>
      <c r="BL24">
        <v>-43.847999999999999</v>
      </c>
    </row>
    <row r="25" spans="1:64" x14ac:dyDescent="0.25">
      <c r="A25">
        <v>-50</v>
      </c>
      <c r="B25">
        <v>-49.902000000000001</v>
      </c>
      <c r="C25">
        <v>-49.805</v>
      </c>
      <c r="D25">
        <v>-49.707000000000001</v>
      </c>
      <c r="E25">
        <v>-49.609000000000002</v>
      </c>
      <c r="F25">
        <v>-49.512</v>
      </c>
      <c r="G25">
        <v>-49.414000000000001</v>
      </c>
      <c r="H25">
        <v>-49.316000000000003</v>
      </c>
      <c r="I25">
        <v>-49.219000000000001</v>
      </c>
      <c r="J25">
        <v>-49.121000000000002</v>
      </c>
      <c r="K25">
        <v>-49.023000000000003</v>
      </c>
      <c r="L25">
        <v>-48.926000000000002</v>
      </c>
      <c r="M25">
        <v>-48.828000000000003</v>
      </c>
      <c r="N25">
        <v>-48.73</v>
      </c>
      <c r="O25">
        <v>-48.633000000000003</v>
      </c>
      <c r="P25">
        <v>-48.534999999999997</v>
      </c>
      <c r="Q25">
        <v>-48.438000000000002</v>
      </c>
      <c r="R25">
        <v>-48.34</v>
      </c>
      <c r="S25">
        <v>-48.241999999999997</v>
      </c>
      <c r="T25">
        <v>-48.145000000000003</v>
      </c>
      <c r="U25">
        <v>-48.046999999999997</v>
      </c>
      <c r="V25">
        <v>-47.948999999999998</v>
      </c>
      <c r="W25">
        <v>-47.851999999999997</v>
      </c>
      <c r="X25">
        <v>-47.753999999999998</v>
      </c>
      <c r="Y25">
        <v>-47.655999999999999</v>
      </c>
      <c r="Z25">
        <v>-47.558999999999997</v>
      </c>
      <c r="AA25">
        <v>-47.460999999999999</v>
      </c>
      <c r="AB25">
        <v>-47.363</v>
      </c>
      <c r="AC25">
        <v>-47.265999999999998</v>
      </c>
      <c r="AD25">
        <v>-47.167999999999999</v>
      </c>
      <c r="AE25">
        <v>-47.07</v>
      </c>
      <c r="AF25">
        <v>-46.972999999999999</v>
      </c>
      <c r="AG25">
        <v>-46.875</v>
      </c>
      <c r="AH25">
        <v>-46.777000000000001</v>
      </c>
      <c r="AI25">
        <v>-46.68</v>
      </c>
      <c r="AJ25">
        <v>-46.582000000000001</v>
      </c>
      <c r="AK25">
        <v>-46.484000000000002</v>
      </c>
      <c r="AL25">
        <v>-46.387</v>
      </c>
      <c r="AM25">
        <v>-46.289000000000001</v>
      </c>
      <c r="AN25">
        <v>-46.191000000000003</v>
      </c>
      <c r="AO25">
        <v>-46.094000000000001</v>
      </c>
      <c r="AP25">
        <v>-45.996000000000002</v>
      </c>
      <c r="AQ25">
        <v>-45.898000000000003</v>
      </c>
      <c r="AR25">
        <v>-45.801000000000002</v>
      </c>
      <c r="AS25">
        <v>-45.703000000000003</v>
      </c>
      <c r="AT25">
        <v>-45.604999999999997</v>
      </c>
      <c r="AU25">
        <v>-45.508000000000003</v>
      </c>
      <c r="AV25">
        <v>-45.41</v>
      </c>
      <c r="AW25">
        <v>-45.313000000000002</v>
      </c>
      <c r="AX25">
        <v>-45.215000000000003</v>
      </c>
      <c r="AY25">
        <v>-45.116999999999997</v>
      </c>
      <c r="AZ25">
        <v>-45.02</v>
      </c>
      <c r="BA25">
        <v>-44.921999999999997</v>
      </c>
      <c r="BB25">
        <v>-44.823999999999998</v>
      </c>
      <c r="BC25">
        <v>-44.726999999999997</v>
      </c>
      <c r="BD25">
        <v>-44.628999999999998</v>
      </c>
      <c r="BE25">
        <v>-44.530999999999999</v>
      </c>
      <c r="BF25">
        <v>-44.433999999999997</v>
      </c>
      <c r="BG25">
        <v>-44.335999999999999</v>
      </c>
      <c r="BH25">
        <v>-44.238</v>
      </c>
      <c r="BI25">
        <v>-44.140999999999998</v>
      </c>
      <c r="BJ25">
        <v>-44.042999999999999</v>
      </c>
      <c r="BK25">
        <v>-43.945</v>
      </c>
      <c r="BL25">
        <v>-43.847999999999999</v>
      </c>
    </row>
    <row r="26" spans="1:64" x14ac:dyDescent="0.25">
      <c r="A26">
        <v>-50</v>
      </c>
      <c r="B26">
        <v>-49.902000000000001</v>
      </c>
      <c r="C26">
        <v>-49.805</v>
      </c>
      <c r="D26">
        <v>-49.707000000000001</v>
      </c>
      <c r="E26">
        <v>-49.609000000000002</v>
      </c>
      <c r="F26">
        <v>-49.512</v>
      </c>
      <c r="G26">
        <v>-49.414000000000001</v>
      </c>
      <c r="H26">
        <v>-49.316000000000003</v>
      </c>
      <c r="I26">
        <v>-49.219000000000001</v>
      </c>
      <c r="J26">
        <v>-49.121000000000002</v>
      </c>
      <c r="K26">
        <v>-49.023000000000003</v>
      </c>
      <c r="L26">
        <v>-48.926000000000002</v>
      </c>
      <c r="M26">
        <v>-48.828000000000003</v>
      </c>
      <c r="N26">
        <v>-48.73</v>
      </c>
      <c r="O26">
        <v>-48.633000000000003</v>
      </c>
      <c r="P26">
        <v>-48.534999999999997</v>
      </c>
      <c r="Q26">
        <v>-48.438000000000002</v>
      </c>
      <c r="R26">
        <v>-48.34</v>
      </c>
      <c r="S26">
        <v>-48.241999999999997</v>
      </c>
      <c r="T26">
        <v>-48.145000000000003</v>
      </c>
      <c r="U26">
        <v>-48.046999999999997</v>
      </c>
      <c r="V26">
        <v>-47.948999999999998</v>
      </c>
      <c r="W26">
        <v>-47.851999999999997</v>
      </c>
      <c r="X26">
        <v>-47.753999999999998</v>
      </c>
      <c r="Y26">
        <v>-47.655999999999999</v>
      </c>
      <c r="Z26">
        <v>-47.558999999999997</v>
      </c>
      <c r="AA26">
        <v>-47.460999999999999</v>
      </c>
      <c r="AB26">
        <v>-47.363</v>
      </c>
      <c r="AC26">
        <v>-47.265999999999998</v>
      </c>
      <c r="AD26">
        <v>-47.167999999999999</v>
      </c>
      <c r="AE26">
        <v>-47.07</v>
      </c>
      <c r="AF26">
        <v>-46.972999999999999</v>
      </c>
      <c r="AG26">
        <v>-46.875</v>
      </c>
      <c r="AH26">
        <v>-46.777000000000001</v>
      </c>
      <c r="AI26">
        <v>-46.68</v>
      </c>
      <c r="AJ26">
        <v>-46.582000000000001</v>
      </c>
      <c r="AK26">
        <v>-46.484000000000002</v>
      </c>
      <c r="AL26">
        <v>-46.387</v>
      </c>
      <c r="AM26">
        <v>-46.289000000000001</v>
      </c>
      <c r="AN26">
        <v>-46.191000000000003</v>
      </c>
      <c r="AO26">
        <v>-46.094000000000001</v>
      </c>
      <c r="AP26">
        <v>-45.996000000000002</v>
      </c>
      <c r="AQ26">
        <v>-45.898000000000003</v>
      </c>
      <c r="AR26">
        <v>-45.801000000000002</v>
      </c>
      <c r="AS26">
        <v>-45.703000000000003</v>
      </c>
      <c r="AT26">
        <v>-45.604999999999997</v>
      </c>
      <c r="AU26">
        <v>-45.508000000000003</v>
      </c>
      <c r="AV26">
        <v>-45.41</v>
      </c>
      <c r="AW26">
        <v>-45.313000000000002</v>
      </c>
      <c r="AX26">
        <v>-45.215000000000003</v>
      </c>
      <c r="AY26">
        <v>-45.116999999999997</v>
      </c>
      <c r="AZ26">
        <v>-45.02</v>
      </c>
      <c r="BA26">
        <v>-44.921999999999997</v>
      </c>
      <c r="BB26">
        <v>-44.823999999999998</v>
      </c>
      <c r="BC26">
        <v>-44.726999999999997</v>
      </c>
      <c r="BD26">
        <v>-44.628999999999998</v>
      </c>
      <c r="BE26">
        <v>-44.530999999999999</v>
      </c>
      <c r="BF26">
        <v>-44.433999999999997</v>
      </c>
      <c r="BG26">
        <v>-44.335999999999999</v>
      </c>
      <c r="BH26">
        <v>-44.238</v>
      </c>
      <c r="BI26">
        <v>-44.140999999999998</v>
      </c>
      <c r="BJ26">
        <v>-44.042999999999999</v>
      </c>
      <c r="BK26">
        <v>-43.945</v>
      </c>
      <c r="BL26">
        <v>-43.847999999999999</v>
      </c>
    </row>
    <row r="27" spans="1:64" x14ac:dyDescent="0.25">
      <c r="A27">
        <v>-50</v>
      </c>
      <c r="B27">
        <v>-49.902000000000001</v>
      </c>
      <c r="C27">
        <v>-49.805</v>
      </c>
      <c r="D27">
        <v>-49.707000000000001</v>
      </c>
      <c r="E27">
        <v>-49.609000000000002</v>
      </c>
      <c r="F27">
        <v>-49.512</v>
      </c>
      <c r="G27">
        <v>-49.414000000000001</v>
      </c>
      <c r="H27">
        <v>-49.316000000000003</v>
      </c>
      <c r="I27">
        <v>-49.219000000000001</v>
      </c>
      <c r="J27">
        <v>-49.121000000000002</v>
      </c>
      <c r="K27">
        <v>-49.023000000000003</v>
      </c>
      <c r="L27">
        <v>-48.926000000000002</v>
      </c>
      <c r="M27">
        <v>-48.828000000000003</v>
      </c>
      <c r="N27">
        <v>-48.73</v>
      </c>
      <c r="O27">
        <v>-48.633000000000003</v>
      </c>
      <c r="P27">
        <v>-48.534999999999997</v>
      </c>
      <c r="Q27">
        <v>-48.438000000000002</v>
      </c>
      <c r="R27">
        <v>-48.34</v>
      </c>
      <c r="S27">
        <v>-48.241999999999997</v>
      </c>
      <c r="T27">
        <v>-48.145000000000003</v>
      </c>
      <c r="U27">
        <v>-48.046999999999997</v>
      </c>
      <c r="V27">
        <v>-47.948999999999998</v>
      </c>
      <c r="W27">
        <v>-47.851999999999997</v>
      </c>
      <c r="X27">
        <v>-47.753999999999998</v>
      </c>
      <c r="Y27">
        <v>-47.655999999999999</v>
      </c>
      <c r="Z27">
        <v>-47.558999999999997</v>
      </c>
      <c r="AA27">
        <v>-47.460999999999999</v>
      </c>
      <c r="AB27">
        <v>-47.363</v>
      </c>
      <c r="AC27">
        <v>-47.265999999999998</v>
      </c>
      <c r="AD27">
        <v>-47.167999999999999</v>
      </c>
      <c r="AE27">
        <v>-47.07</v>
      </c>
      <c r="AF27">
        <v>-46.972999999999999</v>
      </c>
      <c r="AG27">
        <v>-46.875</v>
      </c>
      <c r="AH27">
        <v>-46.777000000000001</v>
      </c>
      <c r="AI27">
        <v>-46.68</v>
      </c>
      <c r="AJ27">
        <v>-46.582000000000001</v>
      </c>
      <c r="AK27">
        <v>-46.484000000000002</v>
      </c>
      <c r="AL27">
        <v>-46.387</v>
      </c>
      <c r="AM27">
        <v>-46.289000000000001</v>
      </c>
      <c r="AN27">
        <v>-46.191000000000003</v>
      </c>
      <c r="AO27">
        <v>-46.094000000000001</v>
      </c>
      <c r="AP27">
        <v>-45.996000000000002</v>
      </c>
      <c r="AQ27">
        <v>-45.898000000000003</v>
      </c>
      <c r="AR27">
        <v>-45.801000000000002</v>
      </c>
      <c r="AS27">
        <v>-45.703000000000003</v>
      </c>
      <c r="AT27">
        <v>-45.604999999999997</v>
      </c>
      <c r="AU27">
        <v>-45.508000000000003</v>
      </c>
      <c r="AV27">
        <v>-45.41</v>
      </c>
      <c r="AW27">
        <v>-45.313000000000002</v>
      </c>
      <c r="AX27">
        <v>-45.215000000000003</v>
      </c>
      <c r="AY27">
        <v>-45.116999999999997</v>
      </c>
      <c r="AZ27">
        <v>-45.02</v>
      </c>
      <c r="BA27">
        <v>-44.921999999999997</v>
      </c>
      <c r="BB27">
        <v>-44.823999999999998</v>
      </c>
      <c r="BC27">
        <v>-44.726999999999997</v>
      </c>
      <c r="BD27">
        <v>-44.628999999999998</v>
      </c>
      <c r="BE27">
        <v>-44.530999999999999</v>
      </c>
      <c r="BF27">
        <v>-44.433999999999997</v>
      </c>
      <c r="BG27">
        <v>-44.335999999999999</v>
      </c>
      <c r="BH27">
        <v>-44.238</v>
      </c>
      <c r="BI27">
        <v>-44.140999999999998</v>
      </c>
      <c r="BJ27">
        <v>-44.042999999999999</v>
      </c>
      <c r="BK27">
        <v>-43.945</v>
      </c>
      <c r="BL27">
        <v>-43.847999999999999</v>
      </c>
    </row>
    <row r="28" spans="1:64" x14ac:dyDescent="0.25">
      <c r="A28">
        <v>-50</v>
      </c>
      <c r="B28">
        <v>-49.902000000000001</v>
      </c>
      <c r="C28">
        <v>-49.805</v>
      </c>
      <c r="D28">
        <v>-49.707000000000001</v>
      </c>
      <c r="E28">
        <v>-49.609000000000002</v>
      </c>
      <c r="F28">
        <v>-49.512</v>
      </c>
      <c r="G28">
        <v>-49.414000000000001</v>
      </c>
      <c r="H28">
        <v>-49.316000000000003</v>
      </c>
      <c r="I28">
        <v>-49.219000000000001</v>
      </c>
      <c r="J28">
        <v>-49.121000000000002</v>
      </c>
      <c r="K28">
        <v>-49.023000000000003</v>
      </c>
      <c r="L28">
        <v>-48.926000000000002</v>
      </c>
      <c r="M28">
        <v>-48.828000000000003</v>
      </c>
      <c r="N28">
        <v>-48.73</v>
      </c>
      <c r="O28">
        <v>-48.633000000000003</v>
      </c>
      <c r="P28">
        <v>-48.534999999999997</v>
      </c>
      <c r="Q28">
        <v>-48.438000000000002</v>
      </c>
      <c r="R28">
        <v>-48.34</v>
      </c>
      <c r="S28">
        <v>-48.241999999999997</v>
      </c>
      <c r="T28">
        <v>-48.145000000000003</v>
      </c>
      <c r="U28">
        <v>-48.046999999999997</v>
      </c>
      <c r="V28">
        <v>-47.948999999999998</v>
      </c>
      <c r="W28">
        <v>-47.851999999999997</v>
      </c>
      <c r="X28">
        <v>-47.753999999999998</v>
      </c>
      <c r="Y28">
        <v>-47.655999999999999</v>
      </c>
      <c r="Z28">
        <v>-47.558999999999997</v>
      </c>
      <c r="AA28">
        <v>-47.460999999999999</v>
      </c>
      <c r="AB28">
        <v>-47.363</v>
      </c>
      <c r="AC28">
        <v>-47.265999999999998</v>
      </c>
      <c r="AD28">
        <v>-47.167999999999999</v>
      </c>
      <c r="AE28">
        <v>-47.07</v>
      </c>
      <c r="AF28">
        <v>-46.972999999999999</v>
      </c>
      <c r="AG28">
        <v>-46.875</v>
      </c>
      <c r="AH28">
        <v>-46.777000000000001</v>
      </c>
      <c r="AI28">
        <v>-46.68</v>
      </c>
      <c r="AJ28">
        <v>-46.582000000000001</v>
      </c>
      <c r="AK28">
        <v>-46.484000000000002</v>
      </c>
      <c r="AL28">
        <v>-46.387</v>
      </c>
      <c r="AM28">
        <v>-46.289000000000001</v>
      </c>
      <c r="AN28">
        <v>-46.191000000000003</v>
      </c>
      <c r="AO28">
        <v>-46.094000000000001</v>
      </c>
      <c r="AP28">
        <v>-45.996000000000002</v>
      </c>
      <c r="AQ28">
        <v>-45.898000000000003</v>
      </c>
      <c r="AR28">
        <v>-45.801000000000002</v>
      </c>
      <c r="AS28">
        <v>-45.703000000000003</v>
      </c>
      <c r="AT28">
        <v>-45.604999999999997</v>
      </c>
      <c r="AU28">
        <v>-45.508000000000003</v>
      </c>
      <c r="AV28">
        <v>-45.41</v>
      </c>
      <c r="AW28">
        <v>-45.313000000000002</v>
      </c>
      <c r="AX28">
        <v>-45.215000000000003</v>
      </c>
      <c r="AY28">
        <v>-45.116999999999997</v>
      </c>
      <c r="AZ28">
        <v>-45.02</v>
      </c>
      <c r="BA28">
        <v>-44.921999999999997</v>
      </c>
      <c r="BB28">
        <v>-44.823999999999998</v>
      </c>
      <c r="BC28">
        <v>-44.726999999999997</v>
      </c>
      <c r="BD28">
        <v>-44.628999999999998</v>
      </c>
      <c r="BE28">
        <v>-44.530999999999999</v>
      </c>
      <c r="BF28">
        <v>-44.433999999999997</v>
      </c>
      <c r="BG28">
        <v>-44.335999999999999</v>
      </c>
      <c r="BH28">
        <v>-44.238</v>
      </c>
      <c r="BI28">
        <v>-44.140999999999998</v>
      </c>
      <c r="BJ28">
        <v>-44.042999999999999</v>
      </c>
      <c r="BK28">
        <v>-43.945</v>
      </c>
      <c r="BL28">
        <v>-43.847999999999999</v>
      </c>
    </row>
    <row r="29" spans="1:64" x14ac:dyDescent="0.25">
      <c r="A29">
        <v>-50</v>
      </c>
      <c r="B29">
        <v>-49.902000000000001</v>
      </c>
      <c r="C29">
        <v>-49.805</v>
      </c>
      <c r="D29">
        <v>-49.707000000000001</v>
      </c>
      <c r="E29">
        <v>-49.609000000000002</v>
      </c>
      <c r="F29">
        <v>-49.512</v>
      </c>
      <c r="G29">
        <v>-49.414000000000001</v>
      </c>
      <c r="H29">
        <v>-49.316000000000003</v>
      </c>
      <c r="I29">
        <v>-49.219000000000001</v>
      </c>
      <c r="J29">
        <v>-49.121000000000002</v>
      </c>
      <c r="K29">
        <v>-49.023000000000003</v>
      </c>
      <c r="L29">
        <v>-48.926000000000002</v>
      </c>
      <c r="M29">
        <v>-48.828000000000003</v>
      </c>
      <c r="N29">
        <v>-48.73</v>
      </c>
      <c r="O29">
        <v>-48.633000000000003</v>
      </c>
      <c r="P29">
        <v>-48.534999999999997</v>
      </c>
      <c r="Q29">
        <v>-48.438000000000002</v>
      </c>
      <c r="R29">
        <v>-48.34</v>
      </c>
      <c r="S29">
        <v>-48.241999999999997</v>
      </c>
      <c r="T29">
        <v>-48.145000000000003</v>
      </c>
      <c r="U29">
        <v>-48.046999999999997</v>
      </c>
      <c r="V29">
        <v>-47.948999999999998</v>
      </c>
      <c r="W29">
        <v>-47.851999999999997</v>
      </c>
      <c r="X29">
        <v>-47.753999999999998</v>
      </c>
      <c r="Y29">
        <v>-47.655999999999999</v>
      </c>
      <c r="Z29">
        <v>-47.558999999999997</v>
      </c>
      <c r="AA29">
        <v>-47.460999999999999</v>
      </c>
      <c r="AB29">
        <v>-47.363</v>
      </c>
      <c r="AC29">
        <v>-47.265999999999998</v>
      </c>
      <c r="AD29">
        <v>-47.167999999999999</v>
      </c>
      <c r="AE29">
        <v>-47.07</v>
      </c>
      <c r="AF29">
        <v>-46.972999999999999</v>
      </c>
      <c r="AG29">
        <v>-46.875</v>
      </c>
      <c r="AH29">
        <v>-46.777000000000001</v>
      </c>
      <c r="AI29">
        <v>-46.68</v>
      </c>
      <c r="AJ29">
        <v>-46.582000000000001</v>
      </c>
      <c r="AK29">
        <v>-46.484000000000002</v>
      </c>
      <c r="AL29">
        <v>-46.387</v>
      </c>
      <c r="AM29">
        <v>-46.289000000000001</v>
      </c>
      <c r="AN29">
        <v>-46.191000000000003</v>
      </c>
      <c r="AO29">
        <v>-46.094000000000001</v>
      </c>
      <c r="AP29">
        <v>-45.996000000000002</v>
      </c>
      <c r="AQ29">
        <v>-45.898000000000003</v>
      </c>
      <c r="AR29">
        <v>-45.801000000000002</v>
      </c>
      <c r="AS29">
        <v>-45.703000000000003</v>
      </c>
      <c r="AT29">
        <v>-45.604999999999997</v>
      </c>
      <c r="AU29">
        <v>-45.508000000000003</v>
      </c>
      <c r="AV29">
        <v>-45.41</v>
      </c>
      <c r="AW29">
        <v>-45.313000000000002</v>
      </c>
      <c r="AX29">
        <v>-45.215000000000003</v>
      </c>
      <c r="AY29">
        <v>-45.116999999999997</v>
      </c>
      <c r="AZ29">
        <v>-45.02</v>
      </c>
      <c r="BA29">
        <v>-44.921999999999997</v>
      </c>
      <c r="BB29">
        <v>-44.823999999999998</v>
      </c>
      <c r="BC29">
        <v>-44.726999999999997</v>
      </c>
      <c r="BD29">
        <v>-44.628999999999998</v>
      </c>
      <c r="BE29">
        <v>-44.530999999999999</v>
      </c>
      <c r="BF29">
        <v>-44.433999999999997</v>
      </c>
      <c r="BG29">
        <v>-44.335999999999999</v>
      </c>
      <c r="BH29">
        <v>-44.238</v>
      </c>
      <c r="BI29">
        <v>-44.140999999999998</v>
      </c>
      <c r="BJ29">
        <v>-44.042999999999999</v>
      </c>
      <c r="BK29">
        <v>-43.945</v>
      </c>
      <c r="BL29">
        <v>-43.847999999999999</v>
      </c>
    </row>
    <row r="30" spans="1:64" x14ac:dyDescent="0.25">
      <c r="A30">
        <v>-50</v>
      </c>
      <c r="B30">
        <v>-49.902000000000001</v>
      </c>
      <c r="C30">
        <v>-49.805</v>
      </c>
      <c r="D30">
        <v>-49.707000000000001</v>
      </c>
      <c r="E30">
        <v>-49.609000000000002</v>
      </c>
      <c r="F30">
        <v>-49.512</v>
      </c>
      <c r="G30">
        <v>-49.414000000000001</v>
      </c>
      <c r="H30">
        <v>-49.316000000000003</v>
      </c>
      <c r="I30">
        <v>-49.219000000000001</v>
      </c>
      <c r="J30">
        <v>-49.121000000000002</v>
      </c>
      <c r="K30">
        <v>-49.023000000000003</v>
      </c>
      <c r="L30">
        <v>-48.926000000000002</v>
      </c>
      <c r="M30">
        <v>-48.828000000000003</v>
      </c>
      <c r="N30">
        <v>-48.73</v>
      </c>
      <c r="O30">
        <v>-48.633000000000003</v>
      </c>
      <c r="P30">
        <v>-48.534999999999997</v>
      </c>
      <c r="Q30">
        <v>-48.438000000000002</v>
      </c>
      <c r="R30">
        <v>-48.34</v>
      </c>
      <c r="S30">
        <v>-48.241999999999997</v>
      </c>
      <c r="T30">
        <v>-48.145000000000003</v>
      </c>
      <c r="U30">
        <v>-48.046999999999997</v>
      </c>
      <c r="V30">
        <v>-47.948999999999998</v>
      </c>
      <c r="W30">
        <v>-47.851999999999997</v>
      </c>
      <c r="X30">
        <v>-47.753999999999998</v>
      </c>
      <c r="Y30">
        <v>-47.655999999999999</v>
      </c>
      <c r="Z30">
        <v>-47.558999999999997</v>
      </c>
      <c r="AA30">
        <v>-47.460999999999999</v>
      </c>
      <c r="AB30">
        <v>-47.363</v>
      </c>
      <c r="AC30">
        <v>-47.265999999999998</v>
      </c>
      <c r="AD30">
        <v>-47.167999999999999</v>
      </c>
      <c r="AE30">
        <v>-47.07</v>
      </c>
      <c r="AF30">
        <v>-46.972999999999999</v>
      </c>
      <c r="AG30">
        <v>-46.875</v>
      </c>
      <c r="AH30">
        <v>-46.777000000000001</v>
      </c>
      <c r="AI30">
        <v>-46.68</v>
      </c>
      <c r="AJ30">
        <v>-46.582000000000001</v>
      </c>
      <c r="AK30">
        <v>-46.484000000000002</v>
      </c>
      <c r="AL30">
        <v>-46.387</v>
      </c>
      <c r="AM30">
        <v>-46.289000000000001</v>
      </c>
      <c r="AN30">
        <v>-46.191000000000003</v>
      </c>
      <c r="AO30">
        <v>-46.094000000000001</v>
      </c>
      <c r="AP30">
        <v>-45.996000000000002</v>
      </c>
      <c r="AQ30">
        <v>-45.898000000000003</v>
      </c>
      <c r="AR30">
        <v>-45.801000000000002</v>
      </c>
      <c r="AS30">
        <v>-45.703000000000003</v>
      </c>
      <c r="AT30">
        <v>-45.604999999999997</v>
      </c>
      <c r="AU30">
        <v>-45.508000000000003</v>
      </c>
      <c r="AV30">
        <v>-45.41</v>
      </c>
      <c r="AW30">
        <v>-45.313000000000002</v>
      </c>
      <c r="AX30">
        <v>-45.215000000000003</v>
      </c>
      <c r="AY30">
        <v>-45.116999999999997</v>
      </c>
      <c r="AZ30">
        <v>-45.02</v>
      </c>
      <c r="BA30">
        <v>-44.921999999999997</v>
      </c>
      <c r="BB30">
        <v>-44.823999999999998</v>
      </c>
      <c r="BC30">
        <v>-44.726999999999997</v>
      </c>
      <c r="BD30">
        <v>-44.628999999999998</v>
      </c>
      <c r="BE30">
        <v>-44.530999999999999</v>
      </c>
      <c r="BF30">
        <v>-44.433999999999997</v>
      </c>
      <c r="BG30">
        <v>-44.335999999999999</v>
      </c>
      <c r="BH30">
        <v>-44.238</v>
      </c>
      <c r="BI30">
        <v>-44.140999999999998</v>
      </c>
      <c r="BJ30">
        <v>-44.042999999999999</v>
      </c>
      <c r="BK30">
        <v>-43.945</v>
      </c>
      <c r="BL30">
        <v>-43.847999999999999</v>
      </c>
    </row>
    <row r="31" spans="1:64" x14ac:dyDescent="0.25">
      <c r="A31">
        <v>-50</v>
      </c>
      <c r="B31">
        <v>-49.902000000000001</v>
      </c>
      <c r="C31">
        <v>-49.805</v>
      </c>
      <c r="D31">
        <v>-49.707000000000001</v>
      </c>
      <c r="E31">
        <v>-49.609000000000002</v>
      </c>
      <c r="F31">
        <v>-49.512</v>
      </c>
      <c r="G31">
        <v>-49.414000000000001</v>
      </c>
      <c r="H31">
        <v>-49.316000000000003</v>
      </c>
      <c r="I31">
        <v>-49.219000000000001</v>
      </c>
      <c r="J31">
        <v>-49.121000000000002</v>
      </c>
      <c r="K31">
        <v>-49.023000000000003</v>
      </c>
      <c r="L31">
        <v>-48.926000000000002</v>
      </c>
      <c r="M31">
        <v>-48.828000000000003</v>
      </c>
      <c r="N31">
        <v>-48.73</v>
      </c>
      <c r="O31">
        <v>-48.633000000000003</v>
      </c>
      <c r="P31">
        <v>-48.534999999999997</v>
      </c>
      <c r="Q31">
        <v>-48.438000000000002</v>
      </c>
      <c r="R31">
        <v>-48.34</v>
      </c>
      <c r="S31">
        <v>-48.241999999999997</v>
      </c>
      <c r="T31">
        <v>-48.145000000000003</v>
      </c>
      <c r="U31">
        <v>-48.046999999999997</v>
      </c>
      <c r="V31">
        <v>-47.948999999999998</v>
      </c>
      <c r="W31">
        <v>-47.851999999999997</v>
      </c>
      <c r="X31">
        <v>-47.753999999999998</v>
      </c>
      <c r="Y31">
        <v>-47.655999999999999</v>
      </c>
      <c r="Z31">
        <v>-47.558999999999997</v>
      </c>
      <c r="AA31">
        <v>-47.460999999999999</v>
      </c>
      <c r="AB31">
        <v>-47.363</v>
      </c>
      <c r="AC31">
        <v>-47.265999999999998</v>
      </c>
      <c r="AD31">
        <v>-47.167999999999999</v>
      </c>
      <c r="AE31">
        <v>-47.07</v>
      </c>
      <c r="AF31">
        <v>-46.972999999999999</v>
      </c>
      <c r="AG31">
        <v>-46.875</v>
      </c>
      <c r="AH31">
        <v>-46.777000000000001</v>
      </c>
      <c r="AI31">
        <v>-46.68</v>
      </c>
      <c r="AJ31">
        <v>-46.582000000000001</v>
      </c>
      <c r="AK31">
        <v>-46.484000000000002</v>
      </c>
      <c r="AL31">
        <v>-46.387</v>
      </c>
      <c r="AM31">
        <v>-46.289000000000001</v>
      </c>
      <c r="AN31">
        <v>-46.191000000000003</v>
      </c>
      <c r="AO31">
        <v>-46.094000000000001</v>
      </c>
      <c r="AP31">
        <v>-45.996000000000002</v>
      </c>
      <c r="AQ31">
        <v>-45.898000000000003</v>
      </c>
      <c r="AR31">
        <v>-45.801000000000002</v>
      </c>
      <c r="AS31">
        <v>-45.703000000000003</v>
      </c>
      <c r="AT31">
        <v>-45.604999999999997</v>
      </c>
      <c r="AU31">
        <v>-45.508000000000003</v>
      </c>
      <c r="AV31">
        <v>-45.41</v>
      </c>
      <c r="AW31">
        <v>-45.313000000000002</v>
      </c>
      <c r="AX31">
        <v>-45.215000000000003</v>
      </c>
      <c r="AY31">
        <v>-45.116999999999997</v>
      </c>
      <c r="AZ31">
        <v>-45.02</v>
      </c>
      <c r="BA31">
        <v>-44.921999999999997</v>
      </c>
      <c r="BB31">
        <v>-44.823999999999998</v>
      </c>
      <c r="BC31">
        <v>-44.726999999999997</v>
      </c>
      <c r="BD31">
        <v>-44.628999999999998</v>
      </c>
      <c r="BE31">
        <v>-44.530999999999999</v>
      </c>
      <c r="BF31">
        <v>-44.433999999999997</v>
      </c>
      <c r="BG31">
        <v>-44.335999999999999</v>
      </c>
      <c r="BH31">
        <v>-44.238</v>
      </c>
      <c r="BI31">
        <v>-44.140999999999998</v>
      </c>
      <c r="BJ31">
        <v>-44.042999999999999</v>
      </c>
      <c r="BK31">
        <v>-43.945</v>
      </c>
      <c r="BL31">
        <v>-43.847999999999999</v>
      </c>
    </row>
    <row r="32" spans="1:64" x14ac:dyDescent="0.25">
      <c r="A32">
        <v>-50</v>
      </c>
      <c r="B32">
        <v>-49.902000000000001</v>
      </c>
      <c r="C32">
        <v>-49.805</v>
      </c>
      <c r="D32">
        <v>-49.707000000000001</v>
      </c>
      <c r="E32">
        <v>-49.609000000000002</v>
      </c>
      <c r="F32">
        <v>-49.512</v>
      </c>
      <c r="G32">
        <v>-49.414000000000001</v>
      </c>
      <c r="H32">
        <v>-49.316000000000003</v>
      </c>
      <c r="I32">
        <v>-49.219000000000001</v>
      </c>
      <c r="J32">
        <v>-49.121000000000002</v>
      </c>
      <c r="K32">
        <v>-49.023000000000003</v>
      </c>
      <c r="L32">
        <v>-48.926000000000002</v>
      </c>
      <c r="M32">
        <v>-48.828000000000003</v>
      </c>
      <c r="N32">
        <v>-48.73</v>
      </c>
      <c r="O32">
        <v>-48.633000000000003</v>
      </c>
      <c r="P32">
        <v>-48.534999999999997</v>
      </c>
      <c r="Q32">
        <v>-48.438000000000002</v>
      </c>
      <c r="R32">
        <v>-48.34</v>
      </c>
      <c r="S32">
        <v>-48.241999999999997</v>
      </c>
      <c r="T32">
        <v>-48.145000000000003</v>
      </c>
      <c r="U32">
        <v>-48.046999999999997</v>
      </c>
      <c r="V32">
        <v>-47.948999999999998</v>
      </c>
      <c r="W32">
        <v>-47.851999999999997</v>
      </c>
      <c r="X32">
        <v>-47.753999999999998</v>
      </c>
      <c r="Y32">
        <v>-47.655999999999999</v>
      </c>
      <c r="Z32">
        <v>-47.558999999999997</v>
      </c>
      <c r="AA32">
        <v>-47.460999999999999</v>
      </c>
      <c r="AB32">
        <v>-47.363</v>
      </c>
      <c r="AC32">
        <v>-47.265999999999998</v>
      </c>
      <c r="AD32">
        <v>-47.167999999999999</v>
      </c>
      <c r="AE32">
        <v>-47.07</v>
      </c>
      <c r="AF32">
        <v>-46.972999999999999</v>
      </c>
      <c r="AG32">
        <v>-46.875</v>
      </c>
      <c r="AH32">
        <v>-46.777000000000001</v>
      </c>
      <c r="AI32">
        <v>-46.68</v>
      </c>
      <c r="AJ32">
        <v>-46.582000000000001</v>
      </c>
      <c r="AK32">
        <v>-46.484000000000002</v>
      </c>
      <c r="AL32">
        <v>-46.387</v>
      </c>
      <c r="AM32">
        <v>-46.289000000000001</v>
      </c>
      <c r="AN32">
        <v>-46.191000000000003</v>
      </c>
      <c r="AO32">
        <v>-46.094000000000001</v>
      </c>
      <c r="AP32">
        <v>-45.996000000000002</v>
      </c>
      <c r="AQ32">
        <v>-45.898000000000003</v>
      </c>
      <c r="AR32">
        <v>-45.801000000000002</v>
      </c>
      <c r="AS32">
        <v>-45.703000000000003</v>
      </c>
      <c r="AT32">
        <v>-45.604999999999997</v>
      </c>
      <c r="AU32">
        <v>-45.508000000000003</v>
      </c>
      <c r="AV32">
        <v>-45.41</v>
      </c>
      <c r="AW32">
        <v>-45.313000000000002</v>
      </c>
      <c r="AX32">
        <v>-45.215000000000003</v>
      </c>
      <c r="AY32">
        <v>-45.116999999999997</v>
      </c>
      <c r="AZ32">
        <v>-45.02</v>
      </c>
      <c r="BA32">
        <v>-44.921999999999997</v>
      </c>
      <c r="BB32">
        <v>-44.823999999999998</v>
      </c>
      <c r="BC32">
        <v>-44.726999999999997</v>
      </c>
      <c r="BD32">
        <v>-44.628999999999998</v>
      </c>
      <c r="BE32">
        <v>-44.530999999999999</v>
      </c>
      <c r="BF32">
        <v>-44.433999999999997</v>
      </c>
      <c r="BG32">
        <v>-44.335999999999999</v>
      </c>
      <c r="BH32">
        <v>-44.238</v>
      </c>
      <c r="BI32">
        <v>-44.140999999999998</v>
      </c>
      <c r="BJ32">
        <v>-44.042999999999999</v>
      </c>
      <c r="BK32">
        <v>-43.945</v>
      </c>
      <c r="BL32">
        <v>-43.847999999999999</v>
      </c>
    </row>
    <row r="33" spans="1:64" x14ac:dyDescent="0.25">
      <c r="A33">
        <v>-50</v>
      </c>
      <c r="B33">
        <v>-49.902000000000001</v>
      </c>
      <c r="C33">
        <v>-49.805</v>
      </c>
      <c r="D33">
        <v>-49.707000000000001</v>
      </c>
      <c r="E33">
        <v>-49.609000000000002</v>
      </c>
      <c r="F33">
        <v>-49.512</v>
      </c>
      <c r="G33">
        <v>-49.414000000000001</v>
      </c>
      <c r="H33">
        <v>-49.316000000000003</v>
      </c>
      <c r="I33">
        <v>-49.219000000000001</v>
      </c>
      <c r="J33">
        <v>-49.121000000000002</v>
      </c>
      <c r="K33">
        <v>-49.023000000000003</v>
      </c>
      <c r="L33">
        <v>-48.926000000000002</v>
      </c>
      <c r="M33">
        <v>-48.828000000000003</v>
      </c>
      <c r="N33">
        <v>-48.73</v>
      </c>
      <c r="O33">
        <v>-48.633000000000003</v>
      </c>
      <c r="P33">
        <v>-48.534999999999997</v>
      </c>
      <c r="Q33">
        <v>-48.438000000000002</v>
      </c>
      <c r="R33">
        <v>-48.34</v>
      </c>
      <c r="S33">
        <v>-48.241999999999997</v>
      </c>
      <c r="T33">
        <v>-48.145000000000003</v>
      </c>
      <c r="U33">
        <v>-48.046999999999997</v>
      </c>
      <c r="V33">
        <v>-47.948999999999998</v>
      </c>
      <c r="W33">
        <v>-47.851999999999997</v>
      </c>
      <c r="X33">
        <v>-47.753999999999998</v>
      </c>
      <c r="Y33">
        <v>-47.655999999999999</v>
      </c>
      <c r="Z33">
        <v>-47.558999999999997</v>
      </c>
      <c r="AA33">
        <v>-47.460999999999999</v>
      </c>
      <c r="AB33">
        <v>-47.363</v>
      </c>
      <c r="AC33">
        <v>-47.265999999999998</v>
      </c>
      <c r="AD33">
        <v>-47.167999999999999</v>
      </c>
      <c r="AE33">
        <v>-47.07</v>
      </c>
      <c r="AF33">
        <v>-46.972999999999999</v>
      </c>
      <c r="AG33">
        <v>-46.875</v>
      </c>
      <c r="AH33">
        <v>-46.777000000000001</v>
      </c>
      <c r="AI33">
        <v>-46.68</v>
      </c>
      <c r="AJ33">
        <v>-46.582000000000001</v>
      </c>
      <c r="AK33">
        <v>-46.484000000000002</v>
      </c>
      <c r="AL33">
        <v>-46.387</v>
      </c>
      <c r="AM33">
        <v>-46.289000000000001</v>
      </c>
      <c r="AN33">
        <v>-46.191000000000003</v>
      </c>
      <c r="AO33">
        <v>-46.094000000000001</v>
      </c>
      <c r="AP33">
        <v>-45.996000000000002</v>
      </c>
      <c r="AQ33">
        <v>-45.898000000000003</v>
      </c>
      <c r="AR33">
        <v>-45.801000000000002</v>
      </c>
      <c r="AS33">
        <v>-45.703000000000003</v>
      </c>
      <c r="AT33">
        <v>-45.604999999999997</v>
      </c>
      <c r="AU33">
        <v>-45.508000000000003</v>
      </c>
      <c r="AV33">
        <v>-45.41</v>
      </c>
      <c r="AW33">
        <v>-45.313000000000002</v>
      </c>
      <c r="AX33">
        <v>-45.215000000000003</v>
      </c>
      <c r="AY33">
        <v>-45.116999999999997</v>
      </c>
      <c r="AZ33">
        <v>-45.02</v>
      </c>
      <c r="BA33">
        <v>-44.921999999999997</v>
      </c>
      <c r="BB33">
        <v>-44.823999999999998</v>
      </c>
      <c r="BC33">
        <v>-44.726999999999997</v>
      </c>
      <c r="BD33">
        <v>-44.628999999999998</v>
      </c>
      <c r="BE33">
        <v>-44.530999999999999</v>
      </c>
      <c r="BF33">
        <v>-44.433999999999997</v>
      </c>
      <c r="BG33">
        <v>-44.335999999999999</v>
      </c>
      <c r="BH33">
        <v>-44.238</v>
      </c>
      <c r="BI33">
        <v>-44.140999999999998</v>
      </c>
      <c r="BJ33">
        <v>-44.042999999999999</v>
      </c>
      <c r="BK33">
        <v>-43.945</v>
      </c>
      <c r="BL33">
        <v>-43.847999999999999</v>
      </c>
    </row>
    <row r="34" spans="1:64" x14ac:dyDescent="0.25">
      <c r="A34">
        <v>-50</v>
      </c>
      <c r="B34">
        <v>-49.902000000000001</v>
      </c>
      <c r="C34">
        <v>-49.805</v>
      </c>
      <c r="D34">
        <v>-49.707000000000001</v>
      </c>
      <c r="E34">
        <v>-49.609000000000002</v>
      </c>
      <c r="F34">
        <v>-49.512</v>
      </c>
      <c r="G34">
        <v>-49.414000000000001</v>
      </c>
      <c r="H34">
        <v>-49.316000000000003</v>
      </c>
      <c r="I34">
        <v>-49.219000000000001</v>
      </c>
      <c r="J34">
        <v>-49.121000000000002</v>
      </c>
      <c r="K34">
        <v>-49.023000000000003</v>
      </c>
      <c r="L34">
        <v>-48.926000000000002</v>
      </c>
      <c r="M34">
        <v>-48.828000000000003</v>
      </c>
      <c r="N34">
        <v>-48.73</v>
      </c>
      <c r="O34">
        <v>-48.633000000000003</v>
      </c>
      <c r="P34">
        <v>-48.534999999999997</v>
      </c>
      <c r="Q34">
        <v>-48.438000000000002</v>
      </c>
      <c r="R34">
        <v>-48.34</v>
      </c>
      <c r="S34">
        <v>-48.241999999999997</v>
      </c>
      <c r="T34">
        <v>-48.145000000000003</v>
      </c>
      <c r="U34">
        <v>-48.046999999999997</v>
      </c>
      <c r="V34">
        <v>-47.948999999999998</v>
      </c>
      <c r="W34">
        <v>-47.851999999999997</v>
      </c>
      <c r="X34">
        <v>-47.753999999999998</v>
      </c>
      <c r="Y34">
        <v>-47.655999999999999</v>
      </c>
      <c r="Z34">
        <v>-47.558999999999997</v>
      </c>
      <c r="AA34">
        <v>-47.460999999999999</v>
      </c>
      <c r="AB34">
        <v>-47.363</v>
      </c>
      <c r="AC34">
        <v>-47.265999999999998</v>
      </c>
      <c r="AD34">
        <v>-47.167999999999999</v>
      </c>
      <c r="AE34">
        <v>-47.07</v>
      </c>
      <c r="AF34">
        <v>-46.972999999999999</v>
      </c>
      <c r="AG34">
        <v>-46.875</v>
      </c>
      <c r="AH34">
        <v>-46.777000000000001</v>
      </c>
      <c r="AI34">
        <v>-46.68</v>
      </c>
      <c r="AJ34">
        <v>-46.582000000000001</v>
      </c>
      <c r="AK34">
        <v>-46.484000000000002</v>
      </c>
      <c r="AL34">
        <v>-46.387</v>
      </c>
      <c r="AM34">
        <v>-46.289000000000001</v>
      </c>
      <c r="AN34">
        <v>-46.191000000000003</v>
      </c>
      <c r="AO34">
        <v>-46.094000000000001</v>
      </c>
      <c r="AP34">
        <v>-45.996000000000002</v>
      </c>
      <c r="AQ34">
        <v>-45.898000000000003</v>
      </c>
      <c r="AR34">
        <v>-45.801000000000002</v>
      </c>
      <c r="AS34">
        <v>-45.703000000000003</v>
      </c>
      <c r="AT34">
        <v>-45.604999999999997</v>
      </c>
      <c r="AU34">
        <v>-45.508000000000003</v>
      </c>
      <c r="AV34">
        <v>-45.41</v>
      </c>
      <c r="AW34">
        <v>-45.313000000000002</v>
      </c>
      <c r="AX34">
        <v>-45.215000000000003</v>
      </c>
      <c r="AY34">
        <v>-45.116999999999997</v>
      </c>
      <c r="AZ34">
        <v>-45.02</v>
      </c>
      <c r="BA34">
        <v>-44.921999999999997</v>
      </c>
      <c r="BB34">
        <v>-44.823999999999998</v>
      </c>
      <c r="BC34">
        <v>-44.726999999999997</v>
      </c>
      <c r="BD34">
        <v>-44.628999999999998</v>
      </c>
      <c r="BE34">
        <v>-44.530999999999999</v>
      </c>
      <c r="BF34">
        <v>-44.433999999999997</v>
      </c>
      <c r="BG34">
        <v>-44.335999999999999</v>
      </c>
      <c r="BH34">
        <v>-44.238</v>
      </c>
      <c r="BI34">
        <v>-44.140999999999998</v>
      </c>
      <c r="BJ34">
        <v>-44.042999999999999</v>
      </c>
      <c r="BK34">
        <v>-43.945</v>
      </c>
      <c r="BL34">
        <v>-43.847999999999999</v>
      </c>
    </row>
    <row r="35" spans="1:64" x14ac:dyDescent="0.25">
      <c r="A35">
        <v>-50</v>
      </c>
      <c r="B35">
        <v>-49.902000000000001</v>
      </c>
      <c r="C35">
        <v>-49.805</v>
      </c>
      <c r="D35">
        <v>-49.707000000000001</v>
      </c>
      <c r="E35">
        <v>-49.609000000000002</v>
      </c>
      <c r="F35">
        <v>-49.512</v>
      </c>
      <c r="G35">
        <v>-49.414000000000001</v>
      </c>
      <c r="H35">
        <v>-49.316000000000003</v>
      </c>
      <c r="I35">
        <v>-49.219000000000001</v>
      </c>
      <c r="J35">
        <v>-49.121000000000002</v>
      </c>
      <c r="K35">
        <v>-49.023000000000003</v>
      </c>
      <c r="L35">
        <v>-48.926000000000002</v>
      </c>
      <c r="M35">
        <v>-48.828000000000003</v>
      </c>
      <c r="N35">
        <v>-48.73</v>
      </c>
      <c r="O35">
        <v>-48.633000000000003</v>
      </c>
      <c r="P35">
        <v>-48.534999999999997</v>
      </c>
      <c r="Q35">
        <v>-48.438000000000002</v>
      </c>
      <c r="R35">
        <v>-48.34</v>
      </c>
      <c r="S35">
        <v>-48.241999999999997</v>
      </c>
      <c r="T35">
        <v>-48.145000000000003</v>
      </c>
      <c r="U35">
        <v>-48.046999999999997</v>
      </c>
      <c r="V35">
        <v>-47.948999999999998</v>
      </c>
      <c r="W35">
        <v>-47.851999999999997</v>
      </c>
      <c r="X35">
        <v>-47.753999999999998</v>
      </c>
      <c r="Y35">
        <v>-47.655999999999999</v>
      </c>
      <c r="Z35">
        <v>-47.558999999999997</v>
      </c>
      <c r="AA35">
        <v>-47.460999999999999</v>
      </c>
      <c r="AB35">
        <v>-47.363</v>
      </c>
      <c r="AC35">
        <v>-47.265999999999998</v>
      </c>
      <c r="AD35">
        <v>-47.167999999999999</v>
      </c>
      <c r="AE35">
        <v>-47.07</v>
      </c>
      <c r="AF35">
        <v>-46.972999999999999</v>
      </c>
      <c r="AG35">
        <v>-46.875</v>
      </c>
      <c r="AH35">
        <v>-46.777000000000001</v>
      </c>
      <c r="AI35">
        <v>-46.68</v>
      </c>
      <c r="AJ35">
        <v>-46.582000000000001</v>
      </c>
      <c r="AK35">
        <v>-46.484000000000002</v>
      </c>
      <c r="AL35">
        <v>-46.387</v>
      </c>
      <c r="AM35">
        <v>-46.289000000000001</v>
      </c>
      <c r="AN35">
        <v>-46.191000000000003</v>
      </c>
      <c r="AO35">
        <v>-46.094000000000001</v>
      </c>
      <c r="AP35">
        <v>-45.996000000000002</v>
      </c>
      <c r="AQ35">
        <v>-45.898000000000003</v>
      </c>
      <c r="AR35">
        <v>-45.801000000000002</v>
      </c>
      <c r="AS35">
        <v>-45.703000000000003</v>
      </c>
      <c r="AT35">
        <v>-45.604999999999997</v>
      </c>
      <c r="AU35">
        <v>-45.508000000000003</v>
      </c>
      <c r="AV35">
        <v>-45.41</v>
      </c>
      <c r="AW35">
        <v>-45.313000000000002</v>
      </c>
      <c r="AX35">
        <v>-45.215000000000003</v>
      </c>
      <c r="AY35">
        <v>-45.116999999999997</v>
      </c>
      <c r="AZ35">
        <v>-45.02</v>
      </c>
      <c r="BA35">
        <v>-44.921999999999997</v>
      </c>
      <c r="BB35">
        <v>-44.823999999999998</v>
      </c>
      <c r="BC35">
        <v>-44.726999999999997</v>
      </c>
      <c r="BD35">
        <v>-44.628999999999998</v>
      </c>
      <c r="BE35">
        <v>-44.530999999999999</v>
      </c>
      <c r="BF35">
        <v>-44.433999999999997</v>
      </c>
      <c r="BG35">
        <v>-44.335999999999999</v>
      </c>
      <c r="BH35">
        <v>-44.238</v>
      </c>
      <c r="BI35">
        <v>-44.140999999999998</v>
      </c>
      <c r="BJ35">
        <v>-44.042999999999999</v>
      </c>
      <c r="BK35">
        <v>-43.945</v>
      </c>
      <c r="BL35">
        <v>-43.847999999999999</v>
      </c>
    </row>
    <row r="36" spans="1:64" x14ac:dyDescent="0.25">
      <c r="A36">
        <v>-50</v>
      </c>
      <c r="B36">
        <v>-49.902000000000001</v>
      </c>
      <c r="C36">
        <v>-49.805</v>
      </c>
      <c r="D36">
        <v>-49.707000000000001</v>
      </c>
      <c r="E36">
        <v>-49.609000000000002</v>
      </c>
      <c r="F36">
        <v>-49.512</v>
      </c>
      <c r="G36">
        <v>-49.414000000000001</v>
      </c>
      <c r="H36">
        <v>-49.316000000000003</v>
      </c>
      <c r="I36">
        <v>-49.219000000000001</v>
      </c>
      <c r="J36">
        <v>-49.121000000000002</v>
      </c>
      <c r="K36">
        <v>-49.023000000000003</v>
      </c>
      <c r="L36">
        <v>-48.926000000000002</v>
      </c>
      <c r="M36">
        <v>-48.828000000000003</v>
      </c>
      <c r="N36">
        <v>-48.73</v>
      </c>
      <c r="O36">
        <v>-48.633000000000003</v>
      </c>
      <c r="P36">
        <v>-48.534999999999997</v>
      </c>
      <c r="Q36">
        <v>-48.438000000000002</v>
      </c>
      <c r="R36">
        <v>-48.34</v>
      </c>
      <c r="S36">
        <v>-48.241999999999997</v>
      </c>
      <c r="T36">
        <v>-48.145000000000003</v>
      </c>
      <c r="U36">
        <v>-48.046999999999997</v>
      </c>
      <c r="V36">
        <v>-47.948999999999998</v>
      </c>
      <c r="W36">
        <v>-47.851999999999997</v>
      </c>
      <c r="X36">
        <v>-47.753999999999998</v>
      </c>
      <c r="Y36">
        <v>-47.655999999999999</v>
      </c>
      <c r="Z36">
        <v>-47.558999999999997</v>
      </c>
      <c r="AA36">
        <v>-47.460999999999999</v>
      </c>
      <c r="AB36">
        <v>-47.363</v>
      </c>
      <c r="AC36">
        <v>-47.265999999999998</v>
      </c>
      <c r="AD36">
        <v>-47.167999999999999</v>
      </c>
      <c r="AE36">
        <v>-47.07</v>
      </c>
      <c r="AF36">
        <v>-46.972999999999999</v>
      </c>
      <c r="AG36">
        <v>-46.875</v>
      </c>
      <c r="AH36">
        <v>-46.777000000000001</v>
      </c>
      <c r="AI36">
        <v>-46.68</v>
      </c>
      <c r="AJ36">
        <v>-46.582000000000001</v>
      </c>
      <c r="AK36">
        <v>-46.484000000000002</v>
      </c>
      <c r="AL36">
        <v>-46.387</v>
      </c>
      <c r="AM36">
        <v>-46.289000000000001</v>
      </c>
      <c r="AN36">
        <v>-46.191000000000003</v>
      </c>
      <c r="AO36">
        <v>-46.094000000000001</v>
      </c>
      <c r="AP36">
        <v>-45.996000000000002</v>
      </c>
      <c r="AQ36">
        <v>-45.898000000000003</v>
      </c>
      <c r="AR36">
        <v>-45.801000000000002</v>
      </c>
      <c r="AS36">
        <v>-45.703000000000003</v>
      </c>
      <c r="AT36">
        <v>-45.604999999999997</v>
      </c>
      <c r="AU36">
        <v>-45.508000000000003</v>
      </c>
      <c r="AV36">
        <v>-45.41</v>
      </c>
      <c r="AW36">
        <v>-45.313000000000002</v>
      </c>
      <c r="AX36">
        <v>-45.215000000000003</v>
      </c>
      <c r="AY36">
        <v>-45.116999999999997</v>
      </c>
      <c r="AZ36">
        <v>-45.02</v>
      </c>
      <c r="BA36">
        <v>-44.921999999999997</v>
      </c>
      <c r="BB36">
        <v>-44.823999999999998</v>
      </c>
      <c r="BC36">
        <v>-44.726999999999997</v>
      </c>
      <c r="BD36">
        <v>-44.628999999999998</v>
      </c>
      <c r="BE36">
        <v>-44.530999999999999</v>
      </c>
      <c r="BF36">
        <v>-44.433999999999997</v>
      </c>
      <c r="BG36">
        <v>-44.335999999999999</v>
      </c>
      <c r="BH36">
        <v>-44.238</v>
      </c>
      <c r="BI36">
        <v>-44.140999999999998</v>
      </c>
      <c r="BJ36">
        <v>-44.042999999999999</v>
      </c>
      <c r="BK36">
        <v>-43.945</v>
      </c>
      <c r="BL36">
        <v>-43.847999999999999</v>
      </c>
    </row>
    <row r="37" spans="1:64" x14ac:dyDescent="0.25">
      <c r="A37">
        <v>-50</v>
      </c>
      <c r="B37">
        <v>-49.902000000000001</v>
      </c>
      <c r="C37">
        <v>-49.805</v>
      </c>
      <c r="D37">
        <v>-49.707000000000001</v>
      </c>
      <c r="E37">
        <v>-49.609000000000002</v>
      </c>
      <c r="F37">
        <v>-49.512</v>
      </c>
      <c r="G37">
        <v>-49.414000000000001</v>
      </c>
      <c r="H37">
        <v>-49.316000000000003</v>
      </c>
      <c r="I37">
        <v>-49.219000000000001</v>
      </c>
      <c r="J37">
        <v>-49.121000000000002</v>
      </c>
      <c r="K37">
        <v>-49.023000000000003</v>
      </c>
      <c r="L37">
        <v>-48.926000000000002</v>
      </c>
      <c r="M37">
        <v>-48.828000000000003</v>
      </c>
      <c r="N37">
        <v>-48.73</v>
      </c>
      <c r="O37">
        <v>-48.633000000000003</v>
      </c>
      <c r="P37">
        <v>-48.534999999999997</v>
      </c>
      <c r="Q37">
        <v>-48.438000000000002</v>
      </c>
      <c r="R37">
        <v>-48.34</v>
      </c>
      <c r="S37">
        <v>-48.241999999999997</v>
      </c>
      <c r="T37">
        <v>-48.145000000000003</v>
      </c>
      <c r="U37">
        <v>-48.046999999999997</v>
      </c>
      <c r="V37">
        <v>-47.948999999999998</v>
      </c>
      <c r="W37">
        <v>-47.851999999999997</v>
      </c>
      <c r="X37">
        <v>-47.753999999999998</v>
      </c>
      <c r="Y37">
        <v>-47.655999999999999</v>
      </c>
      <c r="Z37">
        <v>-47.558999999999997</v>
      </c>
      <c r="AA37">
        <v>-47.460999999999999</v>
      </c>
      <c r="AB37">
        <v>-47.363</v>
      </c>
      <c r="AC37">
        <v>-47.265999999999998</v>
      </c>
      <c r="AD37">
        <v>-47.167999999999999</v>
      </c>
      <c r="AE37">
        <v>-47.07</v>
      </c>
      <c r="AF37">
        <v>-46.972999999999999</v>
      </c>
      <c r="AG37">
        <v>-46.875</v>
      </c>
      <c r="AH37">
        <v>-46.777000000000001</v>
      </c>
      <c r="AI37">
        <v>-46.68</v>
      </c>
      <c r="AJ37">
        <v>-46.582000000000001</v>
      </c>
      <c r="AK37">
        <v>-46.484000000000002</v>
      </c>
      <c r="AL37">
        <v>-46.387</v>
      </c>
      <c r="AM37">
        <v>-46.289000000000001</v>
      </c>
      <c r="AN37">
        <v>-46.191000000000003</v>
      </c>
      <c r="AO37">
        <v>-46.094000000000001</v>
      </c>
      <c r="AP37">
        <v>-45.996000000000002</v>
      </c>
      <c r="AQ37">
        <v>-45.898000000000003</v>
      </c>
      <c r="AR37">
        <v>-45.801000000000002</v>
      </c>
      <c r="AS37">
        <v>-45.703000000000003</v>
      </c>
      <c r="AT37">
        <v>-45.604999999999997</v>
      </c>
      <c r="AU37">
        <v>-45.508000000000003</v>
      </c>
      <c r="AV37">
        <v>-45.41</v>
      </c>
      <c r="AW37">
        <v>-45.313000000000002</v>
      </c>
      <c r="AX37">
        <v>-45.215000000000003</v>
      </c>
      <c r="AY37">
        <v>-45.116999999999997</v>
      </c>
      <c r="AZ37">
        <v>-45.02</v>
      </c>
      <c r="BA37">
        <v>-44.921999999999997</v>
      </c>
      <c r="BB37">
        <v>-44.823999999999998</v>
      </c>
      <c r="BC37">
        <v>-44.726999999999997</v>
      </c>
      <c r="BD37">
        <v>-44.628999999999998</v>
      </c>
      <c r="BE37">
        <v>-44.530999999999999</v>
      </c>
      <c r="BF37">
        <v>-44.433999999999997</v>
      </c>
      <c r="BG37">
        <v>-44.335999999999999</v>
      </c>
      <c r="BH37">
        <v>-44.238</v>
      </c>
      <c r="BI37">
        <v>-44.140999999999998</v>
      </c>
      <c r="BJ37">
        <v>-44.042999999999999</v>
      </c>
      <c r="BK37">
        <v>-43.945</v>
      </c>
      <c r="BL37">
        <v>-43.847999999999999</v>
      </c>
    </row>
    <row r="38" spans="1:64" x14ac:dyDescent="0.25">
      <c r="A38">
        <v>-50</v>
      </c>
      <c r="B38">
        <v>-49.902000000000001</v>
      </c>
      <c r="C38">
        <v>-49.805</v>
      </c>
      <c r="D38">
        <v>-49.707000000000001</v>
      </c>
      <c r="E38">
        <v>-49.609000000000002</v>
      </c>
      <c r="F38">
        <v>-49.512</v>
      </c>
      <c r="G38">
        <v>-49.414000000000001</v>
      </c>
      <c r="H38">
        <v>-49.316000000000003</v>
      </c>
      <c r="I38">
        <v>-49.219000000000001</v>
      </c>
      <c r="J38">
        <v>-49.121000000000002</v>
      </c>
      <c r="K38">
        <v>-49.023000000000003</v>
      </c>
      <c r="L38">
        <v>-48.926000000000002</v>
      </c>
      <c r="M38">
        <v>-48.828000000000003</v>
      </c>
      <c r="N38">
        <v>-48.73</v>
      </c>
      <c r="O38">
        <v>-48.633000000000003</v>
      </c>
      <c r="P38">
        <v>-48.534999999999997</v>
      </c>
      <c r="Q38">
        <v>-48.438000000000002</v>
      </c>
      <c r="R38">
        <v>-48.34</v>
      </c>
      <c r="S38">
        <v>-48.241999999999997</v>
      </c>
      <c r="T38">
        <v>-48.145000000000003</v>
      </c>
      <c r="U38">
        <v>-48.046999999999997</v>
      </c>
      <c r="V38">
        <v>-47.948999999999998</v>
      </c>
      <c r="W38">
        <v>-47.851999999999997</v>
      </c>
      <c r="X38">
        <v>-47.753999999999998</v>
      </c>
      <c r="Y38">
        <v>-47.655999999999999</v>
      </c>
      <c r="Z38">
        <v>-47.558999999999997</v>
      </c>
      <c r="AA38">
        <v>-47.460999999999999</v>
      </c>
      <c r="AB38">
        <v>-47.363</v>
      </c>
      <c r="AC38">
        <v>-47.265999999999998</v>
      </c>
      <c r="AD38">
        <v>-47.167999999999999</v>
      </c>
      <c r="AE38">
        <v>-47.07</v>
      </c>
      <c r="AF38">
        <v>-46.972999999999999</v>
      </c>
      <c r="AG38">
        <v>-46.875</v>
      </c>
      <c r="AH38">
        <v>-46.777000000000001</v>
      </c>
      <c r="AI38">
        <v>-46.68</v>
      </c>
      <c r="AJ38">
        <v>-46.582000000000001</v>
      </c>
      <c r="AK38">
        <v>-46.484000000000002</v>
      </c>
      <c r="AL38">
        <v>-46.387</v>
      </c>
      <c r="AM38">
        <v>-46.289000000000001</v>
      </c>
      <c r="AN38">
        <v>-46.191000000000003</v>
      </c>
      <c r="AO38">
        <v>-46.094000000000001</v>
      </c>
      <c r="AP38">
        <v>-45.996000000000002</v>
      </c>
      <c r="AQ38">
        <v>-45.898000000000003</v>
      </c>
      <c r="AR38">
        <v>-45.801000000000002</v>
      </c>
      <c r="AS38">
        <v>-45.703000000000003</v>
      </c>
      <c r="AT38">
        <v>-45.604999999999997</v>
      </c>
      <c r="AU38">
        <v>-45.508000000000003</v>
      </c>
      <c r="AV38">
        <v>-45.41</v>
      </c>
      <c r="AW38">
        <v>-45.313000000000002</v>
      </c>
      <c r="AX38">
        <v>-45.215000000000003</v>
      </c>
      <c r="AY38">
        <v>-45.116999999999997</v>
      </c>
      <c r="AZ38">
        <v>-45.02</v>
      </c>
      <c r="BA38">
        <v>-44.921999999999997</v>
      </c>
      <c r="BB38">
        <v>-44.823999999999998</v>
      </c>
      <c r="BC38">
        <v>-44.726999999999997</v>
      </c>
      <c r="BD38">
        <v>-44.628999999999998</v>
      </c>
      <c r="BE38">
        <v>-44.530999999999999</v>
      </c>
      <c r="BF38">
        <v>-44.433999999999997</v>
      </c>
      <c r="BG38">
        <v>-44.335999999999999</v>
      </c>
      <c r="BH38">
        <v>-44.238</v>
      </c>
      <c r="BI38">
        <v>-44.140999999999998</v>
      </c>
      <c r="BJ38">
        <v>-44.042999999999999</v>
      </c>
      <c r="BK38">
        <v>-43.945</v>
      </c>
      <c r="BL38">
        <v>-43.847999999999999</v>
      </c>
    </row>
    <row r="39" spans="1:64" x14ac:dyDescent="0.25">
      <c r="A39">
        <v>-50</v>
      </c>
      <c r="B39">
        <v>-49.902000000000001</v>
      </c>
      <c r="C39">
        <v>-49.805</v>
      </c>
      <c r="D39">
        <v>-49.707000000000001</v>
      </c>
      <c r="E39">
        <v>-49.609000000000002</v>
      </c>
      <c r="F39">
        <v>-49.512</v>
      </c>
      <c r="G39">
        <v>-49.414000000000001</v>
      </c>
      <c r="H39">
        <v>-49.316000000000003</v>
      </c>
      <c r="I39">
        <v>-49.219000000000001</v>
      </c>
      <c r="J39">
        <v>-49.121000000000002</v>
      </c>
      <c r="K39">
        <v>-49.023000000000003</v>
      </c>
      <c r="L39">
        <v>-48.926000000000002</v>
      </c>
      <c r="M39">
        <v>-48.828000000000003</v>
      </c>
      <c r="N39">
        <v>-48.73</v>
      </c>
      <c r="O39">
        <v>-48.633000000000003</v>
      </c>
      <c r="P39">
        <v>-48.534999999999997</v>
      </c>
      <c r="Q39">
        <v>-48.438000000000002</v>
      </c>
      <c r="R39">
        <v>-48.34</v>
      </c>
      <c r="S39">
        <v>-48.241999999999997</v>
      </c>
      <c r="T39">
        <v>-48.145000000000003</v>
      </c>
      <c r="U39">
        <v>-48.046999999999997</v>
      </c>
      <c r="V39">
        <v>-47.948999999999998</v>
      </c>
      <c r="W39">
        <v>-47.851999999999997</v>
      </c>
      <c r="X39">
        <v>-47.753999999999998</v>
      </c>
      <c r="Y39">
        <v>-47.655999999999999</v>
      </c>
      <c r="Z39">
        <v>-47.558999999999997</v>
      </c>
      <c r="AA39">
        <v>-47.460999999999999</v>
      </c>
      <c r="AB39">
        <v>-47.363</v>
      </c>
      <c r="AC39">
        <v>-47.265999999999998</v>
      </c>
      <c r="AD39">
        <v>-47.167999999999999</v>
      </c>
      <c r="AE39">
        <v>-47.07</v>
      </c>
      <c r="AF39">
        <v>-46.972999999999999</v>
      </c>
      <c r="AG39">
        <v>-46.875</v>
      </c>
      <c r="AH39">
        <v>-46.777000000000001</v>
      </c>
      <c r="AI39">
        <v>-46.68</v>
      </c>
      <c r="AJ39">
        <v>-46.582000000000001</v>
      </c>
      <c r="AK39">
        <v>-46.484000000000002</v>
      </c>
      <c r="AL39">
        <v>-46.387</v>
      </c>
      <c r="AM39">
        <v>-46.289000000000001</v>
      </c>
      <c r="AN39">
        <v>-46.191000000000003</v>
      </c>
      <c r="AO39">
        <v>-46.094000000000001</v>
      </c>
      <c r="AP39">
        <v>-45.996000000000002</v>
      </c>
      <c r="AQ39">
        <v>-45.898000000000003</v>
      </c>
      <c r="AR39">
        <v>-45.801000000000002</v>
      </c>
      <c r="AS39">
        <v>-45.703000000000003</v>
      </c>
      <c r="AT39">
        <v>-45.604999999999997</v>
      </c>
      <c r="AU39">
        <v>-45.508000000000003</v>
      </c>
      <c r="AV39">
        <v>-45.41</v>
      </c>
      <c r="AW39">
        <v>-45.313000000000002</v>
      </c>
      <c r="AX39">
        <v>-45.215000000000003</v>
      </c>
      <c r="AY39">
        <v>-45.116999999999997</v>
      </c>
      <c r="AZ39">
        <v>-45.02</v>
      </c>
      <c r="BA39">
        <v>-44.921999999999997</v>
      </c>
      <c r="BB39">
        <v>-44.823999999999998</v>
      </c>
      <c r="BC39">
        <v>-44.726999999999997</v>
      </c>
      <c r="BD39">
        <v>-44.628999999999998</v>
      </c>
      <c r="BE39">
        <v>-44.530999999999999</v>
      </c>
      <c r="BF39">
        <v>-44.433999999999997</v>
      </c>
      <c r="BG39">
        <v>-44.335999999999999</v>
      </c>
      <c r="BH39">
        <v>-44.238</v>
      </c>
      <c r="BI39">
        <v>-44.140999999999998</v>
      </c>
      <c r="BJ39">
        <v>-44.042999999999999</v>
      </c>
      <c r="BK39">
        <v>-43.945</v>
      </c>
      <c r="BL39">
        <v>-43.847999999999999</v>
      </c>
    </row>
    <row r="40" spans="1:64" x14ac:dyDescent="0.25">
      <c r="A40">
        <v>-50</v>
      </c>
      <c r="B40">
        <v>-49.902000000000001</v>
      </c>
      <c r="C40">
        <v>-49.805</v>
      </c>
      <c r="D40">
        <v>-49.707000000000001</v>
      </c>
      <c r="E40">
        <v>-49.609000000000002</v>
      </c>
      <c r="F40">
        <v>-49.512</v>
      </c>
      <c r="G40">
        <v>-49.414000000000001</v>
      </c>
      <c r="H40">
        <v>-49.316000000000003</v>
      </c>
      <c r="I40">
        <v>-49.219000000000001</v>
      </c>
      <c r="J40">
        <v>-49.121000000000002</v>
      </c>
      <c r="K40">
        <v>-49.023000000000003</v>
      </c>
      <c r="L40">
        <v>-48.926000000000002</v>
      </c>
      <c r="M40">
        <v>-48.828000000000003</v>
      </c>
      <c r="N40">
        <v>-48.73</v>
      </c>
      <c r="O40">
        <v>-48.633000000000003</v>
      </c>
      <c r="P40">
        <v>-48.534999999999997</v>
      </c>
      <c r="Q40">
        <v>-48.438000000000002</v>
      </c>
      <c r="R40">
        <v>-48.34</v>
      </c>
      <c r="S40">
        <v>-48.241999999999997</v>
      </c>
      <c r="T40">
        <v>-48.145000000000003</v>
      </c>
      <c r="U40">
        <v>-48.046999999999997</v>
      </c>
      <c r="V40">
        <v>-47.948999999999998</v>
      </c>
      <c r="W40">
        <v>-47.851999999999997</v>
      </c>
      <c r="X40">
        <v>-47.753999999999998</v>
      </c>
      <c r="Y40">
        <v>-47.655999999999999</v>
      </c>
      <c r="Z40">
        <v>-47.558999999999997</v>
      </c>
      <c r="AA40">
        <v>-47.460999999999999</v>
      </c>
      <c r="AB40">
        <v>-47.363</v>
      </c>
      <c r="AC40">
        <v>-47.265999999999998</v>
      </c>
      <c r="AD40">
        <v>-47.167999999999999</v>
      </c>
      <c r="AE40">
        <v>-47.07</v>
      </c>
      <c r="AF40">
        <v>-46.972999999999999</v>
      </c>
      <c r="AG40">
        <v>-46.875</v>
      </c>
      <c r="AH40">
        <v>-46.777000000000001</v>
      </c>
      <c r="AI40">
        <v>-46.68</v>
      </c>
      <c r="AJ40">
        <v>-46.582000000000001</v>
      </c>
      <c r="AK40">
        <v>-46.484000000000002</v>
      </c>
      <c r="AL40">
        <v>-46.387</v>
      </c>
      <c r="AM40">
        <v>-46.289000000000001</v>
      </c>
      <c r="AN40">
        <v>-46.191000000000003</v>
      </c>
      <c r="AO40">
        <v>-46.094000000000001</v>
      </c>
      <c r="AP40">
        <v>-45.996000000000002</v>
      </c>
      <c r="AQ40">
        <v>-45.898000000000003</v>
      </c>
      <c r="AR40">
        <v>-45.801000000000002</v>
      </c>
      <c r="AS40">
        <v>-45.703000000000003</v>
      </c>
      <c r="AT40">
        <v>-45.604999999999997</v>
      </c>
      <c r="AU40">
        <v>-45.508000000000003</v>
      </c>
      <c r="AV40">
        <v>-45.41</v>
      </c>
      <c r="AW40">
        <v>-45.313000000000002</v>
      </c>
      <c r="AX40">
        <v>-45.215000000000003</v>
      </c>
      <c r="AY40">
        <v>-45.116999999999997</v>
      </c>
      <c r="AZ40">
        <v>-45.02</v>
      </c>
      <c r="BA40">
        <v>-44.921999999999997</v>
      </c>
      <c r="BB40">
        <v>-44.823999999999998</v>
      </c>
      <c r="BC40">
        <v>-44.726999999999997</v>
      </c>
      <c r="BD40">
        <v>-44.628999999999998</v>
      </c>
      <c r="BE40">
        <v>-44.530999999999999</v>
      </c>
      <c r="BF40">
        <v>-44.433999999999997</v>
      </c>
      <c r="BG40">
        <v>-44.335999999999999</v>
      </c>
      <c r="BH40">
        <v>-44.238</v>
      </c>
      <c r="BI40">
        <v>-44.140999999999998</v>
      </c>
      <c r="BJ40">
        <v>-44.042999999999999</v>
      </c>
      <c r="BK40">
        <v>-43.945</v>
      </c>
      <c r="BL40">
        <v>-43.847999999999999</v>
      </c>
    </row>
    <row r="41" spans="1:64" x14ac:dyDescent="0.25">
      <c r="A41">
        <v>-50</v>
      </c>
      <c r="B41">
        <v>-49.902000000000001</v>
      </c>
      <c r="C41">
        <v>-49.805</v>
      </c>
      <c r="D41">
        <v>-49.707000000000001</v>
      </c>
      <c r="E41">
        <v>-49.609000000000002</v>
      </c>
      <c r="F41">
        <v>-49.512</v>
      </c>
      <c r="G41">
        <v>-49.414000000000001</v>
      </c>
      <c r="H41">
        <v>-49.316000000000003</v>
      </c>
      <c r="I41">
        <v>-49.219000000000001</v>
      </c>
      <c r="J41">
        <v>-49.121000000000002</v>
      </c>
      <c r="K41">
        <v>-49.023000000000003</v>
      </c>
      <c r="L41">
        <v>-48.926000000000002</v>
      </c>
      <c r="M41">
        <v>-48.828000000000003</v>
      </c>
      <c r="N41">
        <v>-48.73</v>
      </c>
      <c r="O41">
        <v>-48.633000000000003</v>
      </c>
      <c r="P41">
        <v>-48.534999999999997</v>
      </c>
      <c r="Q41">
        <v>-48.438000000000002</v>
      </c>
      <c r="R41">
        <v>-48.34</v>
      </c>
      <c r="S41">
        <v>-48.241999999999997</v>
      </c>
      <c r="T41">
        <v>-48.145000000000003</v>
      </c>
      <c r="U41">
        <v>-48.046999999999997</v>
      </c>
      <c r="V41">
        <v>-47.948999999999998</v>
      </c>
      <c r="W41">
        <v>-47.851999999999997</v>
      </c>
      <c r="X41">
        <v>-47.753999999999998</v>
      </c>
      <c r="Y41">
        <v>-47.655999999999999</v>
      </c>
      <c r="Z41">
        <v>-47.558999999999997</v>
      </c>
      <c r="AA41">
        <v>-47.460999999999999</v>
      </c>
      <c r="AB41">
        <v>-47.363</v>
      </c>
      <c r="AC41">
        <v>-47.265999999999998</v>
      </c>
      <c r="AD41">
        <v>-47.167999999999999</v>
      </c>
      <c r="AE41">
        <v>-47.07</v>
      </c>
      <c r="AF41">
        <v>-46.972999999999999</v>
      </c>
      <c r="AG41">
        <v>-46.875</v>
      </c>
      <c r="AH41">
        <v>-46.777000000000001</v>
      </c>
      <c r="AI41">
        <v>-46.68</v>
      </c>
      <c r="AJ41">
        <v>-46.582000000000001</v>
      </c>
      <c r="AK41">
        <v>-46.484000000000002</v>
      </c>
      <c r="AL41">
        <v>-46.387</v>
      </c>
      <c r="AM41">
        <v>-46.289000000000001</v>
      </c>
      <c r="AN41">
        <v>-46.191000000000003</v>
      </c>
      <c r="AO41">
        <v>-46.094000000000001</v>
      </c>
      <c r="AP41">
        <v>-45.996000000000002</v>
      </c>
      <c r="AQ41">
        <v>-45.898000000000003</v>
      </c>
      <c r="AR41">
        <v>-45.801000000000002</v>
      </c>
      <c r="AS41">
        <v>-45.703000000000003</v>
      </c>
      <c r="AT41">
        <v>-45.604999999999997</v>
      </c>
      <c r="AU41">
        <v>-45.508000000000003</v>
      </c>
      <c r="AV41">
        <v>-45.41</v>
      </c>
      <c r="AW41">
        <v>-45.313000000000002</v>
      </c>
      <c r="AX41">
        <v>-45.215000000000003</v>
      </c>
      <c r="AY41">
        <v>-45.116999999999997</v>
      </c>
      <c r="AZ41">
        <v>-45.02</v>
      </c>
      <c r="BA41">
        <v>-44.921999999999997</v>
      </c>
      <c r="BB41">
        <v>-44.823999999999998</v>
      </c>
      <c r="BC41">
        <v>-44.726999999999997</v>
      </c>
      <c r="BD41">
        <v>-44.628999999999998</v>
      </c>
      <c r="BE41">
        <v>-44.530999999999999</v>
      </c>
      <c r="BF41">
        <v>-44.433999999999997</v>
      </c>
      <c r="BG41">
        <v>-44.335999999999999</v>
      </c>
      <c r="BH41">
        <v>-44.238</v>
      </c>
      <c r="BI41">
        <v>-44.140999999999998</v>
      </c>
      <c r="BJ41">
        <v>-44.042999999999999</v>
      </c>
      <c r="BK41">
        <v>-43.945</v>
      </c>
      <c r="BL41">
        <v>-43.847999999999999</v>
      </c>
    </row>
    <row r="42" spans="1:64" x14ac:dyDescent="0.25">
      <c r="A42">
        <v>-50</v>
      </c>
      <c r="B42">
        <v>-49.902000000000001</v>
      </c>
      <c r="C42">
        <v>-49.805</v>
      </c>
      <c r="D42">
        <v>-49.707000000000001</v>
      </c>
      <c r="E42">
        <v>-49.609000000000002</v>
      </c>
      <c r="F42">
        <v>-49.512</v>
      </c>
      <c r="G42">
        <v>-49.414000000000001</v>
      </c>
      <c r="H42">
        <v>-49.316000000000003</v>
      </c>
      <c r="I42">
        <v>-49.219000000000001</v>
      </c>
      <c r="J42">
        <v>-49.121000000000002</v>
      </c>
      <c r="K42">
        <v>-49.023000000000003</v>
      </c>
      <c r="L42">
        <v>-48.926000000000002</v>
      </c>
      <c r="M42">
        <v>-48.828000000000003</v>
      </c>
      <c r="N42">
        <v>-48.73</v>
      </c>
      <c r="O42">
        <v>-48.633000000000003</v>
      </c>
      <c r="P42">
        <v>-48.534999999999997</v>
      </c>
      <c r="Q42">
        <v>-48.438000000000002</v>
      </c>
      <c r="R42">
        <v>-48.34</v>
      </c>
      <c r="S42">
        <v>-48.241999999999997</v>
      </c>
      <c r="T42">
        <v>-48.145000000000003</v>
      </c>
      <c r="U42">
        <v>-48.046999999999997</v>
      </c>
      <c r="V42">
        <v>-47.948999999999998</v>
      </c>
      <c r="W42">
        <v>-47.851999999999997</v>
      </c>
      <c r="X42">
        <v>-47.753999999999998</v>
      </c>
      <c r="Y42">
        <v>-47.655999999999999</v>
      </c>
      <c r="Z42">
        <v>-47.558999999999997</v>
      </c>
      <c r="AA42">
        <v>-47.460999999999999</v>
      </c>
      <c r="AB42">
        <v>-47.363</v>
      </c>
      <c r="AC42">
        <v>-47.265999999999998</v>
      </c>
      <c r="AD42">
        <v>-47.167999999999999</v>
      </c>
      <c r="AE42">
        <v>-47.07</v>
      </c>
      <c r="AF42">
        <v>-46.972999999999999</v>
      </c>
      <c r="AG42">
        <v>-46.875</v>
      </c>
      <c r="AH42">
        <v>-46.777000000000001</v>
      </c>
      <c r="AI42">
        <v>-46.68</v>
      </c>
      <c r="AJ42">
        <v>-46.582000000000001</v>
      </c>
      <c r="AK42">
        <v>-46.484000000000002</v>
      </c>
      <c r="AL42">
        <v>-46.387</v>
      </c>
      <c r="AM42">
        <v>-46.289000000000001</v>
      </c>
      <c r="AN42">
        <v>-46.191000000000003</v>
      </c>
      <c r="AO42">
        <v>-46.094000000000001</v>
      </c>
      <c r="AP42">
        <v>-45.996000000000002</v>
      </c>
      <c r="AQ42">
        <v>-45.898000000000003</v>
      </c>
      <c r="AR42">
        <v>-45.801000000000002</v>
      </c>
      <c r="AS42">
        <v>-45.703000000000003</v>
      </c>
      <c r="AT42">
        <v>-45.604999999999997</v>
      </c>
      <c r="AU42">
        <v>-45.508000000000003</v>
      </c>
      <c r="AV42">
        <v>-45.41</v>
      </c>
      <c r="AW42">
        <v>-45.313000000000002</v>
      </c>
      <c r="AX42">
        <v>-45.215000000000003</v>
      </c>
      <c r="AY42">
        <v>-45.116999999999997</v>
      </c>
      <c r="AZ42">
        <v>-45.02</v>
      </c>
      <c r="BA42">
        <v>-44.921999999999997</v>
      </c>
      <c r="BB42">
        <v>-44.823999999999998</v>
      </c>
      <c r="BC42">
        <v>-44.726999999999997</v>
      </c>
      <c r="BD42">
        <v>-44.628999999999998</v>
      </c>
      <c r="BE42">
        <v>-44.530999999999999</v>
      </c>
      <c r="BF42">
        <v>-44.433999999999997</v>
      </c>
      <c r="BG42">
        <v>-44.335999999999999</v>
      </c>
      <c r="BH42">
        <v>-44.238</v>
      </c>
      <c r="BI42">
        <v>-44.140999999999998</v>
      </c>
      <c r="BJ42">
        <v>-44.042999999999999</v>
      </c>
      <c r="BK42">
        <v>-43.945</v>
      </c>
      <c r="BL42">
        <v>-43.847999999999999</v>
      </c>
    </row>
    <row r="43" spans="1:64" x14ac:dyDescent="0.25">
      <c r="A43">
        <v>-50</v>
      </c>
      <c r="B43">
        <v>-49.902000000000001</v>
      </c>
      <c r="C43">
        <v>-49.805</v>
      </c>
      <c r="D43">
        <v>-49.707000000000001</v>
      </c>
      <c r="E43">
        <v>-49.609000000000002</v>
      </c>
      <c r="F43">
        <v>-49.512</v>
      </c>
      <c r="G43">
        <v>-49.414000000000001</v>
      </c>
      <c r="H43">
        <v>-49.316000000000003</v>
      </c>
      <c r="I43">
        <v>-49.219000000000001</v>
      </c>
      <c r="J43">
        <v>-49.121000000000002</v>
      </c>
      <c r="K43">
        <v>-49.023000000000003</v>
      </c>
      <c r="L43">
        <v>-48.926000000000002</v>
      </c>
      <c r="M43">
        <v>-48.828000000000003</v>
      </c>
      <c r="N43">
        <v>-48.73</v>
      </c>
      <c r="O43">
        <v>-48.633000000000003</v>
      </c>
      <c r="P43">
        <v>-48.534999999999997</v>
      </c>
      <c r="Q43">
        <v>-48.438000000000002</v>
      </c>
      <c r="R43">
        <v>-48.34</v>
      </c>
      <c r="S43">
        <v>-48.241999999999997</v>
      </c>
      <c r="T43">
        <v>-48.145000000000003</v>
      </c>
      <c r="U43">
        <v>-48.046999999999997</v>
      </c>
      <c r="V43">
        <v>-47.948999999999998</v>
      </c>
      <c r="W43">
        <v>-47.851999999999997</v>
      </c>
      <c r="X43">
        <v>-47.753999999999998</v>
      </c>
      <c r="Y43">
        <v>-47.655999999999999</v>
      </c>
      <c r="Z43">
        <v>-47.558999999999997</v>
      </c>
      <c r="AA43">
        <v>-47.460999999999999</v>
      </c>
      <c r="AB43">
        <v>-47.363</v>
      </c>
      <c r="AC43">
        <v>-47.265999999999998</v>
      </c>
      <c r="AD43">
        <v>-47.167999999999999</v>
      </c>
      <c r="AE43">
        <v>-47.07</v>
      </c>
      <c r="AF43">
        <v>-46.972999999999999</v>
      </c>
      <c r="AG43">
        <v>-46.875</v>
      </c>
      <c r="AH43">
        <v>-46.777000000000001</v>
      </c>
      <c r="AI43">
        <v>-46.68</v>
      </c>
      <c r="AJ43">
        <v>-46.582000000000001</v>
      </c>
      <c r="AK43">
        <v>-46.484000000000002</v>
      </c>
      <c r="AL43">
        <v>-46.387</v>
      </c>
      <c r="AM43">
        <v>-46.289000000000001</v>
      </c>
      <c r="AN43">
        <v>-46.191000000000003</v>
      </c>
      <c r="AO43">
        <v>-46.094000000000001</v>
      </c>
      <c r="AP43">
        <v>-45.996000000000002</v>
      </c>
      <c r="AQ43">
        <v>-45.898000000000003</v>
      </c>
      <c r="AR43">
        <v>-45.801000000000002</v>
      </c>
      <c r="AS43">
        <v>-45.703000000000003</v>
      </c>
      <c r="AT43">
        <v>-45.604999999999997</v>
      </c>
      <c r="AU43">
        <v>-45.508000000000003</v>
      </c>
      <c r="AV43">
        <v>-45.41</v>
      </c>
      <c r="AW43">
        <v>-45.313000000000002</v>
      </c>
      <c r="AX43">
        <v>-45.215000000000003</v>
      </c>
      <c r="AY43">
        <v>-45.116999999999997</v>
      </c>
      <c r="AZ43">
        <v>-45.02</v>
      </c>
      <c r="BA43">
        <v>-44.921999999999997</v>
      </c>
      <c r="BB43">
        <v>-44.823999999999998</v>
      </c>
      <c r="BC43">
        <v>-44.726999999999997</v>
      </c>
      <c r="BD43">
        <v>-44.628999999999998</v>
      </c>
      <c r="BE43">
        <v>-44.530999999999999</v>
      </c>
      <c r="BF43">
        <v>-44.433999999999997</v>
      </c>
      <c r="BG43">
        <v>-44.335999999999999</v>
      </c>
      <c r="BH43">
        <v>-44.238</v>
      </c>
      <c r="BI43">
        <v>-44.140999999999998</v>
      </c>
      <c r="BJ43">
        <v>-44.042999999999999</v>
      </c>
      <c r="BK43">
        <v>-43.945</v>
      </c>
      <c r="BL43">
        <v>-43.847999999999999</v>
      </c>
    </row>
    <row r="44" spans="1:64" x14ac:dyDescent="0.25">
      <c r="A44">
        <v>-50</v>
      </c>
      <c r="B44">
        <v>-49.902000000000001</v>
      </c>
      <c r="C44">
        <v>-49.805</v>
      </c>
      <c r="D44">
        <v>-49.707000000000001</v>
      </c>
      <c r="E44">
        <v>-49.609000000000002</v>
      </c>
      <c r="F44">
        <v>-49.512</v>
      </c>
      <c r="G44">
        <v>-49.414000000000001</v>
      </c>
      <c r="H44">
        <v>-49.316000000000003</v>
      </c>
      <c r="I44">
        <v>-49.219000000000001</v>
      </c>
      <c r="J44">
        <v>-49.121000000000002</v>
      </c>
      <c r="K44">
        <v>-49.023000000000003</v>
      </c>
      <c r="L44">
        <v>-48.926000000000002</v>
      </c>
      <c r="M44">
        <v>-48.828000000000003</v>
      </c>
      <c r="N44">
        <v>-48.73</v>
      </c>
      <c r="O44">
        <v>-48.633000000000003</v>
      </c>
      <c r="P44">
        <v>-48.534999999999997</v>
      </c>
      <c r="Q44">
        <v>-48.438000000000002</v>
      </c>
      <c r="R44">
        <v>-48.34</v>
      </c>
      <c r="S44">
        <v>-48.241999999999997</v>
      </c>
      <c r="T44">
        <v>-48.145000000000003</v>
      </c>
      <c r="U44">
        <v>-48.046999999999997</v>
      </c>
      <c r="V44">
        <v>-47.948999999999998</v>
      </c>
      <c r="W44">
        <v>-47.851999999999997</v>
      </c>
      <c r="X44">
        <v>-47.753999999999998</v>
      </c>
      <c r="Y44">
        <v>-47.655999999999999</v>
      </c>
      <c r="Z44">
        <v>-47.558999999999997</v>
      </c>
      <c r="AA44">
        <v>-47.460999999999999</v>
      </c>
      <c r="AB44">
        <v>-47.363</v>
      </c>
      <c r="AC44">
        <v>-47.265999999999998</v>
      </c>
      <c r="AD44">
        <v>-47.167999999999999</v>
      </c>
      <c r="AE44">
        <v>-47.07</v>
      </c>
      <c r="AF44">
        <v>-46.972999999999999</v>
      </c>
      <c r="AG44">
        <v>-46.875</v>
      </c>
      <c r="AH44">
        <v>-46.777000000000001</v>
      </c>
      <c r="AI44">
        <v>-46.68</v>
      </c>
      <c r="AJ44">
        <v>-46.582000000000001</v>
      </c>
      <c r="AK44">
        <v>-46.484000000000002</v>
      </c>
      <c r="AL44">
        <v>-46.387</v>
      </c>
      <c r="AM44">
        <v>-46.289000000000001</v>
      </c>
      <c r="AN44">
        <v>-46.191000000000003</v>
      </c>
      <c r="AO44">
        <v>-46.094000000000001</v>
      </c>
      <c r="AP44">
        <v>-45.996000000000002</v>
      </c>
      <c r="AQ44">
        <v>-45.898000000000003</v>
      </c>
      <c r="AR44">
        <v>-45.801000000000002</v>
      </c>
      <c r="AS44">
        <v>-45.703000000000003</v>
      </c>
      <c r="AT44">
        <v>-45.604999999999997</v>
      </c>
      <c r="AU44">
        <v>-45.508000000000003</v>
      </c>
      <c r="AV44">
        <v>-45.41</v>
      </c>
      <c r="AW44">
        <v>-45.313000000000002</v>
      </c>
      <c r="AX44">
        <v>-45.215000000000003</v>
      </c>
      <c r="AY44">
        <v>-45.116999999999997</v>
      </c>
      <c r="AZ44">
        <v>-45.02</v>
      </c>
      <c r="BA44">
        <v>-44.921999999999997</v>
      </c>
      <c r="BB44">
        <v>-44.823999999999998</v>
      </c>
      <c r="BC44">
        <v>-44.726999999999997</v>
      </c>
      <c r="BD44">
        <v>-44.628999999999998</v>
      </c>
      <c r="BE44">
        <v>-44.530999999999999</v>
      </c>
      <c r="BF44">
        <v>-44.433999999999997</v>
      </c>
      <c r="BG44">
        <v>-44.335999999999999</v>
      </c>
      <c r="BH44">
        <v>-44.238</v>
      </c>
      <c r="BI44">
        <v>-44.140999999999998</v>
      </c>
      <c r="BJ44">
        <v>-44.042999999999999</v>
      </c>
      <c r="BK44">
        <v>-43.945</v>
      </c>
      <c r="BL44">
        <v>-43.847999999999999</v>
      </c>
    </row>
    <row r="45" spans="1:64" x14ac:dyDescent="0.25">
      <c r="A45">
        <v>-50</v>
      </c>
      <c r="B45">
        <v>-49.902000000000001</v>
      </c>
      <c r="C45">
        <v>-49.805</v>
      </c>
      <c r="D45">
        <v>-49.707000000000001</v>
      </c>
      <c r="E45">
        <v>-49.609000000000002</v>
      </c>
      <c r="F45">
        <v>-49.512</v>
      </c>
      <c r="G45">
        <v>-49.414000000000001</v>
      </c>
      <c r="H45">
        <v>-49.316000000000003</v>
      </c>
      <c r="I45">
        <v>-49.219000000000001</v>
      </c>
      <c r="J45">
        <v>-49.121000000000002</v>
      </c>
      <c r="K45">
        <v>-49.023000000000003</v>
      </c>
      <c r="L45">
        <v>-48.926000000000002</v>
      </c>
      <c r="M45">
        <v>-48.828000000000003</v>
      </c>
      <c r="N45">
        <v>-48.73</v>
      </c>
      <c r="O45">
        <v>-48.633000000000003</v>
      </c>
      <c r="P45">
        <v>-48.534999999999997</v>
      </c>
      <c r="Q45">
        <v>-48.438000000000002</v>
      </c>
      <c r="R45">
        <v>-48.34</v>
      </c>
      <c r="S45">
        <v>-48.241999999999997</v>
      </c>
      <c r="T45">
        <v>-48.145000000000003</v>
      </c>
      <c r="U45">
        <v>-48.046999999999997</v>
      </c>
      <c r="V45">
        <v>-47.948999999999998</v>
      </c>
      <c r="W45">
        <v>-47.851999999999997</v>
      </c>
      <c r="X45">
        <v>-47.753999999999998</v>
      </c>
      <c r="Y45">
        <v>-47.655999999999999</v>
      </c>
      <c r="Z45">
        <v>-47.558999999999997</v>
      </c>
      <c r="AA45">
        <v>-47.460999999999999</v>
      </c>
      <c r="AB45">
        <v>-47.363</v>
      </c>
      <c r="AC45">
        <v>-47.265999999999998</v>
      </c>
      <c r="AD45">
        <v>-47.167999999999999</v>
      </c>
      <c r="AE45">
        <v>-47.07</v>
      </c>
      <c r="AF45">
        <v>-46.972999999999999</v>
      </c>
      <c r="AG45">
        <v>-46.875</v>
      </c>
      <c r="AH45">
        <v>-46.777000000000001</v>
      </c>
      <c r="AI45">
        <v>-46.68</v>
      </c>
      <c r="AJ45">
        <v>-46.582000000000001</v>
      </c>
      <c r="AK45">
        <v>-46.484000000000002</v>
      </c>
      <c r="AL45">
        <v>-46.387</v>
      </c>
      <c r="AM45">
        <v>-46.289000000000001</v>
      </c>
      <c r="AN45">
        <v>-46.191000000000003</v>
      </c>
      <c r="AO45">
        <v>-46.094000000000001</v>
      </c>
      <c r="AP45">
        <v>-45.996000000000002</v>
      </c>
      <c r="AQ45">
        <v>-45.898000000000003</v>
      </c>
      <c r="AR45">
        <v>-45.801000000000002</v>
      </c>
      <c r="AS45">
        <v>-45.703000000000003</v>
      </c>
      <c r="AT45">
        <v>-45.604999999999997</v>
      </c>
      <c r="AU45">
        <v>-45.508000000000003</v>
      </c>
      <c r="AV45">
        <v>-45.41</v>
      </c>
      <c r="AW45">
        <v>-45.313000000000002</v>
      </c>
      <c r="AX45">
        <v>-45.215000000000003</v>
      </c>
      <c r="AY45">
        <v>-45.116999999999997</v>
      </c>
      <c r="AZ45">
        <v>-45.02</v>
      </c>
      <c r="BA45">
        <v>-44.921999999999997</v>
      </c>
      <c r="BB45">
        <v>-44.823999999999998</v>
      </c>
      <c r="BC45">
        <v>-44.726999999999997</v>
      </c>
      <c r="BD45">
        <v>-44.628999999999998</v>
      </c>
      <c r="BE45">
        <v>-44.530999999999999</v>
      </c>
      <c r="BF45">
        <v>-44.433999999999997</v>
      </c>
      <c r="BG45">
        <v>-44.335999999999999</v>
      </c>
      <c r="BH45">
        <v>-44.238</v>
      </c>
      <c r="BI45">
        <v>-44.140999999999998</v>
      </c>
      <c r="BJ45">
        <v>-44.042999999999999</v>
      </c>
      <c r="BK45">
        <v>-43.945</v>
      </c>
      <c r="BL45">
        <v>-43.847999999999999</v>
      </c>
    </row>
    <row r="46" spans="1:64" x14ac:dyDescent="0.25">
      <c r="A46">
        <v>-50</v>
      </c>
      <c r="B46">
        <v>-49.902000000000001</v>
      </c>
      <c r="C46">
        <v>-49.805</v>
      </c>
      <c r="D46">
        <v>-49.707000000000001</v>
      </c>
      <c r="E46">
        <v>-49.609000000000002</v>
      </c>
      <c r="F46">
        <v>-49.512</v>
      </c>
      <c r="G46">
        <v>-49.414000000000001</v>
      </c>
      <c r="H46">
        <v>-49.316000000000003</v>
      </c>
      <c r="I46">
        <v>-49.219000000000001</v>
      </c>
      <c r="J46">
        <v>-49.121000000000002</v>
      </c>
      <c r="K46">
        <v>-49.023000000000003</v>
      </c>
      <c r="L46">
        <v>-48.926000000000002</v>
      </c>
      <c r="M46">
        <v>-48.828000000000003</v>
      </c>
      <c r="N46">
        <v>-48.73</v>
      </c>
      <c r="O46">
        <v>-48.633000000000003</v>
      </c>
      <c r="P46">
        <v>-48.534999999999997</v>
      </c>
      <c r="Q46">
        <v>-48.438000000000002</v>
      </c>
      <c r="R46">
        <v>-48.34</v>
      </c>
      <c r="S46">
        <v>-48.241999999999997</v>
      </c>
      <c r="T46">
        <v>-48.145000000000003</v>
      </c>
      <c r="U46">
        <v>-48.046999999999997</v>
      </c>
      <c r="V46">
        <v>-47.948999999999998</v>
      </c>
      <c r="W46">
        <v>-47.851999999999997</v>
      </c>
      <c r="X46">
        <v>-47.753999999999998</v>
      </c>
      <c r="Y46">
        <v>-47.655999999999999</v>
      </c>
      <c r="Z46">
        <v>-47.558999999999997</v>
      </c>
      <c r="AA46">
        <v>-47.460999999999999</v>
      </c>
      <c r="AB46">
        <v>-47.363</v>
      </c>
      <c r="AC46">
        <v>-47.265999999999998</v>
      </c>
      <c r="AD46">
        <v>-47.167999999999999</v>
      </c>
      <c r="AE46">
        <v>-47.07</v>
      </c>
      <c r="AF46">
        <v>-46.972999999999999</v>
      </c>
      <c r="AG46">
        <v>-46.875</v>
      </c>
      <c r="AH46">
        <v>-46.777000000000001</v>
      </c>
      <c r="AI46">
        <v>-46.68</v>
      </c>
      <c r="AJ46">
        <v>-46.582000000000001</v>
      </c>
      <c r="AK46">
        <v>-46.484000000000002</v>
      </c>
      <c r="AL46">
        <v>-46.387</v>
      </c>
      <c r="AM46">
        <v>-46.289000000000001</v>
      </c>
      <c r="AN46">
        <v>-46.191000000000003</v>
      </c>
      <c r="AO46">
        <v>-46.094000000000001</v>
      </c>
      <c r="AP46">
        <v>-45.996000000000002</v>
      </c>
      <c r="AQ46">
        <v>-45.898000000000003</v>
      </c>
      <c r="AR46">
        <v>-45.801000000000002</v>
      </c>
      <c r="AS46">
        <v>-45.703000000000003</v>
      </c>
      <c r="AT46">
        <v>-45.604999999999997</v>
      </c>
      <c r="AU46">
        <v>-45.508000000000003</v>
      </c>
      <c r="AV46">
        <v>-45.41</v>
      </c>
      <c r="AW46">
        <v>-45.313000000000002</v>
      </c>
      <c r="AX46">
        <v>-45.215000000000003</v>
      </c>
      <c r="AY46">
        <v>-45.116999999999997</v>
      </c>
      <c r="AZ46">
        <v>-45.02</v>
      </c>
      <c r="BA46">
        <v>-44.921999999999997</v>
      </c>
      <c r="BB46">
        <v>-44.823999999999998</v>
      </c>
      <c r="BC46">
        <v>-44.726999999999997</v>
      </c>
      <c r="BD46">
        <v>-44.628999999999998</v>
      </c>
      <c r="BE46">
        <v>-44.530999999999999</v>
      </c>
      <c r="BF46">
        <v>-44.433999999999997</v>
      </c>
      <c r="BG46">
        <v>-44.335999999999999</v>
      </c>
      <c r="BH46">
        <v>-44.238</v>
      </c>
      <c r="BI46">
        <v>-44.140999999999998</v>
      </c>
      <c r="BJ46">
        <v>-44.042999999999999</v>
      </c>
      <c r="BK46">
        <v>-43.945</v>
      </c>
      <c r="BL46">
        <v>-43.847999999999999</v>
      </c>
    </row>
    <row r="47" spans="1:64" x14ac:dyDescent="0.25">
      <c r="A47">
        <v>-50</v>
      </c>
      <c r="B47">
        <v>-49.902000000000001</v>
      </c>
      <c r="C47">
        <v>-49.805</v>
      </c>
      <c r="D47">
        <v>-49.707000000000001</v>
      </c>
      <c r="E47">
        <v>-49.609000000000002</v>
      </c>
      <c r="F47">
        <v>-49.512</v>
      </c>
      <c r="G47">
        <v>-49.414000000000001</v>
      </c>
      <c r="H47">
        <v>-49.316000000000003</v>
      </c>
      <c r="I47">
        <v>-49.219000000000001</v>
      </c>
      <c r="J47">
        <v>-49.121000000000002</v>
      </c>
      <c r="K47">
        <v>-49.023000000000003</v>
      </c>
      <c r="L47">
        <v>-48.926000000000002</v>
      </c>
      <c r="M47">
        <v>-48.828000000000003</v>
      </c>
      <c r="N47">
        <v>-48.73</v>
      </c>
      <c r="O47">
        <v>-48.633000000000003</v>
      </c>
      <c r="P47">
        <v>-48.534999999999997</v>
      </c>
      <c r="Q47">
        <v>-48.438000000000002</v>
      </c>
      <c r="R47">
        <v>-48.34</v>
      </c>
      <c r="S47">
        <v>-48.241999999999997</v>
      </c>
      <c r="T47">
        <v>-48.145000000000003</v>
      </c>
      <c r="U47">
        <v>-48.046999999999997</v>
      </c>
      <c r="V47">
        <v>-47.948999999999998</v>
      </c>
      <c r="W47">
        <v>-47.851999999999997</v>
      </c>
      <c r="X47">
        <v>-47.753999999999998</v>
      </c>
      <c r="Y47">
        <v>-47.655999999999999</v>
      </c>
      <c r="Z47">
        <v>-47.558999999999997</v>
      </c>
      <c r="AA47">
        <v>-47.460999999999999</v>
      </c>
      <c r="AB47">
        <v>-47.363</v>
      </c>
      <c r="AC47">
        <v>-47.265999999999998</v>
      </c>
      <c r="AD47">
        <v>-47.167999999999999</v>
      </c>
      <c r="AE47">
        <v>-47.07</v>
      </c>
      <c r="AF47">
        <v>-46.972999999999999</v>
      </c>
      <c r="AG47">
        <v>-46.875</v>
      </c>
      <c r="AH47">
        <v>-46.777000000000001</v>
      </c>
      <c r="AI47">
        <v>-46.68</v>
      </c>
      <c r="AJ47">
        <v>-46.582000000000001</v>
      </c>
      <c r="AK47">
        <v>-46.484000000000002</v>
      </c>
      <c r="AL47">
        <v>-46.387</v>
      </c>
      <c r="AM47">
        <v>-46.289000000000001</v>
      </c>
      <c r="AN47">
        <v>-46.191000000000003</v>
      </c>
      <c r="AO47">
        <v>-46.094000000000001</v>
      </c>
      <c r="AP47">
        <v>-45.996000000000002</v>
      </c>
      <c r="AQ47">
        <v>-45.898000000000003</v>
      </c>
      <c r="AR47">
        <v>-45.801000000000002</v>
      </c>
      <c r="AS47">
        <v>-45.703000000000003</v>
      </c>
      <c r="AT47">
        <v>-45.604999999999997</v>
      </c>
      <c r="AU47">
        <v>-45.508000000000003</v>
      </c>
      <c r="AV47">
        <v>-45.41</v>
      </c>
      <c r="AW47">
        <v>-45.313000000000002</v>
      </c>
      <c r="AX47">
        <v>-45.215000000000003</v>
      </c>
      <c r="AY47">
        <v>-45.116999999999997</v>
      </c>
      <c r="AZ47">
        <v>-45.02</v>
      </c>
      <c r="BA47">
        <v>-44.921999999999997</v>
      </c>
      <c r="BB47">
        <v>-44.823999999999998</v>
      </c>
      <c r="BC47">
        <v>-44.726999999999997</v>
      </c>
      <c r="BD47">
        <v>-44.628999999999998</v>
      </c>
      <c r="BE47">
        <v>-44.530999999999999</v>
      </c>
      <c r="BF47">
        <v>-44.433999999999997</v>
      </c>
      <c r="BG47">
        <v>-44.335999999999999</v>
      </c>
      <c r="BH47">
        <v>-44.238</v>
      </c>
      <c r="BI47">
        <v>-44.140999999999998</v>
      </c>
      <c r="BJ47">
        <v>-44.042999999999999</v>
      </c>
      <c r="BK47">
        <v>-43.945</v>
      </c>
      <c r="BL47">
        <v>-43.847999999999999</v>
      </c>
    </row>
    <row r="48" spans="1:64" x14ac:dyDescent="0.25">
      <c r="A48">
        <v>-50</v>
      </c>
      <c r="B48">
        <v>-49.902000000000001</v>
      </c>
      <c r="C48">
        <v>-49.805</v>
      </c>
      <c r="D48">
        <v>-49.707000000000001</v>
      </c>
      <c r="E48">
        <v>-49.609000000000002</v>
      </c>
      <c r="F48">
        <v>-49.512</v>
      </c>
      <c r="G48">
        <v>-49.414000000000001</v>
      </c>
      <c r="H48">
        <v>-49.316000000000003</v>
      </c>
      <c r="I48">
        <v>-49.219000000000001</v>
      </c>
      <c r="J48">
        <v>-49.121000000000002</v>
      </c>
      <c r="K48">
        <v>-49.023000000000003</v>
      </c>
      <c r="L48">
        <v>-48.926000000000002</v>
      </c>
      <c r="M48">
        <v>-48.828000000000003</v>
      </c>
      <c r="N48">
        <v>-48.73</v>
      </c>
      <c r="O48">
        <v>-48.633000000000003</v>
      </c>
      <c r="P48">
        <v>-48.534999999999997</v>
      </c>
      <c r="Q48">
        <v>-48.438000000000002</v>
      </c>
      <c r="R48">
        <v>-48.34</v>
      </c>
      <c r="S48">
        <v>-48.241999999999997</v>
      </c>
      <c r="T48">
        <v>-48.145000000000003</v>
      </c>
      <c r="U48">
        <v>-48.046999999999997</v>
      </c>
      <c r="V48">
        <v>-47.948999999999998</v>
      </c>
      <c r="W48">
        <v>-47.851999999999997</v>
      </c>
      <c r="X48">
        <v>-47.753999999999998</v>
      </c>
      <c r="Y48">
        <v>-47.655999999999999</v>
      </c>
      <c r="Z48">
        <v>-47.558999999999997</v>
      </c>
      <c r="AA48">
        <v>-47.460999999999999</v>
      </c>
      <c r="AB48">
        <v>-47.363</v>
      </c>
      <c r="AC48">
        <v>-47.265999999999998</v>
      </c>
      <c r="AD48">
        <v>-47.167999999999999</v>
      </c>
      <c r="AE48">
        <v>-47.07</v>
      </c>
      <c r="AF48">
        <v>-46.972999999999999</v>
      </c>
      <c r="AG48">
        <v>-46.875</v>
      </c>
      <c r="AH48">
        <v>-46.777000000000001</v>
      </c>
      <c r="AI48">
        <v>-46.68</v>
      </c>
      <c r="AJ48">
        <v>-46.582000000000001</v>
      </c>
      <c r="AK48">
        <v>-46.484000000000002</v>
      </c>
      <c r="AL48">
        <v>-46.387</v>
      </c>
      <c r="AM48">
        <v>-46.289000000000001</v>
      </c>
      <c r="AN48">
        <v>-46.191000000000003</v>
      </c>
      <c r="AO48">
        <v>-46.094000000000001</v>
      </c>
      <c r="AP48">
        <v>-45.996000000000002</v>
      </c>
      <c r="AQ48">
        <v>-45.898000000000003</v>
      </c>
      <c r="AR48">
        <v>-45.801000000000002</v>
      </c>
      <c r="AS48">
        <v>-45.703000000000003</v>
      </c>
      <c r="AT48">
        <v>-45.604999999999997</v>
      </c>
      <c r="AU48">
        <v>-45.508000000000003</v>
      </c>
      <c r="AV48">
        <v>-45.41</v>
      </c>
      <c r="AW48">
        <v>-45.313000000000002</v>
      </c>
      <c r="AX48">
        <v>-45.215000000000003</v>
      </c>
      <c r="AY48">
        <v>-45.116999999999997</v>
      </c>
      <c r="AZ48">
        <v>-45.02</v>
      </c>
      <c r="BA48">
        <v>-44.921999999999997</v>
      </c>
      <c r="BB48">
        <v>-44.823999999999998</v>
      </c>
      <c r="BC48">
        <v>-44.726999999999997</v>
      </c>
      <c r="BD48">
        <v>-44.628999999999998</v>
      </c>
      <c r="BE48">
        <v>-44.530999999999999</v>
      </c>
      <c r="BF48">
        <v>-44.433999999999997</v>
      </c>
      <c r="BG48">
        <v>-44.335999999999999</v>
      </c>
      <c r="BH48">
        <v>-44.238</v>
      </c>
      <c r="BI48">
        <v>-44.140999999999998</v>
      </c>
      <c r="BJ48">
        <v>-44.042999999999999</v>
      </c>
      <c r="BK48">
        <v>-43.945</v>
      </c>
      <c r="BL48">
        <v>-43.847999999999999</v>
      </c>
    </row>
    <row r="49" spans="1:64" x14ac:dyDescent="0.25">
      <c r="A49">
        <v>-50</v>
      </c>
      <c r="B49">
        <v>-49.902000000000001</v>
      </c>
      <c r="C49">
        <v>-49.805</v>
      </c>
      <c r="D49">
        <v>-49.707000000000001</v>
      </c>
      <c r="E49">
        <v>-49.609000000000002</v>
      </c>
      <c r="F49">
        <v>-49.512</v>
      </c>
      <c r="G49">
        <v>-49.414000000000001</v>
      </c>
      <c r="H49">
        <v>-49.316000000000003</v>
      </c>
      <c r="I49">
        <v>-49.219000000000001</v>
      </c>
      <c r="J49">
        <v>-49.121000000000002</v>
      </c>
      <c r="K49">
        <v>-49.023000000000003</v>
      </c>
      <c r="L49">
        <v>-48.926000000000002</v>
      </c>
      <c r="M49">
        <v>-48.828000000000003</v>
      </c>
      <c r="N49">
        <v>-48.73</v>
      </c>
      <c r="O49">
        <v>-48.633000000000003</v>
      </c>
      <c r="P49">
        <v>-48.534999999999997</v>
      </c>
      <c r="Q49">
        <v>-48.438000000000002</v>
      </c>
      <c r="R49">
        <v>-48.34</v>
      </c>
      <c r="S49">
        <v>-48.241999999999997</v>
      </c>
      <c r="T49">
        <v>-48.145000000000003</v>
      </c>
      <c r="U49">
        <v>-48.046999999999997</v>
      </c>
      <c r="V49">
        <v>-47.948999999999998</v>
      </c>
      <c r="W49">
        <v>-47.851999999999997</v>
      </c>
      <c r="X49">
        <v>-47.753999999999998</v>
      </c>
      <c r="Y49">
        <v>-47.655999999999999</v>
      </c>
      <c r="Z49">
        <v>-47.558999999999997</v>
      </c>
      <c r="AA49">
        <v>-47.460999999999999</v>
      </c>
      <c r="AB49">
        <v>-47.363</v>
      </c>
      <c r="AC49">
        <v>-47.265999999999998</v>
      </c>
      <c r="AD49">
        <v>-47.167999999999999</v>
      </c>
      <c r="AE49">
        <v>-47.07</v>
      </c>
      <c r="AF49">
        <v>-46.972999999999999</v>
      </c>
      <c r="AG49">
        <v>-46.875</v>
      </c>
      <c r="AH49">
        <v>-46.777000000000001</v>
      </c>
      <c r="AI49">
        <v>-46.68</v>
      </c>
      <c r="AJ49">
        <v>-46.582000000000001</v>
      </c>
      <c r="AK49">
        <v>-46.484000000000002</v>
      </c>
      <c r="AL49">
        <v>-46.387</v>
      </c>
      <c r="AM49">
        <v>-46.289000000000001</v>
      </c>
      <c r="AN49">
        <v>-46.191000000000003</v>
      </c>
      <c r="AO49">
        <v>-46.094000000000001</v>
      </c>
      <c r="AP49">
        <v>-45.996000000000002</v>
      </c>
      <c r="AQ49">
        <v>-45.898000000000003</v>
      </c>
      <c r="AR49">
        <v>-45.801000000000002</v>
      </c>
      <c r="AS49">
        <v>-45.703000000000003</v>
      </c>
      <c r="AT49">
        <v>-45.604999999999997</v>
      </c>
      <c r="AU49">
        <v>-45.508000000000003</v>
      </c>
      <c r="AV49">
        <v>-45.41</v>
      </c>
      <c r="AW49">
        <v>-45.313000000000002</v>
      </c>
      <c r="AX49">
        <v>-45.215000000000003</v>
      </c>
      <c r="AY49">
        <v>-45.116999999999997</v>
      </c>
      <c r="AZ49">
        <v>-45.02</v>
      </c>
      <c r="BA49">
        <v>-44.921999999999997</v>
      </c>
      <c r="BB49">
        <v>-44.823999999999998</v>
      </c>
      <c r="BC49">
        <v>-44.726999999999997</v>
      </c>
      <c r="BD49">
        <v>-44.628999999999998</v>
      </c>
      <c r="BE49">
        <v>-44.530999999999999</v>
      </c>
      <c r="BF49">
        <v>-44.433999999999997</v>
      </c>
      <c r="BG49">
        <v>-44.335999999999999</v>
      </c>
      <c r="BH49">
        <v>-44.238</v>
      </c>
      <c r="BI49">
        <v>-44.140999999999998</v>
      </c>
      <c r="BJ49">
        <v>-44.042999999999999</v>
      </c>
      <c r="BK49">
        <v>-43.945</v>
      </c>
      <c r="BL49">
        <v>-43.847999999999999</v>
      </c>
    </row>
    <row r="50" spans="1:64" x14ac:dyDescent="0.25">
      <c r="A50">
        <v>-50</v>
      </c>
      <c r="B50">
        <v>-49.902000000000001</v>
      </c>
      <c r="C50">
        <v>-49.805</v>
      </c>
      <c r="D50">
        <v>-49.707000000000001</v>
      </c>
      <c r="E50">
        <v>-49.609000000000002</v>
      </c>
      <c r="F50">
        <v>-49.512</v>
      </c>
      <c r="G50">
        <v>-49.414000000000001</v>
      </c>
      <c r="H50">
        <v>-49.316000000000003</v>
      </c>
      <c r="I50">
        <v>-49.219000000000001</v>
      </c>
      <c r="J50">
        <v>-49.121000000000002</v>
      </c>
      <c r="K50">
        <v>-49.023000000000003</v>
      </c>
      <c r="L50">
        <v>-48.926000000000002</v>
      </c>
      <c r="M50">
        <v>-48.828000000000003</v>
      </c>
      <c r="N50">
        <v>-48.73</v>
      </c>
      <c r="O50">
        <v>-48.633000000000003</v>
      </c>
      <c r="P50">
        <v>-48.534999999999997</v>
      </c>
      <c r="Q50">
        <v>-48.438000000000002</v>
      </c>
      <c r="R50">
        <v>-48.34</v>
      </c>
      <c r="S50">
        <v>-48.241999999999997</v>
      </c>
      <c r="T50">
        <v>-48.145000000000003</v>
      </c>
      <c r="U50">
        <v>-48.046999999999997</v>
      </c>
      <c r="V50">
        <v>-47.948999999999998</v>
      </c>
      <c r="W50">
        <v>-47.851999999999997</v>
      </c>
      <c r="X50">
        <v>-47.753999999999998</v>
      </c>
      <c r="Y50">
        <v>-47.655999999999999</v>
      </c>
      <c r="Z50">
        <v>-47.558999999999997</v>
      </c>
      <c r="AA50">
        <v>-47.460999999999999</v>
      </c>
      <c r="AB50">
        <v>-47.363</v>
      </c>
      <c r="AC50">
        <v>-47.265999999999998</v>
      </c>
      <c r="AD50">
        <v>-47.167999999999999</v>
      </c>
      <c r="AE50">
        <v>-47.07</v>
      </c>
      <c r="AF50">
        <v>-46.972999999999999</v>
      </c>
      <c r="AG50">
        <v>-46.875</v>
      </c>
      <c r="AH50">
        <v>-46.777000000000001</v>
      </c>
      <c r="AI50">
        <v>-46.68</v>
      </c>
      <c r="AJ50">
        <v>-46.582000000000001</v>
      </c>
      <c r="AK50">
        <v>-46.484000000000002</v>
      </c>
      <c r="AL50">
        <v>-46.387</v>
      </c>
      <c r="AM50">
        <v>-46.289000000000001</v>
      </c>
      <c r="AN50">
        <v>-46.191000000000003</v>
      </c>
      <c r="AO50">
        <v>-46.094000000000001</v>
      </c>
      <c r="AP50">
        <v>-45.996000000000002</v>
      </c>
      <c r="AQ50">
        <v>-45.898000000000003</v>
      </c>
      <c r="AR50">
        <v>-45.801000000000002</v>
      </c>
      <c r="AS50">
        <v>-45.703000000000003</v>
      </c>
      <c r="AT50">
        <v>-45.604999999999997</v>
      </c>
      <c r="AU50">
        <v>-45.508000000000003</v>
      </c>
      <c r="AV50">
        <v>-45.41</v>
      </c>
      <c r="AW50">
        <v>-45.313000000000002</v>
      </c>
      <c r="AX50">
        <v>-45.215000000000003</v>
      </c>
      <c r="AY50">
        <v>-45.116999999999997</v>
      </c>
      <c r="AZ50">
        <v>-45.02</v>
      </c>
      <c r="BA50">
        <v>-44.921999999999997</v>
      </c>
      <c r="BB50">
        <v>-44.823999999999998</v>
      </c>
      <c r="BC50">
        <v>-44.726999999999997</v>
      </c>
      <c r="BD50">
        <v>-44.628999999999998</v>
      </c>
      <c r="BE50">
        <v>-44.530999999999999</v>
      </c>
      <c r="BF50">
        <v>-44.433999999999997</v>
      </c>
      <c r="BG50">
        <v>-44.335999999999999</v>
      </c>
      <c r="BH50">
        <v>-44.238</v>
      </c>
      <c r="BI50">
        <v>-44.140999999999998</v>
      </c>
      <c r="BJ50">
        <v>-44.042999999999999</v>
      </c>
      <c r="BK50">
        <v>-43.945</v>
      </c>
      <c r="BL50">
        <v>-43.847999999999999</v>
      </c>
    </row>
    <row r="51" spans="1:64" x14ac:dyDescent="0.25">
      <c r="A51">
        <v>-50</v>
      </c>
      <c r="B51">
        <v>-49.902000000000001</v>
      </c>
      <c r="C51">
        <v>-49.805</v>
      </c>
      <c r="D51">
        <v>-49.707000000000001</v>
      </c>
      <c r="E51">
        <v>-49.609000000000002</v>
      </c>
      <c r="F51">
        <v>-49.512</v>
      </c>
      <c r="G51">
        <v>-49.414000000000001</v>
      </c>
      <c r="H51">
        <v>-49.316000000000003</v>
      </c>
      <c r="I51">
        <v>-49.219000000000001</v>
      </c>
      <c r="J51">
        <v>-49.121000000000002</v>
      </c>
      <c r="K51">
        <v>-49.023000000000003</v>
      </c>
      <c r="L51">
        <v>-48.926000000000002</v>
      </c>
      <c r="M51">
        <v>-48.828000000000003</v>
      </c>
      <c r="N51">
        <v>-48.73</v>
      </c>
      <c r="O51">
        <v>-48.633000000000003</v>
      </c>
      <c r="P51">
        <v>-48.534999999999997</v>
      </c>
      <c r="Q51">
        <v>-48.438000000000002</v>
      </c>
      <c r="R51">
        <v>-48.34</v>
      </c>
      <c r="S51">
        <v>-48.241999999999997</v>
      </c>
      <c r="T51">
        <v>-48.145000000000003</v>
      </c>
      <c r="U51">
        <v>-48.046999999999997</v>
      </c>
      <c r="V51">
        <v>-47.948999999999998</v>
      </c>
      <c r="W51">
        <v>-47.851999999999997</v>
      </c>
      <c r="X51">
        <v>-47.753999999999998</v>
      </c>
      <c r="Y51">
        <v>-47.655999999999999</v>
      </c>
      <c r="Z51">
        <v>-47.558999999999997</v>
      </c>
      <c r="AA51">
        <v>-47.460999999999999</v>
      </c>
      <c r="AB51">
        <v>-47.363</v>
      </c>
      <c r="AC51">
        <v>-47.265999999999998</v>
      </c>
      <c r="AD51">
        <v>-47.167999999999999</v>
      </c>
      <c r="AE51">
        <v>-47.07</v>
      </c>
      <c r="AF51">
        <v>-46.972999999999999</v>
      </c>
      <c r="AG51">
        <v>-46.875</v>
      </c>
      <c r="AH51">
        <v>-46.777000000000001</v>
      </c>
      <c r="AI51">
        <v>-46.68</v>
      </c>
      <c r="AJ51">
        <v>-46.582000000000001</v>
      </c>
      <c r="AK51">
        <v>-46.484000000000002</v>
      </c>
      <c r="AL51">
        <v>-46.387</v>
      </c>
      <c r="AM51">
        <v>-46.289000000000001</v>
      </c>
      <c r="AN51">
        <v>-46.191000000000003</v>
      </c>
      <c r="AO51">
        <v>-46.094000000000001</v>
      </c>
      <c r="AP51">
        <v>-45.996000000000002</v>
      </c>
      <c r="AQ51">
        <v>-45.898000000000003</v>
      </c>
      <c r="AR51">
        <v>-45.801000000000002</v>
      </c>
      <c r="AS51">
        <v>-45.703000000000003</v>
      </c>
      <c r="AT51">
        <v>-45.604999999999997</v>
      </c>
      <c r="AU51">
        <v>-45.508000000000003</v>
      </c>
      <c r="AV51">
        <v>-45.41</v>
      </c>
      <c r="AW51">
        <v>-45.313000000000002</v>
      </c>
      <c r="AX51">
        <v>-45.215000000000003</v>
      </c>
      <c r="AY51">
        <v>-45.116999999999997</v>
      </c>
      <c r="AZ51">
        <v>-45.02</v>
      </c>
      <c r="BA51">
        <v>-44.921999999999997</v>
      </c>
      <c r="BB51">
        <v>-44.823999999999998</v>
      </c>
      <c r="BC51">
        <v>-44.726999999999997</v>
      </c>
      <c r="BD51">
        <v>-44.628999999999998</v>
      </c>
      <c r="BE51">
        <v>-44.530999999999999</v>
      </c>
      <c r="BF51">
        <v>-44.433999999999997</v>
      </c>
      <c r="BG51">
        <v>-44.335999999999999</v>
      </c>
      <c r="BH51">
        <v>-44.238</v>
      </c>
      <c r="BI51">
        <v>-44.140999999999998</v>
      </c>
      <c r="BJ51">
        <v>-44.042999999999999</v>
      </c>
      <c r="BK51">
        <v>-43.945</v>
      </c>
      <c r="BL51">
        <v>-43.847999999999999</v>
      </c>
    </row>
    <row r="52" spans="1:64" x14ac:dyDescent="0.25">
      <c r="A52">
        <v>-50</v>
      </c>
      <c r="B52">
        <v>-49.902000000000001</v>
      </c>
      <c r="C52">
        <v>-49.805</v>
      </c>
      <c r="D52">
        <v>-49.707000000000001</v>
      </c>
      <c r="E52">
        <v>-49.609000000000002</v>
      </c>
      <c r="F52">
        <v>-49.512</v>
      </c>
      <c r="G52">
        <v>-49.414000000000001</v>
      </c>
      <c r="H52">
        <v>-49.316000000000003</v>
      </c>
      <c r="I52">
        <v>-49.219000000000001</v>
      </c>
      <c r="J52">
        <v>-49.121000000000002</v>
      </c>
      <c r="K52">
        <v>-49.023000000000003</v>
      </c>
      <c r="L52">
        <v>-48.926000000000002</v>
      </c>
      <c r="M52">
        <v>-48.828000000000003</v>
      </c>
      <c r="N52">
        <v>-48.73</v>
      </c>
      <c r="O52">
        <v>-48.633000000000003</v>
      </c>
      <c r="P52">
        <v>-48.534999999999997</v>
      </c>
      <c r="Q52">
        <v>-48.438000000000002</v>
      </c>
      <c r="R52">
        <v>-48.34</v>
      </c>
      <c r="S52">
        <v>-48.241999999999997</v>
      </c>
      <c r="T52">
        <v>-48.145000000000003</v>
      </c>
      <c r="U52">
        <v>-48.046999999999997</v>
      </c>
      <c r="V52">
        <v>-47.948999999999998</v>
      </c>
      <c r="W52">
        <v>-47.851999999999997</v>
      </c>
      <c r="X52">
        <v>-47.753999999999998</v>
      </c>
      <c r="Y52">
        <v>-47.655999999999999</v>
      </c>
      <c r="Z52">
        <v>-47.558999999999997</v>
      </c>
      <c r="AA52">
        <v>-47.460999999999999</v>
      </c>
      <c r="AB52">
        <v>-47.363</v>
      </c>
      <c r="AC52">
        <v>-47.265999999999998</v>
      </c>
      <c r="AD52">
        <v>-47.167999999999999</v>
      </c>
      <c r="AE52">
        <v>-47.07</v>
      </c>
      <c r="AF52">
        <v>-46.972999999999999</v>
      </c>
      <c r="AG52">
        <v>-46.875</v>
      </c>
      <c r="AH52">
        <v>-46.777000000000001</v>
      </c>
      <c r="AI52">
        <v>-46.68</v>
      </c>
      <c r="AJ52">
        <v>-46.582000000000001</v>
      </c>
      <c r="AK52">
        <v>-46.484000000000002</v>
      </c>
      <c r="AL52">
        <v>-46.387</v>
      </c>
      <c r="AM52">
        <v>-46.289000000000001</v>
      </c>
      <c r="AN52">
        <v>-46.191000000000003</v>
      </c>
      <c r="AO52">
        <v>-46.094000000000001</v>
      </c>
      <c r="AP52">
        <v>-45.996000000000002</v>
      </c>
      <c r="AQ52">
        <v>-45.898000000000003</v>
      </c>
      <c r="AR52">
        <v>-45.801000000000002</v>
      </c>
      <c r="AS52">
        <v>-45.703000000000003</v>
      </c>
      <c r="AT52">
        <v>-45.604999999999997</v>
      </c>
      <c r="AU52">
        <v>-45.508000000000003</v>
      </c>
      <c r="AV52">
        <v>-45.41</v>
      </c>
      <c r="AW52">
        <v>-45.313000000000002</v>
      </c>
      <c r="AX52">
        <v>-45.215000000000003</v>
      </c>
      <c r="AY52">
        <v>-45.116999999999997</v>
      </c>
      <c r="AZ52">
        <v>-45.02</v>
      </c>
      <c r="BA52">
        <v>-44.921999999999997</v>
      </c>
      <c r="BB52">
        <v>-44.823999999999998</v>
      </c>
      <c r="BC52">
        <v>-44.726999999999997</v>
      </c>
      <c r="BD52">
        <v>-44.628999999999998</v>
      </c>
      <c r="BE52">
        <v>-44.530999999999999</v>
      </c>
      <c r="BF52">
        <v>-44.433999999999997</v>
      </c>
      <c r="BG52">
        <v>-44.335999999999999</v>
      </c>
      <c r="BH52">
        <v>-44.238</v>
      </c>
      <c r="BI52">
        <v>-44.140999999999998</v>
      </c>
      <c r="BJ52">
        <v>-44.042999999999999</v>
      </c>
      <c r="BK52">
        <v>-43.945</v>
      </c>
      <c r="BL52">
        <v>-43.847999999999999</v>
      </c>
    </row>
    <row r="53" spans="1:64" x14ac:dyDescent="0.25">
      <c r="A53">
        <v>-50</v>
      </c>
      <c r="B53">
        <v>-49.902000000000001</v>
      </c>
      <c r="C53">
        <v>-49.805</v>
      </c>
      <c r="D53">
        <v>-49.707000000000001</v>
      </c>
      <c r="E53">
        <v>-49.609000000000002</v>
      </c>
      <c r="F53">
        <v>-49.512</v>
      </c>
      <c r="G53">
        <v>-49.414000000000001</v>
      </c>
      <c r="H53">
        <v>-49.316000000000003</v>
      </c>
      <c r="I53">
        <v>-49.219000000000001</v>
      </c>
      <c r="J53">
        <v>-49.121000000000002</v>
      </c>
      <c r="K53">
        <v>-49.023000000000003</v>
      </c>
      <c r="L53">
        <v>-48.926000000000002</v>
      </c>
      <c r="M53">
        <v>-48.828000000000003</v>
      </c>
      <c r="N53">
        <v>-48.73</v>
      </c>
      <c r="O53">
        <v>-48.633000000000003</v>
      </c>
      <c r="P53">
        <v>-48.534999999999997</v>
      </c>
      <c r="Q53">
        <v>-48.438000000000002</v>
      </c>
      <c r="R53">
        <v>-48.34</v>
      </c>
      <c r="S53">
        <v>-48.241999999999997</v>
      </c>
      <c r="T53">
        <v>-48.145000000000003</v>
      </c>
      <c r="U53">
        <v>-48.046999999999997</v>
      </c>
      <c r="V53">
        <v>-47.948999999999998</v>
      </c>
      <c r="W53">
        <v>-47.851999999999997</v>
      </c>
      <c r="X53">
        <v>-47.753999999999998</v>
      </c>
      <c r="Y53">
        <v>-47.655999999999999</v>
      </c>
      <c r="Z53">
        <v>-47.558999999999997</v>
      </c>
      <c r="AA53">
        <v>-47.460999999999999</v>
      </c>
      <c r="AB53">
        <v>-47.363</v>
      </c>
      <c r="AC53">
        <v>-47.265999999999998</v>
      </c>
      <c r="AD53">
        <v>-47.167999999999999</v>
      </c>
      <c r="AE53">
        <v>-47.07</v>
      </c>
      <c r="AF53">
        <v>-46.972999999999999</v>
      </c>
      <c r="AG53">
        <v>-46.875</v>
      </c>
      <c r="AH53">
        <v>-46.777000000000001</v>
      </c>
      <c r="AI53">
        <v>-46.68</v>
      </c>
      <c r="AJ53">
        <v>-46.582000000000001</v>
      </c>
      <c r="AK53">
        <v>-46.484000000000002</v>
      </c>
      <c r="AL53">
        <v>-46.387</v>
      </c>
      <c r="AM53">
        <v>-46.289000000000001</v>
      </c>
      <c r="AN53">
        <v>-46.191000000000003</v>
      </c>
      <c r="AO53">
        <v>-46.094000000000001</v>
      </c>
      <c r="AP53">
        <v>-45.996000000000002</v>
      </c>
      <c r="AQ53">
        <v>-45.898000000000003</v>
      </c>
      <c r="AR53">
        <v>-45.801000000000002</v>
      </c>
      <c r="AS53">
        <v>-45.703000000000003</v>
      </c>
      <c r="AT53">
        <v>-45.604999999999997</v>
      </c>
      <c r="AU53">
        <v>-45.508000000000003</v>
      </c>
      <c r="AV53">
        <v>-45.41</v>
      </c>
      <c r="AW53">
        <v>-45.313000000000002</v>
      </c>
      <c r="AX53">
        <v>-45.215000000000003</v>
      </c>
      <c r="AY53">
        <v>-45.116999999999997</v>
      </c>
      <c r="AZ53">
        <v>-45.02</v>
      </c>
      <c r="BA53">
        <v>-44.921999999999997</v>
      </c>
      <c r="BB53">
        <v>-44.823999999999998</v>
      </c>
      <c r="BC53">
        <v>-44.726999999999997</v>
      </c>
      <c r="BD53">
        <v>-44.628999999999998</v>
      </c>
      <c r="BE53">
        <v>-44.530999999999999</v>
      </c>
      <c r="BF53">
        <v>-44.433999999999997</v>
      </c>
      <c r="BG53">
        <v>-44.335999999999999</v>
      </c>
      <c r="BH53">
        <v>-44.238</v>
      </c>
      <c r="BI53">
        <v>-44.140999999999998</v>
      </c>
      <c r="BJ53">
        <v>-44.042999999999999</v>
      </c>
      <c r="BK53">
        <v>-43.945</v>
      </c>
      <c r="BL53">
        <v>-43.847999999999999</v>
      </c>
    </row>
    <row r="54" spans="1:64" x14ac:dyDescent="0.25">
      <c r="A54">
        <v>-50</v>
      </c>
      <c r="B54">
        <v>-49.902000000000001</v>
      </c>
      <c r="C54">
        <v>-49.805</v>
      </c>
      <c r="D54">
        <v>-49.707000000000001</v>
      </c>
      <c r="E54">
        <v>-49.609000000000002</v>
      </c>
      <c r="F54">
        <v>-49.512</v>
      </c>
      <c r="G54">
        <v>-49.414000000000001</v>
      </c>
      <c r="H54">
        <v>-49.316000000000003</v>
      </c>
      <c r="I54">
        <v>-49.219000000000001</v>
      </c>
      <c r="J54">
        <v>-49.121000000000002</v>
      </c>
      <c r="K54">
        <v>-49.023000000000003</v>
      </c>
      <c r="L54">
        <v>-48.926000000000002</v>
      </c>
      <c r="M54">
        <v>-48.828000000000003</v>
      </c>
      <c r="N54">
        <v>-48.73</v>
      </c>
      <c r="O54">
        <v>-48.633000000000003</v>
      </c>
      <c r="P54">
        <v>-48.534999999999997</v>
      </c>
      <c r="Q54">
        <v>-48.438000000000002</v>
      </c>
      <c r="R54">
        <v>-48.34</v>
      </c>
      <c r="S54">
        <v>-48.241999999999997</v>
      </c>
      <c r="T54">
        <v>-48.145000000000003</v>
      </c>
      <c r="U54">
        <v>-48.046999999999997</v>
      </c>
      <c r="V54">
        <v>-47.948999999999998</v>
      </c>
      <c r="W54">
        <v>-47.851999999999997</v>
      </c>
      <c r="X54">
        <v>-47.753999999999998</v>
      </c>
      <c r="Y54">
        <v>-47.655999999999999</v>
      </c>
      <c r="Z54">
        <v>-47.558999999999997</v>
      </c>
      <c r="AA54">
        <v>-47.460999999999999</v>
      </c>
      <c r="AB54">
        <v>-47.363</v>
      </c>
      <c r="AC54">
        <v>-47.265999999999998</v>
      </c>
      <c r="AD54">
        <v>-47.167999999999999</v>
      </c>
      <c r="AE54">
        <v>-47.07</v>
      </c>
      <c r="AF54">
        <v>-46.972999999999999</v>
      </c>
      <c r="AG54">
        <v>-46.875</v>
      </c>
      <c r="AH54">
        <v>-46.777000000000001</v>
      </c>
      <c r="AI54">
        <v>-46.68</v>
      </c>
      <c r="AJ54">
        <v>-46.582000000000001</v>
      </c>
      <c r="AK54">
        <v>-46.484000000000002</v>
      </c>
      <c r="AL54">
        <v>-46.387</v>
      </c>
      <c r="AM54">
        <v>-46.289000000000001</v>
      </c>
      <c r="AN54">
        <v>-46.191000000000003</v>
      </c>
      <c r="AO54">
        <v>-46.094000000000001</v>
      </c>
      <c r="AP54">
        <v>-45.996000000000002</v>
      </c>
      <c r="AQ54">
        <v>-45.898000000000003</v>
      </c>
      <c r="AR54">
        <v>-45.801000000000002</v>
      </c>
      <c r="AS54">
        <v>-45.703000000000003</v>
      </c>
      <c r="AT54">
        <v>-45.604999999999997</v>
      </c>
      <c r="AU54">
        <v>-45.508000000000003</v>
      </c>
      <c r="AV54">
        <v>-45.41</v>
      </c>
      <c r="AW54">
        <v>-45.313000000000002</v>
      </c>
      <c r="AX54">
        <v>-45.215000000000003</v>
      </c>
      <c r="AY54">
        <v>-45.116999999999997</v>
      </c>
      <c r="AZ54">
        <v>-45.02</v>
      </c>
      <c r="BA54">
        <v>-44.921999999999997</v>
      </c>
      <c r="BB54">
        <v>-44.823999999999998</v>
      </c>
      <c r="BC54">
        <v>-44.726999999999997</v>
      </c>
      <c r="BD54">
        <v>-44.628999999999998</v>
      </c>
      <c r="BE54">
        <v>-44.530999999999999</v>
      </c>
      <c r="BF54">
        <v>-44.433999999999997</v>
      </c>
      <c r="BG54">
        <v>-44.335999999999999</v>
      </c>
      <c r="BH54">
        <v>-44.238</v>
      </c>
      <c r="BI54">
        <v>-44.140999999999998</v>
      </c>
      <c r="BJ54">
        <v>-44.042999999999999</v>
      </c>
      <c r="BK54">
        <v>-43.945</v>
      </c>
      <c r="BL54">
        <v>-43.847999999999999</v>
      </c>
    </row>
    <row r="55" spans="1:64" x14ac:dyDescent="0.25">
      <c r="A55">
        <v>-50</v>
      </c>
      <c r="B55">
        <v>-49.902000000000001</v>
      </c>
      <c r="C55">
        <v>-49.805</v>
      </c>
      <c r="D55">
        <v>-49.707000000000001</v>
      </c>
      <c r="E55">
        <v>-49.609000000000002</v>
      </c>
      <c r="F55">
        <v>-49.512</v>
      </c>
      <c r="G55">
        <v>-49.414000000000001</v>
      </c>
      <c r="H55">
        <v>-49.316000000000003</v>
      </c>
      <c r="I55">
        <v>-49.219000000000001</v>
      </c>
      <c r="J55">
        <v>-49.121000000000002</v>
      </c>
      <c r="K55">
        <v>-49.023000000000003</v>
      </c>
      <c r="L55">
        <v>-48.926000000000002</v>
      </c>
      <c r="M55">
        <v>-48.828000000000003</v>
      </c>
      <c r="N55">
        <v>-48.73</v>
      </c>
      <c r="O55">
        <v>-48.633000000000003</v>
      </c>
      <c r="P55">
        <v>-48.534999999999997</v>
      </c>
      <c r="Q55">
        <v>-48.438000000000002</v>
      </c>
      <c r="R55">
        <v>-48.34</v>
      </c>
      <c r="S55">
        <v>-48.241999999999997</v>
      </c>
      <c r="T55">
        <v>-48.145000000000003</v>
      </c>
      <c r="U55">
        <v>-48.046999999999997</v>
      </c>
      <c r="V55">
        <v>-47.948999999999998</v>
      </c>
      <c r="W55">
        <v>-47.851999999999997</v>
      </c>
      <c r="X55">
        <v>-47.753999999999998</v>
      </c>
      <c r="Y55">
        <v>-47.655999999999999</v>
      </c>
      <c r="Z55">
        <v>-47.558999999999997</v>
      </c>
      <c r="AA55">
        <v>-47.460999999999999</v>
      </c>
      <c r="AB55">
        <v>-47.363</v>
      </c>
      <c r="AC55">
        <v>-47.265999999999998</v>
      </c>
      <c r="AD55">
        <v>-47.167999999999999</v>
      </c>
      <c r="AE55">
        <v>-47.07</v>
      </c>
      <c r="AF55">
        <v>-46.972999999999999</v>
      </c>
      <c r="AG55">
        <v>-46.875</v>
      </c>
      <c r="AH55">
        <v>-46.777000000000001</v>
      </c>
      <c r="AI55">
        <v>-46.68</v>
      </c>
      <c r="AJ55">
        <v>-46.582000000000001</v>
      </c>
      <c r="AK55">
        <v>-46.484000000000002</v>
      </c>
      <c r="AL55">
        <v>-46.387</v>
      </c>
      <c r="AM55">
        <v>-46.289000000000001</v>
      </c>
      <c r="AN55">
        <v>-46.191000000000003</v>
      </c>
      <c r="AO55">
        <v>-46.094000000000001</v>
      </c>
      <c r="AP55">
        <v>-45.996000000000002</v>
      </c>
      <c r="AQ55">
        <v>-45.898000000000003</v>
      </c>
      <c r="AR55">
        <v>-45.801000000000002</v>
      </c>
      <c r="AS55">
        <v>-45.703000000000003</v>
      </c>
      <c r="AT55">
        <v>-45.604999999999997</v>
      </c>
      <c r="AU55">
        <v>-45.508000000000003</v>
      </c>
      <c r="AV55">
        <v>-45.41</v>
      </c>
      <c r="AW55">
        <v>-45.313000000000002</v>
      </c>
      <c r="AX55">
        <v>-45.215000000000003</v>
      </c>
      <c r="AY55">
        <v>-45.116999999999997</v>
      </c>
      <c r="AZ55">
        <v>-45.02</v>
      </c>
      <c r="BA55">
        <v>-44.921999999999997</v>
      </c>
      <c r="BB55">
        <v>-44.823999999999998</v>
      </c>
      <c r="BC55">
        <v>-44.726999999999997</v>
      </c>
      <c r="BD55">
        <v>-44.628999999999998</v>
      </c>
      <c r="BE55">
        <v>-44.530999999999999</v>
      </c>
      <c r="BF55">
        <v>-44.433999999999997</v>
      </c>
      <c r="BG55">
        <v>-44.335999999999999</v>
      </c>
      <c r="BH55">
        <v>-44.238</v>
      </c>
      <c r="BI55">
        <v>-44.140999999999998</v>
      </c>
      <c r="BJ55">
        <v>-44.042999999999999</v>
      </c>
      <c r="BK55">
        <v>-43.945</v>
      </c>
      <c r="BL55">
        <v>-43.847999999999999</v>
      </c>
    </row>
    <row r="56" spans="1:64" x14ac:dyDescent="0.25">
      <c r="A56">
        <v>-50</v>
      </c>
      <c r="B56">
        <v>-49.902000000000001</v>
      </c>
      <c r="C56">
        <v>-49.805</v>
      </c>
      <c r="D56">
        <v>-49.707000000000001</v>
      </c>
      <c r="E56">
        <v>-49.609000000000002</v>
      </c>
      <c r="F56">
        <v>-49.512</v>
      </c>
      <c r="G56">
        <v>-49.414000000000001</v>
      </c>
      <c r="H56">
        <v>-49.316000000000003</v>
      </c>
      <c r="I56">
        <v>-49.219000000000001</v>
      </c>
      <c r="J56">
        <v>-49.121000000000002</v>
      </c>
      <c r="K56">
        <v>-49.023000000000003</v>
      </c>
      <c r="L56">
        <v>-48.926000000000002</v>
      </c>
      <c r="M56">
        <v>-48.828000000000003</v>
      </c>
      <c r="N56">
        <v>-48.73</v>
      </c>
      <c r="O56">
        <v>-48.633000000000003</v>
      </c>
      <c r="P56">
        <v>-48.534999999999997</v>
      </c>
      <c r="Q56">
        <v>-48.438000000000002</v>
      </c>
      <c r="R56">
        <v>-48.34</v>
      </c>
      <c r="S56">
        <v>-48.241999999999997</v>
      </c>
      <c r="T56">
        <v>-48.145000000000003</v>
      </c>
      <c r="U56">
        <v>-48.046999999999997</v>
      </c>
      <c r="V56">
        <v>-47.948999999999998</v>
      </c>
      <c r="W56">
        <v>-47.851999999999997</v>
      </c>
      <c r="X56">
        <v>-47.753999999999998</v>
      </c>
      <c r="Y56">
        <v>-47.655999999999999</v>
      </c>
      <c r="Z56">
        <v>-47.558999999999997</v>
      </c>
      <c r="AA56">
        <v>-47.460999999999999</v>
      </c>
      <c r="AB56">
        <v>-47.363</v>
      </c>
      <c r="AC56">
        <v>-47.265999999999998</v>
      </c>
      <c r="AD56">
        <v>-47.167999999999999</v>
      </c>
      <c r="AE56">
        <v>-47.07</v>
      </c>
      <c r="AF56">
        <v>-46.972999999999999</v>
      </c>
      <c r="AG56">
        <v>-46.875</v>
      </c>
      <c r="AH56">
        <v>-46.777000000000001</v>
      </c>
      <c r="AI56">
        <v>-46.68</v>
      </c>
      <c r="AJ56">
        <v>-46.582000000000001</v>
      </c>
      <c r="AK56">
        <v>-46.484000000000002</v>
      </c>
      <c r="AL56">
        <v>-46.387</v>
      </c>
      <c r="AM56">
        <v>-46.289000000000001</v>
      </c>
      <c r="AN56">
        <v>-46.191000000000003</v>
      </c>
      <c r="AO56">
        <v>-46.094000000000001</v>
      </c>
      <c r="AP56">
        <v>-45.996000000000002</v>
      </c>
      <c r="AQ56">
        <v>-45.898000000000003</v>
      </c>
      <c r="AR56">
        <v>-45.801000000000002</v>
      </c>
      <c r="AS56">
        <v>-45.703000000000003</v>
      </c>
      <c r="AT56">
        <v>-45.604999999999997</v>
      </c>
      <c r="AU56">
        <v>-45.508000000000003</v>
      </c>
      <c r="AV56">
        <v>-45.41</v>
      </c>
      <c r="AW56">
        <v>-45.313000000000002</v>
      </c>
      <c r="AX56">
        <v>-45.215000000000003</v>
      </c>
      <c r="AY56">
        <v>-45.116999999999997</v>
      </c>
      <c r="AZ56">
        <v>-45.02</v>
      </c>
      <c r="BA56">
        <v>-44.921999999999997</v>
      </c>
      <c r="BB56">
        <v>-44.823999999999998</v>
      </c>
      <c r="BC56">
        <v>-44.726999999999997</v>
      </c>
      <c r="BD56">
        <v>-44.628999999999998</v>
      </c>
      <c r="BE56">
        <v>-44.530999999999999</v>
      </c>
      <c r="BF56">
        <v>-44.433999999999997</v>
      </c>
      <c r="BG56">
        <v>-44.335999999999999</v>
      </c>
      <c r="BH56">
        <v>-44.238</v>
      </c>
      <c r="BI56">
        <v>-44.140999999999998</v>
      </c>
      <c r="BJ56">
        <v>-44.042999999999999</v>
      </c>
      <c r="BK56">
        <v>-43.945</v>
      </c>
      <c r="BL56">
        <v>-43.847999999999999</v>
      </c>
    </row>
    <row r="57" spans="1:64" x14ac:dyDescent="0.25">
      <c r="A57">
        <v>-50</v>
      </c>
      <c r="B57">
        <v>-49.902000000000001</v>
      </c>
      <c r="C57">
        <v>-49.805</v>
      </c>
      <c r="D57">
        <v>-49.707000000000001</v>
      </c>
      <c r="E57">
        <v>-49.609000000000002</v>
      </c>
      <c r="F57">
        <v>-49.512</v>
      </c>
      <c r="G57">
        <v>-49.414000000000001</v>
      </c>
      <c r="H57">
        <v>-49.316000000000003</v>
      </c>
      <c r="I57">
        <v>-49.219000000000001</v>
      </c>
      <c r="J57">
        <v>-49.121000000000002</v>
      </c>
      <c r="K57">
        <v>-49.023000000000003</v>
      </c>
      <c r="L57">
        <v>-48.926000000000002</v>
      </c>
      <c r="M57">
        <v>-48.828000000000003</v>
      </c>
      <c r="N57">
        <v>-48.73</v>
      </c>
      <c r="O57">
        <v>-48.633000000000003</v>
      </c>
      <c r="P57">
        <v>-48.534999999999997</v>
      </c>
      <c r="Q57">
        <v>-48.438000000000002</v>
      </c>
      <c r="R57">
        <v>-48.34</v>
      </c>
      <c r="S57">
        <v>-48.241999999999997</v>
      </c>
      <c r="T57">
        <v>-48.145000000000003</v>
      </c>
      <c r="U57">
        <v>-48.046999999999997</v>
      </c>
      <c r="V57">
        <v>-47.948999999999998</v>
      </c>
      <c r="W57">
        <v>-47.851999999999997</v>
      </c>
      <c r="X57">
        <v>-47.753999999999998</v>
      </c>
      <c r="Y57">
        <v>-47.655999999999999</v>
      </c>
      <c r="Z57">
        <v>-47.558999999999997</v>
      </c>
      <c r="AA57">
        <v>-47.460999999999999</v>
      </c>
      <c r="AB57">
        <v>-47.363</v>
      </c>
      <c r="AC57">
        <v>-47.265999999999998</v>
      </c>
      <c r="AD57">
        <v>-47.167999999999999</v>
      </c>
      <c r="AE57">
        <v>-47.07</v>
      </c>
      <c r="AF57">
        <v>-46.972999999999999</v>
      </c>
      <c r="AG57">
        <v>-46.875</v>
      </c>
      <c r="AH57">
        <v>-46.777000000000001</v>
      </c>
      <c r="AI57">
        <v>-46.68</v>
      </c>
      <c r="AJ57">
        <v>-46.582000000000001</v>
      </c>
      <c r="AK57">
        <v>-46.484000000000002</v>
      </c>
      <c r="AL57">
        <v>-46.387</v>
      </c>
      <c r="AM57">
        <v>-46.289000000000001</v>
      </c>
      <c r="AN57">
        <v>-46.191000000000003</v>
      </c>
      <c r="AO57">
        <v>-46.094000000000001</v>
      </c>
      <c r="AP57">
        <v>-45.996000000000002</v>
      </c>
      <c r="AQ57">
        <v>-45.898000000000003</v>
      </c>
      <c r="AR57">
        <v>-45.801000000000002</v>
      </c>
      <c r="AS57">
        <v>-45.703000000000003</v>
      </c>
      <c r="AT57">
        <v>-45.604999999999997</v>
      </c>
      <c r="AU57">
        <v>-45.508000000000003</v>
      </c>
      <c r="AV57">
        <v>-45.41</v>
      </c>
      <c r="AW57">
        <v>-45.313000000000002</v>
      </c>
      <c r="AX57">
        <v>-45.215000000000003</v>
      </c>
      <c r="AY57">
        <v>-45.116999999999997</v>
      </c>
      <c r="AZ57">
        <v>-45.02</v>
      </c>
      <c r="BA57">
        <v>-44.921999999999997</v>
      </c>
      <c r="BB57">
        <v>-44.823999999999998</v>
      </c>
      <c r="BC57">
        <v>-44.726999999999997</v>
      </c>
      <c r="BD57">
        <v>-44.628999999999998</v>
      </c>
      <c r="BE57">
        <v>-44.530999999999999</v>
      </c>
      <c r="BF57">
        <v>-44.433999999999997</v>
      </c>
      <c r="BG57">
        <v>-44.335999999999999</v>
      </c>
      <c r="BH57">
        <v>-44.238</v>
      </c>
      <c r="BI57">
        <v>-44.140999999999998</v>
      </c>
      <c r="BJ57">
        <v>-44.042999999999999</v>
      </c>
      <c r="BK57">
        <v>-43.945</v>
      </c>
      <c r="BL57">
        <v>-43.847999999999999</v>
      </c>
    </row>
    <row r="58" spans="1:64" x14ac:dyDescent="0.25">
      <c r="A58">
        <v>-50</v>
      </c>
      <c r="B58">
        <v>-49.902000000000001</v>
      </c>
      <c r="C58">
        <v>-49.805</v>
      </c>
      <c r="D58">
        <v>-49.707000000000001</v>
      </c>
      <c r="E58">
        <v>-49.609000000000002</v>
      </c>
      <c r="F58">
        <v>-49.512</v>
      </c>
      <c r="G58">
        <v>-49.414000000000001</v>
      </c>
      <c r="H58">
        <v>-49.316000000000003</v>
      </c>
      <c r="I58">
        <v>-49.219000000000001</v>
      </c>
      <c r="J58">
        <v>-49.121000000000002</v>
      </c>
      <c r="K58">
        <v>-49.023000000000003</v>
      </c>
      <c r="L58">
        <v>-48.926000000000002</v>
      </c>
      <c r="M58">
        <v>-48.828000000000003</v>
      </c>
      <c r="N58">
        <v>-48.73</v>
      </c>
      <c r="O58">
        <v>-48.633000000000003</v>
      </c>
      <c r="P58">
        <v>-48.534999999999997</v>
      </c>
      <c r="Q58">
        <v>-48.438000000000002</v>
      </c>
      <c r="R58">
        <v>-48.34</v>
      </c>
      <c r="S58">
        <v>-48.241999999999997</v>
      </c>
      <c r="T58">
        <v>-48.145000000000003</v>
      </c>
      <c r="U58">
        <v>-48.046999999999997</v>
      </c>
      <c r="V58">
        <v>-47.948999999999998</v>
      </c>
      <c r="W58">
        <v>-47.851999999999997</v>
      </c>
      <c r="X58">
        <v>-47.753999999999998</v>
      </c>
      <c r="Y58">
        <v>-47.655999999999999</v>
      </c>
      <c r="Z58">
        <v>-47.558999999999997</v>
      </c>
      <c r="AA58">
        <v>-47.460999999999999</v>
      </c>
      <c r="AB58">
        <v>-47.363</v>
      </c>
      <c r="AC58">
        <v>-47.265999999999998</v>
      </c>
      <c r="AD58">
        <v>-47.167999999999999</v>
      </c>
      <c r="AE58">
        <v>-47.07</v>
      </c>
      <c r="AF58">
        <v>-46.972999999999999</v>
      </c>
      <c r="AG58">
        <v>-46.875</v>
      </c>
      <c r="AH58">
        <v>-46.777000000000001</v>
      </c>
      <c r="AI58">
        <v>-46.68</v>
      </c>
      <c r="AJ58">
        <v>-46.582000000000001</v>
      </c>
      <c r="AK58">
        <v>-46.484000000000002</v>
      </c>
      <c r="AL58">
        <v>-46.387</v>
      </c>
      <c r="AM58">
        <v>-46.289000000000001</v>
      </c>
      <c r="AN58">
        <v>-46.191000000000003</v>
      </c>
      <c r="AO58">
        <v>-46.094000000000001</v>
      </c>
      <c r="AP58">
        <v>-45.996000000000002</v>
      </c>
      <c r="AQ58">
        <v>-45.898000000000003</v>
      </c>
      <c r="AR58">
        <v>-45.801000000000002</v>
      </c>
      <c r="AS58">
        <v>-45.703000000000003</v>
      </c>
      <c r="AT58">
        <v>-45.604999999999997</v>
      </c>
      <c r="AU58">
        <v>-45.508000000000003</v>
      </c>
      <c r="AV58">
        <v>-45.41</v>
      </c>
      <c r="AW58">
        <v>-45.313000000000002</v>
      </c>
      <c r="AX58">
        <v>-45.215000000000003</v>
      </c>
      <c r="AY58">
        <v>-45.116999999999997</v>
      </c>
      <c r="AZ58">
        <v>-45.02</v>
      </c>
      <c r="BA58">
        <v>-44.921999999999997</v>
      </c>
      <c r="BB58">
        <v>-44.823999999999998</v>
      </c>
      <c r="BC58">
        <v>-44.726999999999997</v>
      </c>
      <c r="BD58">
        <v>-44.628999999999998</v>
      </c>
      <c r="BE58">
        <v>-44.530999999999999</v>
      </c>
      <c r="BF58">
        <v>-44.433999999999997</v>
      </c>
      <c r="BG58">
        <v>-44.335999999999999</v>
      </c>
      <c r="BH58">
        <v>-44.238</v>
      </c>
      <c r="BI58">
        <v>-44.140999999999998</v>
      </c>
      <c r="BJ58">
        <v>-44.042999999999999</v>
      </c>
      <c r="BK58">
        <v>-43.945</v>
      </c>
      <c r="BL58">
        <v>-43.847999999999999</v>
      </c>
    </row>
    <row r="59" spans="1:64" x14ac:dyDescent="0.25">
      <c r="A59">
        <v>-50</v>
      </c>
      <c r="B59">
        <v>-49.902000000000001</v>
      </c>
      <c r="C59">
        <v>-49.805</v>
      </c>
      <c r="D59">
        <v>-49.707000000000001</v>
      </c>
      <c r="E59">
        <v>-49.609000000000002</v>
      </c>
      <c r="F59">
        <v>-49.512</v>
      </c>
      <c r="G59">
        <v>-49.414000000000001</v>
      </c>
      <c r="H59">
        <v>-49.316000000000003</v>
      </c>
      <c r="I59">
        <v>-49.219000000000001</v>
      </c>
      <c r="J59">
        <v>-49.121000000000002</v>
      </c>
      <c r="K59">
        <v>-49.023000000000003</v>
      </c>
      <c r="L59">
        <v>-48.926000000000002</v>
      </c>
      <c r="M59">
        <v>-48.828000000000003</v>
      </c>
      <c r="N59">
        <v>-48.73</v>
      </c>
      <c r="O59">
        <v>-48.633000000000003</v>
      </c>
      <c r="P59">
        <v>-48.534999999999997</v>
      </c>
      <c r="Q59">
        <v>-48.438000000000002</v>
      </c>
      <c r="R59">
        <v>-48.34</v>
      </c>
      <c r="S59">
        <v>-48.241999999999997</v>
      </c>
      <c r="T59">
        <v>-48.145000000000003</v>
      </c>
      <c r="U59">
        <v>-48.046999999999997</v>
      </c>
      <c r="V59">
        <v>-47.948999999999998</v>
      </c>
      <c r="W59">
        <v>-47.851999999999997</v>
      </c>
      <c r="X59">
        <v>-47.753999999999998</v>
      </c>
      <c r="Y59">
        <v>-47.655999999999999</v>
      </c>
      <c r="Z59">
        <v>-47.558999999999997</v>
      </c>
      <c r="AA59">
        <v>-47.460999999999999</v>
      </c>
      <c r="AB59">
        <v>-47.363</v>
      </c>
      <c r="AC59">
        <v>-47.265999999999998</v>
      </c>
      <c r="AD59">
        <v>-47.167999999999999</v>
      </c>
      <c r="AE59">
        <v>-47.07</v>
      </c>
      <c r="AF59">
        <v>-46.972999999999999</v>
      </c>
      <c r="AG59">
        <v>-46.875</v>
      </c>
      <c r="AH59">
        <v>-46.777000000000001</v>
      </c>
      <c r="AI59">
        <v>-46.68</v>
      </c>
      <c r="AJ59">
        <v>-46.582000000000001</v>
      </c>
      <c r="AK59">
        <v>-46.484000000000002</v>
      </c>
      <c r="AL59">
        <v>-46.387</v>
      </c>
      <c r="AM59">
        <v>-46.289000000000001</v>
      </c>
      <c r="AN59">
        <v>-46.191000000000003</v>
      </c>
      <c r="AO59">
        <v>-46.094000000000001</v>
      </c>
      <c r="AP59">
        <v>-45.996000000000002</v>
      </c>
      <c r="AQ59">
        <v>-45.898000000000003</v>
      </c>
      <c r="AR59">
        <v>-45.801000000000002</v>
      </c>
      <c r="AS59">
        <v>-45.703000000000003</v>
      </c>
      <c r="AT59">
        <v>-45.604999999999997</v>
      </c>
      <c r="AU59">
        <v>-45.508000000000003</v>
      </c>
      <c r="AV59">
        <v>-45.41</v>
      </c>
      <c r="AW59">
        <v>-45.313000000000002</v>
      </c>
      <c r="AX59">
        <v>-45.215000000000003</v>
      </c>
      <c r="AY59">
        <v>-45.116999999999997</v>
      </c>
      <c r="AZ59">
        <v>-45.02</v>
      </c>
      <c r="BA59">
        <v>-44.921999999999997</v>
      </c>
      <c r="BB59">
        <v>-44.823999999999998</v>
      </c>
      <c r="BC59">
        <v>-44.726999999999997</v>
      </c>
      <c r="BD59">
        <v>-44.628999999999998</v>
      </c>
      <c r="BE59">
        <v>-44.530999999999999</v>
      </c>
      <c r="BF59">
        <v>-44.433999999999997</v>
      </c>
      <c r="BG59">
        <v>-44.335999999999999</v>
      </c>
      <c r="BH59">
        <v>-44.238</v>
      </c>
      <c r="BI59">
        <v>-44.140999999999998</v>
      </c>
      <c r="BJ59">
        <v>-44.042999999999999</v>
      </c>
      <c r="BK59">
        <v>-43.945</v>
      </c>
      <c r="BL59">
        <v>-43.847999999999999</v>
      </c>
    </row>
    <row r="60" spans="1:64" x14ac:dyDescent="0.25">
      <c r="A60">
        <v>-50</v>
      </c>
      <c r="B60">
        <v>-49.902000000000001</v>
      </c>
      <c r="C60">
        <v>-49.805</v>
      </c>
      <c r="D60">
        <v>-49.707000000000001</v>
      </c>
      <c r="E60">
        <v>-49.609000000000002</v>
      </c>
      <c r="F60">
        <v>-49.512</v>
      </c>
      <c r="G60">
        <v>-49.414000000000001</v>
      </c>
      <c r="H60">
        <v>-49.316000000000003</v>
      </c>
      <c r="I60">
        <v>-49.219000000000001</v>
      </c>
      <c r="J60">
        <v>-49.121000000000002</v>
      </c>
      <c r="K60">
        <v>-49.023000000000003</v>
      </c>
      <c r="L60">
        <v>-48.926000000000002</v>
      </c>
      <c r="M60">
        <v>-48.828000000000003</v>
      </c>
      <c r="N60">
        <v>-48.73</v>
      </c>
      <c r="O60">
        <v>-48.633000000000003</v>
      </c>
      <c r="P60">
        <v>-48.534999999999997</v>
      </c>
      <c r="Q60">
        <v>-48.438000000000002</v>
      </c>
      <c r="R60">
        <v>-48.34</v>
      </c>
      <c r="S60">
        <v>-48.241999999999997</v>
      </c>
      <c r="T60">
        <v>-48.145000000000003</v>
      </c>
      <c r="U60">
        <v>-48.046999999999997</v>
      </c>
      <c r="V60">
        <v>-47.948999999999998</v>
      </c>
      <c r="W60">
        <v>-47.851999999999997</v>
      </c>
      <c r="X60">
        <v>-47.753999999999998</v>
      </c>
      <c r="Y60">
        <v>-47.655999999999999</v>
      </c>
      <c r="Z60">
        <v>-47.558999999999997</v>
      </c>
      <c r="AA60">
        <v>-47.460999999999999</v>
      </c>
      <c r="AB60">
        <v>-47.363</v>
      </c>
      <c r="AC60">
        <v>-47.265999999999998</v>
      </c>
      <c r="AD60">
        <v>-47.167999999999999</v>
      </c>
      <c r="AE60">
        <v>-47.07</v>
      </c>
      <c r="AF60">
        <v>-46.972999999999999</v>
      </c>
      <c r="AG60">
        <v>-46.875</v>
      </c>
      <c r="AH60">
        <v>-46.777000000000001</v>
      </c>
      <c r="AI60">
        <v>-46.68</v>
      </c>
      <c r="AJ60">
        <v>-46.582000000000001</v>
      </c>
      <c r="AK60">
        <v>-46.484000000000002</v>
      </c>
      <c r="AL60">
        <v>-46.387</v>
      </c>
      <c r="AM60">
        <v>-46.289000000000001</v>
      </c>
      <c r="AN60">
        <v>-46.191000000000003</v>
      </c>
      <c r="AO60">
        <v>-46.094000000000001</v>
      </c>
      <c r="AP60">
        <v>-45.996000000000002</v>
      </c>
      <c r="AQ60">
        <v>-45.898000000000003</v>
      </c>
      <c r="AR60">
        <v>-45.801000000000002</v>
      </c>
      <c r="AS60">
        <v>-45.703000000000003</v>
      </c>
      <c r="AT60">
        <v>-45.604999999999997</v>
      </c>
      <c r="AU60">
        <v>-45.508000000000003</v>
      </c>
      <c r="AV60">
        <v>-45.41</v>
      </c>
      <c r="AW60">
        <v>-45.313000000000002</v>
      </c>
      <c r="AX60">
        <v>-45.215000000000003</v>
      </c>
      <c r="AY60">
        <v>-45.116999999999997</v>
      </c>
      <c r="AZ60">
        <v>-45.02</v>
      </c>
      <c r="BA60">
        <v>-44.921999999999997</v>
      </c>
      <c r="BB60">
        <v>-44.823999999999998</v>
      </c>
      <c r="BC60">
        <v>-44.726999999999997</v>
      </c>
      <c r="BD60">
        <v>-44.628999999999998</v>
      </c>
      <c r="BE60">
        <v>-44.530999999999999</v>
      </c>
      <c r="BF60">
        <v>-44.433999999999997</v>
      </c>
      <c r="BG60">
        <v>-44.335999999999999</v>
      </c>
      <c r="BH60">
        <v>-44.238</v>
      </c>
      <c r="BI60">
        <v>-44.140999999999998</v>
      </c>
      <c r="BJ60">
        <v>-44.042999999999999</v>
      </c>
      <c r="BK60">
        <v>-43.945</v>
      </c>
      <c r="BL60">
        <v>-43.847999999999999</v>
      </c>
    </row>
    <row r="61" spans="1:64" x14ac:dyDescent="0.25">
      <c r="A61">
        <v>-50</v>
      </c>
      <c r="B61">
        <v>-49.902000000000001</v>
      </c>
      <c r="C61">
        <v>-49.805</v>
      </c>
      <c r="D61">
        <v>-49.707000000000001</v>
      </c>
      <c r="E61">
        <v>-49.609000000000002</v>
      </c>
      <c r="F61">
        <v>-49.512</v>
      </c>
      <c r="G61">
        <v>-49.414000000000001</v>
      </c>
      <c r="H61">
        <v>-49.316000000000003</v>
      </c>
      <c r="I61">
        <v>-49.219000000000001</v>
      </c>
      <c r="J61">
        <v>-49.121000000000002</v>
      </c>
      <c r="K61">
        <v>-49.023000000000003</v>
      </c>
      <c r="L61">
        <v>-48.926000000000002</v>
      </c>
      <c r="M61">
        <v>-48.828000000000003</v>
      </c>
      <c r="N61">
        <v>-48.73</v>
      </c>
      <c r="O61">
        <v>-48.633000000000003</v>
      </c>
      <c r="P61">
        <v>-48.534999999999997</v>
      </c>
      <c r="Q61">
        <v>-48.438000000000002</v>
      </c>
      <c r="R61">
        <v>-48.34</v>
      </c>
      <c r="S61">
        <v>-48.241999999999997</v>
      </c>
      <c r="T61">
        <v>-48.145000000000003</v>
      </c>
      <c r="U61">
        <v>-48.046999999999997</v>
      </c>
      <c r="V61">
        <v>-47.948999999999998</v>
      </c>
      <c r="W61">
        <v>-47.851999999999997</v>
      </c>
      <c r="X61">
        <v>-47.753999999999998</v>
      </c>
      <c r="Y61">
        <v>-47.655999999999999</v>
      </c>
      <c r="Z61">
        <v>-47.558999999999997</v>
      </c>
      <c r="AA61">
        <v>-47.460999999999999</v>
      </c>
      <c r="AB61">
        <v>-47.363</v>
      </c>
      <c r="AC61">
        <v>-47.265999999999998</v>
      </c>
      <c r="AD61">
        <v>-47.167999999999999</v>
      </c>
      <c r="AE61">
        <v>-47.07</v>
      </c>
      <c r="AF61">
        <v>-46.972999999999999</v>
      </c>
      <c r="AG61">
        <v>-46.875</v>
      </c>
      <c r="AH61">
        <v>-46.777000000000001</v>
      </c>
      <c r="AI61">
        <v>-46.68</v>
      </c>
      <c r="AJ61">
        <v>-46.582000000000001</v>
      </c>
      <c r="AK61">
        <v>-46.484000000000002</v>
      </c>
      <c r="AL61">
        <v>-46.387</v>
      </c>
      <c r="AM61">
        <v>-46.289000000000001</v>
      </c>
      <c r="AN61">
        <v>-46.191000000000003</v>
      </c>
      <c r="AO61">
        <v>-46.094000000000001</v>
      </c>
      <c r="AP61">
        <v>-45.996000000000002</v>
      </c>
      <c r="AQ61">
        <v>-45.898000000000003</v>
      </c>
      <c r="AR61">
        <v>-45.801000000000002</v>
      </c>
      <c r="AS61">
        <v>-45.703000000000003</v>
      </c>
      <c r="AT61">
        <v>-45.604999999999997</v>
      </c>
      <c r="AU61">
        <v>-45.508000000000003</v>
      </c>
      <c r="AV61">
        <v>-45.41</v>
      </c>
      <c r="AW61">
        <v>-45.313000000000002</v>
      </c>
      <c r="AX61">
        <v>-45.215000000000003</v>
      </c>
      <c r="AY61">
        <v>-45.116999999999997</v>
      </c>
      <c r="AZ61">
        <v>-45.02</v>
      </c>
      <c r="BA61">
        <v>-44.921999999999997</v>
      </c>
      <c r="BB61">
        <v>-44.823999999999998</v>
      </c>
      <c r="BC61">
        <v>-44.726999999999997</v>
      </c>
      <c r="BD61">
        <v>-44.628999999999998</v>
      </c>
      <c r="BE61">
        <v>-44.530999999999999</v>
      </c>
      <c r="BF61">
        <v>-44.433999999999997</v>
      </c>
      <c r="BG61">
        <v>-44.335999999999999</v>
      </c>
      <c r="BH61">
        <v>-44.238</v>
      </c>
      <c r="BI61">
        <v>-44.140999999999998</v>
      </c>
      <c r="BJ61">
        <v>-44.042999999999999</v>
      </c>
      <c r="BK61">
        <v>-43.945</v>
      </c>
      <c r="BL61">
        <v>-43.847999999999999</v>
      </c>
    </row>
    <row r="62" spans="1:64" x14ac:dyDescent="0.25">
      <c r="A62">
        <v>-50</v>
      </c>
      <c r="B62">
        <v>-49.902000000000001</v>
      </c>
      <c r="C62">
        <v>-49.805</v>
      </c>
      <c r="D62">
        <v>-49.707000000000001</v>
      </c>
      <c r="E62">
        <v>-49.609000000000002</v>
      </c>
      <c r="F62">
        <v>-49.512</v>
      </c>
      <c r="G62">
        <v>-49.414000000000001</v>
      </c>
      <c r="H62">
        <v>-49.316000000000003</v>
      </c>
      <c r="I62">
        <v>-49.219000000000001</v>
      </c>
      <c r="J62">
        <v>-49.121000000000002</v>
      </c>
      <c r="K62">
        <v>-49.023000000000003</v>
      </c>
      <c r="L62">
        <v>-48.926000000000002</v>
      </c>
      <c r="M62">
        <v>-48.828000000000003</v>
      </c>
      <c r="N62">
        <v>-48.73</v>
      </c>
      <c r="O62">
        <v>-48.633000000000003</v>
      </c>
      <c r="P62">
        <v>-48.534999999999997</v>
      </c>
      <c r="Q62">
        <v>-48.438000000000002</v>
      </c>
      <c r="R62">
        <v>-48.34</v>
      </c>
      <c r="S62">
        <v>-48.241999999999997</v>
      </c>
      <c r="T62">
        <v>-48.145000000000003</v>
      </c>
      <c r="U62">
        <v>-48.046999999999997</v>
      </c>
      <c r="V62">
        <v>-47.948999999999998</v>
      </c>
      <c r="W62">
        <v>-47.851999999999997</v>
      </c>
      <c r="X62">
        <v>-47.753999999999998</v>
      </c>
      <c r="Y62">
        <v>-47.655999999999999</v>
      </c>
      <c r="Z62">
        <v>-47.558999999999997</v>
      </c>
      <c r="AA62">
        <v>-47.460999999999999</v>
      </c>
      <c r="AB62">
        <v>-47.363</v>
      </c>
      <c r="AC62">
        <v>-47.265999999999998</v>
      </c>
      <c r="AD62">
        <v>-47.167999999999999</v>
      </c>
      <c r="AE62">
        <v>-47.07</v>
      </c>
      <c r="AF62">
        <v>-46.972999999999999</v>
      </c>
      <c r="AG62">
        <v>-46.875</v>
      </c>
      <c r="AH62">
        <v>-46.777000000000001</v>
      </c>
      <c r="AI62">
        <v>-46.68</v>
      </c>
      <c r="AJ62">
        <v>-46.582000000000001</v>
      </c>
      <c r="AK62">
        <v>-46.484000000000002</v>
      </c>
      <c r="AL62">
        <v>-46.387</v>
      </c>
      <c r="AM62">
        <v>-46.289000000000001</v>
      </c>
      <c r="AN62">
        <v>-46.191000000000003</v>
      </c>
      <c r="AO62">
        <v>-46.094000000000001</v>
      </c>
      <c r="AP62">
        <v>-45.996000000000002</v>
      </c>
      <c r="AQ62">
        <v>-45.898000000000003</v>
      </c>
      <c r="AR62">
        <v>-45.801000000000002</v>
      </c>
      <c r="AS62">
        <v>-45.703000000000003</v>
      </c>
      <c r="AT62">
        <v>-45.604999999999997</v>
      </c>
      <c r="AU62">
        <v>-45.508000000000003</v>
      </c>
      <c r="AV62">
        <v>-45.41</v>
      </c>
      <c r="AW62">
        <v>-45.313000000000002</v>
      </c>
      <c r="AX62">
        <v>-45.215000000000003</v>
      </c>
      <c r="AY62">
        <v>-45.116999999999997</v>
      </c>
      <c r="AZ62">
        <v>-45.02</v>
      </c>
      <c r="BA62">
        <v>-44.921999999999997</v>
      </c>
      <c r="BB62">
        <v>-44.823999999999998</v>
      </c>
      <c r="BC62">
        <v>-44.726999999999997</v>
      </c>
      <c r="BD62">
        <v>-44.628999999999998</v>
      </c>
      <c r="BE62">
        <v>-44.530999999999999</v>
      </c>
      <c r="BF62">
        <v>-44.433999999999997</v>
      </c>
      <c r="BG62">
        <v>-44.335999999999999</v>
      </c>
      <c r="BH62">
        <v>-44.238</v>
      </c>
      <c r="BI62">
        <v>-44.140999999999998</v>
      </c>
      <c r="BJ62">
        <v>-44.042999999999999</v>
      </c>
      <c r="BK62">
        <v>-43.945</v>
      </c>
      <c r="BL62">
        <v>-43.847999999999999</v>
      </c>
    </row>
    <row r="63" spans="1:64" x14ac:dyDescent="0.25">
      <c r="A63">
        <v>-50</v>
      </c>
      <c r="B63">
        <v>-49.902000000000001</v>
      </c>
      <c r="C63">
        <v>-49.805</v>
      </c>
      <c r="D63">
        <v>-49.707000000000001</v>
      </c>
      <c r="E63">
        <v>-49.609000000000002</v>
      </c>
      <c r="F63">
        <v>-49.512</v>
      </c>
      <c r="G63">
        <v>-49.414000000000001</v>
      </c>
      <c r="H63">
        <v>-49.316000000000003</v>
      </c>
      <c r="I63">
        <v>-49.219000000000001</v>
      </c>
      <c r="J63">
        <v>-49.121000000000002</v>
      </c>
      <c r="K63">
        <v>-49.023000000000003</v>
      </c>
      <c r="L63">
        <v>-48.926000000000002</v>
      </c>
      <c r="M63">
        <v>-48.828000000000003</v>
      </c>
      <c r="N63">
        <v>-48.73</v>
      </c>
      <c r="O63">
        <v>-48.633000000000003</v>
      </c>
      <c r="P63">
        <v>-48.534999999999997</v>
      </c>
      <c r="Q63">
        <v>-48.438000000000002</v>
      </c>
      <c r="R63">
        <v>-48.34</v>
      </c>
      <c r="S63">
        <v>-48.241999999999997</v>
      </c>
      <c r="T63">
        <v>-48.145000000000003</v>
      </c>
      <c r="U63">
        <v>-48.046999999999997</v>
      </c>
      <c r="V63">
        <v>-47.948999999999998</v>
      </c>
      <c r="W63">
        <v>-47.851999999999997</v>
      </c>
      <c r="X63">
        <v>-47.753999999999998</v>
      </c>
      <c r="Y63">
        <v>-47.655999999999999</v>
      </c>
      <c r="Z63">
        <v>-47.558999999999997</v>
      </c>
      <c r="AA63">
        <v>-47.460999999999999</v>
      </c>
      <c r="AB63">
        <v>-47.363</v>
      </c>
      <c r="AC63">
        <v>-47.265999999999998</v>
      </c>
      <c r="AD63">
        <v>-47.167999999999999</v>
      </c>
      <c r="AE63">
        <v>-47.07</v>
      </c>
      <c r="AF63">
        <v>-46.972999999999999</v>
      </c>
      <c r="AG63">
        <v>-46.875</v>
      </c>
      <c r="AH63">
        <v>-46.777000000000001</v>
      </c>
      <c r="AI63">
        <v>-46.68</v>
      </c>
      <c r="AJ63">
        <v>-46.582000000000001</v>
      </c>
      <c r="AK63">
        <v>-46.484000000000002</v>
      </c>
      <c r="AL63">
        <v>-46.387</v>
      </c>
      <c r="AM63">
        <v>-46.289000000000001</v>
      </c>
      <c r="AN63">
        <v>-46.191000000000003</v>
      </c>
      <c r="AO63">
        <v>-46.094000000000001</v>
      </c>
      <c r="AP63">
        <v>-45.996000000000002</v>
      </c>
      <c r="AQ63">
        <v>-45.898000000000003</v>
      </c>
      <c r="AR63">
        <v>-45.801000000000002</v>
      </c>
      <c r="AS63">
        <v>-45.703000000000003</v>
      </c>
      <c r="AT63">
        <v>-45.604999999999997</v>
      </c>
      <c r="AU63">
        <v>-45.508000000000003</v>
      </c>
      <c r="AV63">
        <v>-45.41</v>
      </c>
      <c r="AW63">
        <v>-45.313000000000002</v>
      </c>
      <c r="AX63">
        <v>-45.215000000000003</v>
      </c>
      <c r="AY63">
        <v>-45.116999999999997</v>
      </c>
      <c r="AZ63">
        <v>-45.02</v>
      </c>
      <c r="BA63">
        <v>-44.921999999999997</v>
      </c>
      <c r="BB63">
        <v>-44.823999999999998</v>
      </c>
      <c r="BC63">
        <v>-44.726999999999997</v>
      </c>
      <c r="BD63">
        <v>-44.628999999999998</v>
      </c>
      <c r="BE63">
        <v>-44.530999999999999</v>
      </c>
      <c r="BF63">
        <v>-44.433999999999997</v>
      </c>
      <c r="BG63">
        <v>-44.335999999999999</v>
      </c>
      <c r="BH63">
        <v>-44.238</v>
      </c>
      <c r="BI63">
        <v>-44.140999999999998</v>
      </c>
      <c r="BJ63">
        <v>-44.042999999999999</v>
      </c>
      <c r="BK63">
        <v>-43.945</v>
      </c>
      <c r="BL63">
        <v>-43.847999999999999</v>
      </c>
    </row>
    <row r="64" spans="1:64" x14ac:dyDescent="0.25">
      <c r="A64">
        <v>-50</v>
      </c>
      <c r="B64">
        <v>-49.902000000000001</v>
      </c>
      <c r="C64">
        <v>-49.805</v>
      </c>
      <c r="D64">
        <v>-49.707000000000001</v>
      </c>
      <c r="E64">
        <v>-49.609000000000002</v>
      </c>
      <c r="F64">
        <v>-49.512</v>
      </c>
      <c r="G64">
        <v>-49.414000000000001</v>
      </c>
      <c r="H64">
        <v>-49.316000000000003</v>
      </c>
      <c r="I64">
        <v>-49.219000000000001</v>
      </c>
      <c r="J64">
        <v>-49.121000000000002</v>
      </c>
      <c r="K64">
        <v>-49.023000000000003</v>
      </c>
      <c r="L64">
        <v>-48.926000000000002</v>
      </c>
      <c r="M64">
        <v>-48.828000000000003</v>
      </c>
      <c r="N64">
        <v>-48.73</v>
      </c>
      <c r="O64">
        <v>-48.633000000000003</v>
      </c>
      <c r="P64">
        <v>-48.534999999999997</v>
      </c>
      <c r="Q64">
        <v>-48.438000000000002</v>
      </c>
      <c r="R64">
        <v>-48.34</v>
      </c>
      <c r="S64">
        <v>-48.241999999999997</v>
      </c>
      <c r="T64">
        <v>-48.145000000000003</v>
      </c>
      <c r="U64">
        <v>-48.046999999999997</v>
      </c>
      <c r="V64">
        <v>-47.948999999999998</v>
      </c>
      <c r="W64">
        <v>-47.851999999999997</v>
      </c>
      <c r="X64">
        <v>-47.753999999999998</v>
      </c>
      <c r="Y64">
        <v>-47.655999999999999</v>
      </c>
      <c r="Z64">
        <v>-47.558999999999997</v>
      </c>
      <c r="AA64">
        <v>-47.460999999999999</v>
      </c>
      <c r="AB64">
        <v>-47.363</v>
      </c>
      <c r="AC64">
        <v>-47.265999999999998</v>
      </c>
      <c r="AD64">
        <v>-47.167999999999999</v>
      </c>
      <c r="AE64">
        <v>-47.07</v>
      </c>
      <c r="AF64">
        <v>-46.972999999999999</v>
      </c>
      <c r="AG64">
        <v>-46.875</v>
      </c>
      <c r="AH64">
        <v>-46.777000000000001</v>
      </c>
      <c r="AI64">
        <v>-46.68</v>
      </c>
      <c r="AJ64">
        <v>-46.582000000000001</v>
      </c>
      <c r="AK64">
        <v>-46.484000000000002</v>
      </c>
      <c r="AL64">
        <v>-46.387</v>
      </c>
      <c r="AM64">
        <v>-46.289000000000001</v>
      </c>
      <c r="AN64">
        <v>-46.191000000000003</v>
      </c>
      <c r="AO64">
        <v>-46.094000000000001</v>
      </c>
      <c r="AP64">
        <v>-45.996000000000002</v>
      </c>
      <c r="AQ64">
        <v>-45.898000000000003</v>
      </c>
      <c r="AR64">
        <v>-45.801000000000002</v>
      </c>
      <c r="AS64">
        <v>-45.703000000000003</v>
      </c>
      <c r="AT64">
        <v>-45.604999999999997</v>
      </c>
      <c r="AU64">
        <v>-45.508000000000003</v>
      </c>
      <c r="AV64">
        <v>-45.41</v>
      </c>
      <c r="AW64">
        <v>-45.313000000000002</v>
      </c>
      <c r="AX64">
        <v>-45.215000000000003</v>
      </c>
      <c r="AY64">
        <v>-45.116999999999997</v>
      </c>
      <c r="AZ64">
        <v>-45.02</v>
      </c>
      <c r="BA64">
        <v>-44.921999999999997</v>
      </c>
      <c r="BB64">
        <v>-44.823999999999998</v>
      </c>
      <c r="BC64">
        <v>-44.726999999999997</v>
      </c>
      <c r="BD64">
        <v>-44.628999999999998</v>
      </c>
      <c r="BE64">
        <v>-44.530999999999999</v>
      </c>
      <c r="BF64">
        <v>-44.433999999999997</v>
      </c>
      <c r="BG64">
        <v>-44.335999999999999</v>
      </c>
      <c r="BH64">
        <v>-44.238</v>
      </c>
      <c r="BI64">
        <v>-44.140999999999998</v>
      </c>
      <c r="BJ64">
        <v>-44.042999999999999</v>
      </c>
      <c r="BK64">
        <v>-43.945</v>
      </c>
      <c r="BL64">
        <v>-43.847999999999999</v>
      </c>
    </row>
    <row r="66" spans="1:64" x14ac:dyDescent="0.25">
      <c r="A66">
        <v>0</v>
      </c>
      <c r="B66">
        <v>0.42599999999999999</v>
      </c>
      <c r="C66">
        <v>0.67900000000000005</v>
      </c>
      <c r="D66">
        <v>0.92800000000000005</v>
      </c>
      <c r="E66">
        <v>1.0940000000000001</v>
      </c>
      <c r="F66">
        <v>1.1759999999999999</v>
      </c>
      <c r="G66">
        <v>1.28</v>
      </c>
      <c r="H66">
        <v>1.4019999999999999</v>
      </c>
      <c r="I66">
        <v>1.5720000000000001</v>
      </c>
      <c r="J66">
        <v>1.6240000000000001</v>
      </c>
      <c r="K66">
        <v>1.6759999999999999</v>
      </c>
      <c r="L66">
        <v>1.853</v>
      </c>
      <c r="M66">
        <v>1.9710000000000001</v>
      </c>
      <c r="N66">
        <v>1.9239999999999999</v>
      </c>
      <c r="O66">
        <v>1.9390000000000001</v>
      </c>
      <c r="P66">
        <v>2.077</v>
      </c>
      <c r="Q66">
        <v>2.1230000000000002</v>
      </c>
      <c r="R66">
        <v>2.262</v>
      </c>
      <c r="S66">
        <v>2.3769999999999998</v>
      </c>
      <c r="T66">
        <v>2.488</v>
      </c>
      <c r="U66">
        <v>2.6150000000000002</v>
      </c>
      <c r="V66">
        <v>2.669</v>
      </c>
      <c r="W66">
        <v>2.63</v>
      </c>
      <c r="X66">
        <v>2.6920000000000002</v>
      </c>
      <c r="Y66">
        <v>2.7789999999999999</v>
      </c>
      <c r="Z66">
        <v>2.7890000000000001</v>
      </c>
      <c r="AA66">
        <v>2.8639999999999999</v>
      </c>
      <c r="AB66">
        <v>2.8359999999999999</v>
      </c>
      <c r="AC66">
        <v>2.8969999999999998</v>
      </c>
      <c r="AD66">
        <v>2.911</v>
      </c>
      <c r="AE66">
        <v>2.9860000000000002</v>
      </c>
      <c r="AF66">
        <v>2.984</v>
      </c>
      <c r="AG66">
        <v>3.1219999999999999</v>
      </c>
      <c r="AH66">
        <v>3.0550000000000002</v>
      </c>
      <c r="AI66">
        <v>2.9710000000000001</v>
      </c>
      <c r="AJ66">
        <v>2.9470000000000001</v>
      </c>
      <c r="AK66">
        <v>2.992</v>
      </c>
      <c r="AL66">
        <v>3.0659999999999998</v>
      </c>
      <c r="AM66">
        <v>2.9980000000000002</v>
      </c>
      <c r="AN66">
        <v>3.0110000000000001</v>
      </c>
      <c r="AO66">
        <v>3.0680000000000001</v>
      </c>
      <c r="AP66">
        <v>3.1760000000000002</v>
      </c>
      <c r="AQ66">
        <v>3.1669999999999998</v>
      </c>
      <c r="AR66">
        <v>3.1379999999999999</v>
      </c>
      <c r="AS66">
        <v>3.1669999999999998</v>
      </c>
      <c r="AT66">
        <v>3.21</v>
      </c>
      <c r="AU66">
        <v>3.25</v>
      </c>
      <c r="AV66">
        <v>3.3490000000000002</v>
      </c>
      <c r="AW66">
        <v>3.3279999999999998</v>
      </c>
      <c r="AX66">
        <v>3.3679999999999999</v>
      </c>
      <c r="AY66">
        <v>3.3439999999999999</v>
      </c>
      <c r="AZ66">
        <v>3.3690000000000002</v>
      </c>
      <c r="BA66">
        <v>3.3730000000000002</v>
      </c>
      <c r="BB66">
        <v>3.4580000000000002</v>
      </c>
      <c r="BC66">
        <v>3.4340000000000002</v>
      </c>
      <c r="BD66">
        <v>3.4159999999999999</v>
      </c>
      <c r="BE66">
        <v>3.44</v>
      </c>
      <c r="BF66">
        <v>3.4489999999999998</v>
      </c>
      <c r="BG66">
        <v>3.508</v>
      </c>
      <c r="BH66">
        <v>3.54</v>
      </c>
      <c r="BI66">
        <v>3.5059999999999998</v>
      </c>
      <c r="BJ66">
        <v>3.492</v>
      </c>
      <c r="BK66">
        <v>3.4769999999999999</v>
      </c>
      <c r="BL66">
        <v>3.5009999999999999</v>
      </c>
    </row>
    <row r="67" spans="1:64" x14ac:dyDescent="0.25">
      <c r="A67">
        <v>0.33</v>
      </c>
      <c r="B67">
        <v>0.442</v>
      </c>
      <c r="C67">
        <v>0.68200000000000005</v>
      </c>
      <c r="D67">
        <v>0.88200000000000001</v>
      </c>
      <c r="E67">
        <v>1.091</v>
      </c>
      <c r="F67">
        <v>1.2450000000000001</v>
      </c>
      <c r="G67">
        <v>1.3740000000000001</v>
      </c>
      <c r="H67">
        <v>1.4770000000000001</v>
      </c>
      <c r="I67">
        <v>1.591</v>
      </c>
      <c r="J67">
        <v>1.6160000000000001</v>
      </c>
      <c r="K67">
        <v>1.706</v>
      </c>
      <c r="L67">
        <v>1.7749999999999999</v>
      </c>
      <c r="M67">
        <v>1.831</v>
      </c>
      <c r="N67">
        <v>1.869</v>
      </c>
      <c r="O67">
        <v>1.952</v>
      </c>
      <c r="P67">
        <v>1.992</v>
      </c>
      <c r="Q67">
        <v>2.1070000000000002</v>
      </c>
      <c r="R67">
        <v>2.25</v>
      </c>
      <c r="S67">
        <v>2.3490000000000002</v>
      </c>
      <c r="T67">
        <v>2.512</v>
      </c>
      <c r="U67">
        <v>2.5470000000000002</v>
      </c>
      <c r="V67">
        <v>2.62</v>
      </c>
      <c r="W67">
        <v>2.633</v>
      </c>
      <c r="X67">
        <v>2.7090000000000001</v>
      </c>
      <c r="Y67">
        <v>2.8</v>
      </c>
      <c r="Z67">
        <v>2.7850000000000001</v>
      </c>
      <c r="AA67">
        <v>2.8490000000000002</v>
      </c>
      <c r="AB67">
        <v>2.8210000000000002</v>
      </c>
      <c r="AC67">
        <v>2.823</v>
      </c>
      <c r="AD67">
        <v>2.88</v>
      </c>
      <c r="AE67">
        <v>2.9060000000000001</v>
      </c>
      <c r="AF67">
        <v>2.9209999999999998</v>
      </c>
      <c r="AG67">
        <v>2.9350000000000001</v>
      </c>
      <c r="AH67">
        <v>2.97</v>
      </c>
      <c r="AI67">
        <v>2.9329999999999998</v>
      </c>
      <c r="AJ67">
        <v>2.915</v>
      </c>
      <c r="AK67">
        <v>2.9039999999999999</v>
      </c>
      <c r="AL67">
        <v>2.9409999999999998</v>
      </c>
      <c r="AM67">
        <v>2.9359999999999999</v>
      </c>
      <c r="AN67">
        <v>2.9590000000000001</v>
      </c>
      <c r="AO67">
        <v>3.0230000000000001</v>
      </c>
      <c r="AP67">
        <v>3.0230000000000001</v>
      </c>
      <c r="AQ67">
        <v>3.0979999999999999</v>
      </c>
      <c r="AR67">
        <v>3.1459999999999999</v>
      </c>
      <c r="AS67">
        <v>3.2069999999999999</v>
      </c>
      <c r="AT67">
        <v>3.2050000000000001</v>
      </c>
      <c r="AU67">
        <v>3.2120000000000002</v>
      </c>
      <c r="AV67">
        <v>3.3050000000000002</v>
      </c>
      <c r="AW67">
        <v>3.3370000000000002</v>
      </c>
      <c r="AX67">
        <v>3.3279999999999998</v>
      </c>
      <c r="AY67">
        <v>3.3570000000000002</v>
      </c>
      <c r="AZ67">
        <v>3.45</v>
      </c>
      <c r="BA67">
        <v>3.4340000000000002</v>
      </c>
      <c r="BB67">
        <v>3.4630000000000001</v>
      </c>
      <c r="BC67">
        <v>3.4319999999999999</v>
      </c>
      <c r="BD67">
        <v>3.4969999999999999</v>
      </c>
      <c r="BE67">
        <v>3.45</v>
      </c>
      <c r="BF67">
        <v>3.4769999999999999</v>
      </c>
      <c r="BG67">
        <v>3.5009999999999999</v>
      </c>
      <c r="BH67">
        <v>3.47</v>
      </c>
      <c r="BI67">
        <v>3.4849999999999999</v>
      </c>
      <c r="BJ67">
        <v>3.4969999999999999</v>
      </c>
      <c r="BK67">
        <v>3.5179999999999998</v>
      </c>
      <c r="BL67">
        <v>3.641</v>
      </c>
    </row>
    <row r="68" spans="1:64" x14ac:dyDescent="0.25">
      <c r="A68">
        <v>0.44800000000000001</v>
      </c>
      <c r="B68">
        <v>0.59199999999999997</v>
      </c>
      <c r="C68">
        <v>0.72299999999999998</v>
      </c>
      <c r="D68">
        <v>0.93799999999999994</v>
      </c>
      <c r="E68">
        <v>1.1080000000000001</v>
      </c>
      <c r="F68">
        <v>1.218</v>
      </c>
      <c r="G68">
        <v>1.397</v>
      </c>
      <c r="H68">
        <v>1.462</v>
      </c>
      <c r="I68">
        <v>1.5529999999999999</v>
      </c>
      <c r="J68">
        <v>1.6</v>
      </c>
      <c r="K68">
        <v>1.6930000000000001</v>
      </c>
      <c r="L68">
        <v>1.7250000000000001</v>
      </c>
      <c r="M68">
        <v>1.7969999999999999</v>
      </c>
      <c r="N68">
        <v>1.8360000000000001</v>
      </c>
      <c r="O68">
        <v>1.9279999999999999</v>
      </c>
      <c r="P68">
        <v>2.0070000000000001</v>
      </c>
      <c r="Q68">
        <v>2.0430000000000001</v>
      </c>
      <c r="R68">
        <v>2.2469999999999999</v>
      </c>
      <c r="S68">
        <v>2.3730000000000002</v>
      </c>
      <c r="T68">
        <v>2.42</v>
      </c>
      <c r="U68">
        <v>2.5129999999999999</v>
      </c>
      <c r="V68">
        <v>2.5680000000000001</v>
      </c>
      <c r="W68">
        <v>2.633</v>
      </c>
      <c r="X68">
        <v>2.7269999999999999</v>
      </c>
      <c r="Y68">
        <v>2.7749999999999999</v>
      </c>
      <c r="Z68">
        <v>2.794</v>
      </c>
      <c r="AA68">
        <v>2.8239999999999998</v>
      </c>
      <c r="AB68">
        <v>2.8439999999999999</v>
      </c>
      <c r="AC68">
        <v>2.8679999999999999</v>
      </c>
      <c r="AD68">
        <v>2.8140000000000001</v>
      </c>
      <c r="AE68">
        <v>2.8180000000000001</v>
      </c>
      <c r="AF68">
        <v>2.8559999999999999</v>
      </c>
      <c r="AG68">
        <v>2.89</v>
      </c>
      <c r="AH68">
        <v>2.8730000000000002</v>
      </c>
      <c r="AI68">
        <v>2.81</v>
      </c>
      <c r="AJ68">
        <v>2.851</v>
      </c>
      <c r="AK68">
        <v>2.8740000000000001</v>
      </c>
      <c r="AL68">
        <v>2.8530000000000002</v>
      </c>
      <c r="AM68">
        <v>2.89</v>
      </c>
      <c r="AN68">
        <v>2.9969999999999999</v>
      </c>
      <c r="AO68">
        <v>3.0449999999999999</v>
      </c>
      <c r="AP68">
        <v>2.9990000000000001</v>
      </c>
      <c r="AQ68">
        <v>3.0049999999999999</v>
      </c>
      <c r="AR68">
        <v>3.0649999999999999</v>
      </c>
      <c r="AS68">
        <v>3.1909999999999998</v>
      </c>
      <c r="AT68">
        <v>3.2160000000000002</v>
      </c>
      <c r="AU68">
        <v>3.2469999999999999</v>
      </c>
      <c r="AV68">
        <v>3.2839999999999998</v>
      </c>
      <c r="AW68">
        <v>3.351</v>
      </c>
      <c r="AX68">
        <v>3.3959999999999999</v>
      </c>
      <c r="AY68">
        <v>3.3919999999999999</v>
      </c>
      <c r="AZ68">
        <v>3.4169999999999998</v>
      </c>
      <c r="BA68">
        <v>3.5129999999999999</v>
      </c>
      <c r="BB68">
        <v>3.4510000000000001</v>
      </c>
      <c r="BC68">
        <v>3.4369999999999998</v>
      </c>
      <c r="BD68">
        <v>3.4969999999999999</v>
      </c>
      <c r="BE68">
        <v>3.4830000000000001</v>
      </c>
      <c r="BF68">
        <v>3.5209999999999999</v>
      </c>
      <c r="BG68">
        <v>3.508</v>
      </c>
      <c r="BH68">
        <v>3.5139999999999998</v>
      </c>
      <c r="BI68">
        <v>3.5209999999999999</v>
      </c>
      <c r="BJ68">
        <v>3.5979999999999999</v>
      </c>
      <c r="BK68">
        <v>3.589</v>
      </c>
      <c r="BL68">
        <v>3.7029999999999998</v>
      </c>
    </row>
    <row r="69" spans="1:64" x14ac:dyDescent="0.25">
      <c r="A69">
        <v>0.53</v>
      </c>
      <c r="B69">
        <v>0.621</v>
      </c>
      <c r="C69">
        <v>0.70199999999999996</v>
      </c>
      <c r="D69">
        <v>0.85899999999999999</v>
      </c>
      <c r="E69">
        <v>1.006</v>
      </c>
      <c r="F69">
        <v>1.214</v>
      </c>
      <c r="G69">
        <v>1.393</v>
      </c>
      <c r="H69">
        <v>1.5049999999999999</v>
      </c>
      <c r="I69">
        <v>1.581</v>
      </c>
      <c r="J69">
        <v>1.627</v>
      </c>
      <c r="K69">
        <v>1.716</v>
      </c>
      <c r="L69">
        <v>1.756</v>
      </c>
      <c r="M69">
        <v>1.782</v>
      </c>
      <c r="N69">
        <v>1.843</v>
      </c>
      <c r="O69">
        <v>1.8859999999999999</v>
      </c>
      <c r="P69">
        <v>1.946</v>
      </c>
      <c r="Q69">
        <v>2.0430000000000001</v>
      </c>
      <c r="R69">
        <v>2.1779999999999999</v>
      </c>
      <c r="S69">
        <v>2.2759999999999998</v>
      </c>
      <c r="T69">
        <v>2.4119999999999999</v>
      </c>
      <c r="U69">
        <v>2.452</v>
      </c>
      <c r="V69">
        <v>2.5299999999999998</v>
      </c>
      <c r="W69">
        <v>2.5979999999999999</v>
      </c>
      <c r="X69">
        <v>2.7240000000000002</v>
      </c>
      <c r="Y69">
        <v>2.7040000000000002</v>
      </c>
      <c r="Z69">
        <v>2.766</v>
      </c>
      <c r="AA69">
        <v>2.7919999999999998</v>
      </c>
      <c r="AB69">
        <v>2.8650000000000002</v>
      </c>
      <c r="AC69">
        <v>2.8540000000000001</v>
      </c>
      <c r="AD69">
        <v>2.778</v>
      </c>
      <c r="AE69">
        <v>2.7949999999999999</v>
      </c>
      <c r="AF69">
        <v>2.8210000000000002</v>
      </c>
      <c r="AG69">
        <v>2.7909999999999999</v>
      </c>
      <c r="AH69">
        <v>2.7959999999999998</v>
      </c>
      <c r="AI69">
        <v>2.8</v>
      </c>
      <c r="AJ69">
        <v>2.78</v>
      </c>
      <c r="AK69">
        <v>2.754</v>
      </c>
      <c r="AL69">
        <v>2.798</v>
      </c>
      <c r="AM69">
        <v>2.875</v>
      </c>
      <c r="AN69">
        <v>2.9670000000000001</v>
      </c>
      <c r="AO69">
        <v>2.9710000000000001</v>
      </c>
      <c r="AP69">
        <v>3.0329999999999999</v>
      </c>
      <c r="AQ69">
        <v>3.0139999999999998</v>
      </c>
      <c r="AR69">
        <v>3.0990000000000002</v>
      </c>
      <c r="AS69">
        <v>3.165</v>
      </c>
      <c r="AT69">
        <v>3.1829999999999998</v>
      </c>
      <c r="AU69">
        <v>3.2610000000000001</v>
      </c>
      <c r="AV69">
        <v>3.242</v>
      </c>
      <c r="AW69">
        <v>3.3029999999999999</v>
      </c>
      <c r="AX69">
        <v>3.38</v>
      </c>
      <c r="AY69">
        <v>3.4420000000000002</v>
      </c>
      <c r="AZ69">
        <v>3.488</v>
      </c>
      <c r="BA69">
        <v>3.53</v>
      </c>
      <c r="BB69">
        <v>3.5049999999999999</v>
      </c>
      <c r="BC69">
        <v>3.49</v>
      </c>
      <c r="BD69">
        <v>3.4390000000000001</v>
      </c>
      <c r="BE69">
        <v>3.4540000000000002</v>
      </c>
      <c r="BF69">
        <v>3.5550000000000002</v>
      </c>
      <c r="BG69">
        <v>3.5550000000000002</v>
      </c>
      <c r="BH69">
        <v>3.54</v>
      </c>
      <c r="BI69">
        <v>3.6120000000000001</v>
      </c>
      <c r="BJ69">
        <v>3.633</v>
      </c>
      <c r="BK69">
        <v>3.718</v>
      </c>
      <c r="BL69">
        <v>3.7770000000000001</v>
      </c>
    </row>
    <row r="70" spans="1:64" x14ac:dyDescent="0.25">
      <c r="A70">
        <v>0.56799999999999995</v>
      </c>
      <c r="B70">
        <v>0.621</v>
      </c>
      <c r="C70">
        <v>0.72599999999999998</v>
      </c>
      <c r="D70">
        <v>0.85899999999999999</v>
      </c>
      <c r="E70">
        <v>0.97799999999999998</v>
      </c>
      <c r="F70">
        <v>1.175</v>
      </c>
      <c r="G70">
        <v>1.381</v>
      </c>
      <c r="H70">
        <v>1.554</v>
      </c>
      <c r="I70">
        <v>1.613</v>
      </c>
      <c r="J70">
        <v>1.7070000000000001</v>
      </c>
      <c r="K70">
        <v>1.7729999999999999</v>
      </c>
      <c r="L70">
        <v>1.78</v>
      </c>
      <c r="M70">
        <v>1.8140000000000001</v>
      </c>
      <c r="N70">
        <v>1.8360000000000001</v>
      </c>
      <c r="O70">
        <v>1.919</v>
      </c>
      <c r="P70">
        <v>1.895</v>
      </c>
      <c r="Q70">
        <v>1.9670000000000001</v>
      </c>
      <c r="R70">
        <v>2.1120000000000001</v>
      </c>
      <c r="S70">
        <v>2.1859999999999999</v>
      </c>
      <c r="T70">
        <v>2.347</v>
      </c>
      <c r="U70">
        <v>2.419</v>
      </c>
      <c r="V70">
        <v>2.5630000000000002</v>
      </c>
      <c r="W70">
        <v>2.6150000000000002</v>
      </c>
      <c r="X70">
        <v>2.7120000000000002</v>
      </c>
      <c r="Y70">
        <v>2.7189999999999999</v>
      </c>
      <c r="Z70">
        <v>2.726</v>
      </c>
      <c r="AA70">
        <v>2.8010000000000002</v>
      </c>
      <c r="AB70">
        <v>2.7610000000000001</v>
      </c>
      <c r="AC70">
        <v>2.774</v>
      </c>
      <c r="AD70">
        <v>2.7450000000000001</v>
      </c>
      <c r="AE70">
        <v>2.6520000000000001</v>
      </c>
      <c r="AF70">
        <v>2.7509999999999999</v>
      </c>
      <c r="AG70">
        <v>2.798</v>
      </c>
      <c r="AH70">
        <v>2.7759999999999998</v>
      </c>
      <c r="AI70">
        <v>2.74</v>
      </c>
      <c r="AJ70">
        <v>2.6890000000000001</v>
      </c>
      <c r="AK70">
        <v>2.7149999999999999</v>
      </c>
      <c r="AL70">
        <v>2.8210000000000002</v>
      </c>
      <c r="AM70">
        <v>2.903</v>
      </c>
      <c r="AN70">
        <v>2.98</v>
      </c>
      <c r="AO70">
        <v>2.9590000000000001</v>
      </c>
      <c r="AP70">
        <v>3.0019999999999998</v>
      </c>
      <c r="AQ70">
        <v>3.028</v>
      </c>
      <c r="AR70">
        <v>3.0630000000000002</v>
      </c>
      <c r="AS70">
        <v>3.1709999999999998</v>
      </c>
      <c r="AT70">
        <v>3.1989999999999998</v>
      </c>
      <c r="AU70">
        <v>3.1970000000000001</v>
      </c>
      <c r="AV70">
        <v>3.2730000000000001</v>
      </c>
      <c r="AW70">
        <v>3.3</v>
      </c>
      <c r="AX70">
        <v>3.3809999999999998</v>
      </c>
      <c r="AY70">
        <v>3.4910000000000001</v>
      </c>
      <c r="AZ70">
        <v>3.5659999999999998</v>
      </c>
      <c r="BA70">
        <v>3.6459999999999999</v>
      </c>
      <c r="BB70">
        <v>3.5739999999999998</v>
      </c>
      <c r="BC70">
        <v>3.4260000000000002</v>
      </c>
      <c r="BD70">
        <v>3.4260000000000002</v>
      </c>
      <c r="BE70">
        <v>3.45</v>
      </c>
      <c r="BF70">
        <v>3.5920000000000001</v>
      </c>
      <c r="BG70">
        <v>3.617</v>
      </c>
      <c r="BH70">
        <v>3.6120000000000001</v>
      </c>
      <c r="BI70">
        <v>3.6139999999999999</v>
      </c>
      <c r="BJ70">
        <v>3.6779999999999999</v>
      </c>
      <c r="BK70">
        <v>3.782</v>
      </c>
      <c r="BL70">
        <v>3.871</v>
      </c>
    </row>
    <row r="71" spans="1:64" x14ac:dyDescent="0.25">
      <c r="A71">
        <v>0.66100000000000003</v>
      </c>
      <c r="B71">
        <v>0.72699999999999998</v>
      </c>
      <c r="C71">
        <v>0.90400000000000003</v>
      </c>
      <c r="D71">
        <v>1.0009999999999999</v>
      </c>
      <c r="E71">
        <v>1.087</v>
      </c>
      <c r="F71">
        <v>1.2210000000000001</v>
      </c>
      <c r="G71">
        <v>1.355</v>
      </c>
      <c r="H71">
        <v>1.5329999999999999</v>
      </c>
      <c r="I71">
        <v>1.675</v>
      </c>
      <c r="J71">
        <v>1.7150000000000001</v>
      </c>
      <c r="K71">
        <v>1.7230000000000001</v>
      </c>
      <c r="L71">
        <v>1.6970000000000001</v>
      </c>
      <c r="M71">
        <v>1.7569999999999999</v>
      </c>
      <c r="N71">
        <v>1.821</v>
      </c>
      <c r="O71">
        <v>1.849</v>
      </c>
      <c r="P71">
        <v>1.907</v>
      </c>
      <c r="Q71">
        <v>1.915</v>
      </c>
      <c r="R71">
        <v>2.0190000000000001</v>
      </c>
      <c r="S71">
        <v>2.1440000000000001</v>
      </c>
      <c r="T71">
        <v>2.2389999999999999</v>
      </c>
      <c r="U71">
        <v>2.3730000000000002</v>
      </c>
      <c r="V71">
        <v>2.5049999999999999</v>
      </c>
      <c r="W71">
        <v>2.5099999999999998</v>
      </c>
      <c r="X71">
        <v>2.5939999999999999</v>
      </c>
      <c r="Y71">
        <v>2.63</v>
      </c>
      <c r="Z71">
        <v>2.66</v>
      </c>
      <c r="AA71">
        <v>2.7690000000000001</v>
      </c>
      <c r="AB71">
        <v>2.7549999999999999</v>
      </c>
      <c r="AC71">
        <v>2.7490000000000001</v>
      </c>
      <c r="AD71">
        <v>2.681</v>
      </c>
      <c r="AE71">
        <v>2.6749999999999998</v>
      </c>
      <c r="AF71">
        <v>2.6890000000000001</v>
      </c>
      <c r="AG71">
        <v>2.6920000000000002</v>
      </c>
      <c r="AH71">
        <v>2.6539999999999999</v>
      </c>
      <c r="AI71">
        <v>2.6930000000000001</v>
      </c>
      <c r="AJ71">
        <v>2.698</v>
      </c>
      <c r="AK71">
        <v>2.6859999999999999</v>
      </c>
      <c r="AL71">
        <v>2.766</v>
      </c>
      <c r="AM71">
        <v>2.8730000000000002</v>
      </c>
      <c r="AN71">
        <v>2.9049999999999998</v>
      </c>
      <c r="AO71">
        <v>2.996</v>
      </c>
      <c r="AP71">
        <v>3.03</v>
      </c>
      <c r="AQ71">
        <v>3.1</v>
      </c>
      <c r="AR71">
        <v>3.0779999999999998</v>
      </c>
      <c r="AS71">
        <v>3.1840000000000002</v>
      </c>
      <c r="AT71">
        <v>3.2</v>
      </c>
      <c r="AU71">
        <v>3.2320000000000002</v>
      </c>
      <c r="AV71">
        <v>3.355</v>
      </c>
      <c r="AW71">
        <v>3.3740000000000001</v>
      </c>
      <c r="AX71">
        <v>3.5019999999999998</v>
      </c>
      <c r="AY71">
        <v>3.5390000000000001</v>
      </c>
      <c r="AZ71">
        <v>3.5379999999999998</v>
      </c>
      <c r="BA71">
        <v>3.6030000000000002</v>
      </c>
      <c r="BB71">
        <v>3.5339999999999998</v>
      </c>
      <c r="BC71">
        <v>3.452</v>
      </c>
      <c r="BD71">
        <v>3.4369999999999998</v>
      </c>
      <c r="BE71">
        <v>3.52</v>
      </c>
      <c r="BF71">
        <v>3.5760000000000001</v>
      </c>
      <c r="BG71">
        <v>3.6469999999999998</v>
      </c>
      <c r="BH71">
        <v>3.6890000000000001</v>
      </c>
      <c r="BI71">
        <v>3.6890000000000001</v>
      </c>
      <c r="BJ71">
        <v>3.7789999999999999</v>
      </c>
      <c r="BK71">
        <v>3.8330000000000002</v>
      </c>
      <c r="BL71">
        <v>3.9990000000000001</v>
      </c>
    </row>
    <row r="72" spans="1:64" x14ac:dyDescent="0.25">
      <c r="A72">
        <v>0.78400000000000003</v>
      </c>
      <c r="B72">
        <v>0.86799999999999999</v>
      </c>
      <c r="C72">
        <v>1</v>
      </c>
      <c r="D72">
        <v>1.048</v>
      </c>
      <c r="E72">
        <v>1.119</v>
      </c>
      <c r="F72">
        <v>1.2370000000000001</v>
      </c>
      <c r="G72">
        <v>1.4390000000000001</v>
      </c>
      <c r="H72">
        <v>1.528</v>
      </c>
      <c r="I72">
        <v>1.7070000000000001</v>
      </c>
      <c r="J72">
        <v>1.7210000000000001</v>
      </c>
      <c r="K72">
        <v>1.6359999999999999</v>
      </c>
      <c r="L72">
        <v>1.6870000000000001</v>
      </c>
      <c r="M72">
        <v>1.7050000000000001</v>
      </c>
      <c r="N72">
        <v>1.792</v>
      </c>
      <c r="O72">
        <v>1.841</v>
      </c>
      <c r="P72">
        <v>1.861</v>
      </c>
      <c r="Q72">
        <v>1.837</v>
      </c>
      <c r="R72">
        <v>1.946</v>
      </c>
      <c r="S72">
        <v>2.1150000000000002</v>
      </c>
      <c r="T72">
        <v>2.2389999999999999</v>
      </c>
      <c r="U72">
        <v>2.383</v>
      </c>
      <c r="V72">
        <v>2.464</v>
      </c>
      <c r="W72">
        <v>2.5169999999999999</v>
      </c>
      <c r="X72">
        <v>2.5019999999999998</v>
      </c>
      <c r="Y72">
        <v>2.5369999999999999</v>
      </c>
      <c r="Z72">
        <v>2.5830000000000002</v>
      </c>
      <c r="AA72">
        <v>2.6659999999999999</v>
      </c>
      <c r="AB72">
        <v>2.657</v>
      </c>
      <c r="AC72">
        <v>2.5960000000000001</v>
      </c>
      <c r="AD72">
        <v>2.573</v>
      </c>
      <c r="AE72">
        <v>2.5179999999999998</v>
      </c>
      <c r="AF72">
        <v>2.5880000000000001</v>
      </c>
      <c r="AG72">
        <v>2.61</v>
      </c>
      <c r="AH72">
        <v>2.6030000000000002</v>
      </c>
      <c r="AI72">
        <v>2.6259999999999999</v>
      </c>
      <c r="AJ72">
        <v>2.6520000000000001</v>
      </c>
      <c r="AK72">
        <v>2.6739999999999999</v>
      </c>
      <c r="AL72">
        <v>2.7440000000000002</v>
      </c>
      <c r="AM72">
        <v>2.8490000000000002</v>
      </c>
      <c r="AN72">
        <v>2.8820000000000001</v>
      </c>
      <c r="AO72">
        <v>2.9590000000000001</v>
      </c>
      <c r="AP72">
        <v>3.0350000000000001</v>
      </c>
      <c r="AQ72">
        <v>3.0880000000000001</v>
      </c>
      <c r="AR72">
        <v>3.1120000000000001</v>
      </c>
      <c r="AS72">
        <v>3.1589999999999998</v>
      </c>
      <c r="AT72">
        <v>3.2029999999999998</v>
      </c>
      <c r="AU72">
        <v>3.3250000000000002</v>
      </c>
      <c r="AV72">
        <v>3.444</v>
      </c>
      <c r="AW72">
        <v>3.4769999999999999</v>
      </c>
      <c r="AX72">
        <v>3.536</v>
      </c>
      <c r="AY72">
        <v>3.5569999999999999</v>
      </c>
      <c r="AZ72">
        <v>3.5209999999999999</v>
      </c>
      <c r="BA72">
        <v>3.54</v>
      </c>
      <c r="BB72">
        <v>3.4780000000000002</v>
      </c>
      <c r="BC72">
        <v>3.4790000000000001</v>
      </c>
      <c r="BD72">
        <v>3.508</v>
      </c>
      <c r="BE72">
        <v>3.492</v>
      </c>
      <c r="BF72">
        <v>3.6419999999999999</v>
      </c>
      <c r="BG72">
        <v>3.718</v>
      </c>
      <c r="BH72">
        <v>3.7759999999999998</v>
      </c>
      <c r="BI72">
        <v>3.8319999999999999</v>
      </c>
      <c r="BJ72">
        <v>3.8719999999999999</v>
      </c>
      <c r="BK72">
        <v>3.9460000000000002</v>
      </c>
      <c r="BL72">
        <v>4.0199999999999996</v>
      </c>
    </row>
    <row r="73" spans="1:64" x14ac:dyDescent="0.25">
      <c r="A73">
        <v>0.97699999999999998</v>
      </c>
      <c r="B73">
        <v>1.0269999999999999</v>
      </c>
      <c r="C73">
        <v>1.091</v>
      </c>
      <c r="D73">
        <v>1.1000000000000001</v>
      </c>
      <c r="E73">
        <v>1.2070000000000001</v>
      </c>
      <c r="F73">
        <v>1.3260000000000001</v>
      </c>
      <c r="G73">
        <v>1.528</v>
      </c>
      <c r="H73">
        <v>1.5820000000000001</v>
      </c>
      <c r="I73">
        <v>1.704</v>
      </c>
      <c r="J73">
        <v>1.7030000000000001</v>
      </c>
      <c r="K73">
        <v>1.6659999999999999</v>
      </c>
      <c r="L73">
        <v>1.7170000000000001</v>
      </c>
      <c r="M73">
        <v>1.744</v>
      </c>
      <c r="N73">
        <v>1.7430000000000001</v>
      </c>
      <c r="O73">
        <v>1.762</v>
      </c>
      <c r="P73">
        <v>1.738</v>
      </c>
      <c r="Q73">
        <v>1.806</v>
      </c>
      <c r="R73">
        <v>1.889</v>
      </c>
      <c r="S73">
        <v>2.0659999999999998</v>
      </c>
      <c r="T73">
        <v>2.218</v>
      </c>
      <c r="U73">
        <v>2.3490000000000002</v>
      </c>
      <c r="V73">
        <v>2.4420000000000002</v>
      </c>
      <c r="W73">
        <v>2.4630000000000001</v>
      </c>
      <c r="X73">
        <v>2.46</v>
      </c>
      <c r="Y73">
        <v>2.4740000000000002</v>
      </c>
      <c r="Z73">
        <v>2.4790000000000001</v>
      </c>
      <c r="AA73">
        <v>2.5289999999999999</v>
      </c>
      <c r="AB73">
        <v>2.4409999999999998</v>
      </c>
      <c r="AC73">
        <v>2.46</v>
      </c>
      <c r="AD73">
        <v>2.4670000000000001</v>
      </c>
      <c r="AE73">
        <v>2.4809999999999999</v>
      </c>
      <c r="AF73">
        <v>2.468</v>
      </c>
      <c r="AG73">
        <v>2.4940000000000002</v>
      </c>
      <c r="AH73">
        <v>2.5680000000000001</v>
      </c>
      <c r="AI73">
        <v>2.573</v>
      </c>
      <c r="AJ73">
        <v>2.6230000000000002</v>
      </c>
      <c r="AK73">
        <v>2.637</v>
      </c>
      <c r="AL73">
        <v>2.6960000000000002</v>
      </c>
      <c r="AM73">
        <v>2.7690000000000001</v>
      </c>
      <c r="AN73">
        <v>2.8290000000000002</v>
      </c>
      <c r="AO73">
        <v>2.9249999999999998</v>
      </c>
      <c r="AP73">
        <v>3.056</v>
      </c>
      <c r="AQ73">
        <v>3.129</v>
      </c>
      <c r="AR73">
        <v>3.1269999999999998</v>
      </c>
      <c r="AS73">
        <v>3.1779999999999999</v>
      </c>
      <c r="AT73">
        <v>3.2490000000000001</v>
      </c>
      <c r="AU73">
        <v>3.3740000000000001</v>
      </c>
      <c r="AV73">
        <v>3.4910000000000001</v>
      </c>
      <c r="AW73">
        <v>3.6389999999999998</v>
      </c>
      <c r="AX73">
        <v>3.633</v>
      </c>
      <c r="AY73">
        <v>3.6070000000000002</v>
      </c>
      <c r="AZ73">
        <v>3.5190000000000001</v>
      </c>
      <c r="BA73">
        <v>3.5419999999999998</v>
      </c>
      <c r="BB73">
        <v>3.4910000000000001</v>
      </c>
      <c r="BC73">
        <v>3.5339999999999998</v>
      </c>
      <c r="BD73">
        <v>3.5430000000000001</v>
      </c>
      <c r="BE73">
        <v>3.5209999999999999</v>
      </c>
      <c r="BF73">
        <v>3.6389999999999998</v>
      </c>
      <c r="BG73">
        <v>3.7629999999999999</v>
      </c>
      <c r="BH73">
        <v>3.8719999999999999</v>
      </c>
      <c r="BI73">
        <v>3.8980000000000001</v>
      </c>
      <c r="BJ73">
        <v>3.984</v>
      </c>
      <c r="BK73">
        <v>3.9910000000000001</v>
      </c>
      <c r="BL73">
        <v>4.1079999999999997</v>
      </c>
    </row>
    <row r="74" spans="1:64" x14ac:dyDescent="0.25">
      <c r="A74">
        <v>1.046</v>
      </c>
      <c r="B74">
        <v>1.1140000000000001</v>
      </c>
      <c r="C74">
        <v>1.157</v>
      </c>
      <c r="D74">
        <v>1.1890000000000001</v>
      </c>
      <c r="E74">
        <v>1.1519999999999999</v>
      </c>
      <c r="F74">
        <v>1.4019999999999999</v>
      </c>
      <c r="G74">
        <v>1.571</v>
      </c>
      <c r="H74">
        <v>1.6619999999999999</v>
      </c>
      <c r="I74">
        <v>1.7529999999999999</v>
      </c>
      <c r="J74">
        <v>1.73</v>
      </c>
      <c r="K74">
        <v>1.764</v>
      </c>
      <c r="L74">
        <v>1.706</v>
      </c>
      <c r="M74">
        <v>1.6679999999999999</v>
      </c>
      <c r="N74">
        <v>1.639</v>
      </c>
      <c r="O74">
        <v>1.643</v>
      </c>
      <c r="P74">
        <v>1.7370000000000001</v>
      </c>
      <c r="Q74">
        <v>1.68</v>
      </c>
      <c r="R74">
        <v>1.8560000000000001</v>
      </c>
      <c r="S74">
        <v>1.962</v>
      </c>
      <c r="T74">
        <v>2.1280000000000001</v>
      </c>
      <c r="U74">
        <v>2.379</v>
      </c>
      <c r="V74">
        <v>2.3319999999999999</v>
      </c>
      <c r="W74">
        <v>2.3530000000000002</v>
      </c>
      <c r="X74">
        <v>2.407</v>
      </c>
      <c r="Y74">
        <v>2.5230000000000001</v>
      </c>
      <c r="Z74">
        <v>2.46</v>
      </c>
      <c r="AA74">
        <v>2.367</v>
      </c>
      <c r="AB74">
        <v>2.395</v>
      </c>
      <c r="AC74">
        <v>2.331</v>
      </c>
      <c r="AD74">
        <v>2.3940000000000001</v>
      </c>
      <c r="AE74">
        <v>2.3130000000000002</v>
      </c>
      <c r="AF74">
        <v>2.4020000000000001</v>
      </c>
      <c r="AG74">
        <v>2.4039999999999999</v>
      </c>
      <c r="AH74">
        <v>2.4660000000000002</v>
      </c>
      <c r="AI74">
        <v>2.4689999999999999</v>
      </c>
      <c r="AJ74">
        <v>2.57</v>
      </c>
      <c r="AK74">
        <v>2.5390000000000001</v>
      </c>
      <c r="AL74">
        <v>2.6429999999999998</v>
      </c>
      <c r="AM74">
        <v>2.762</v>
      </c>
      <c r="AN74">
        <v>2.7930000000000001</v>
      </c>
      <c r="AO74">
        <v>2.8820000000000001</v>
      </c>
      <c r="AP74">
        <v>3.0259999999999998</v>
      </c>
      <c r="AQ74">
        <v>3.1219999999999999</v>
      </c>
      <c r="AR74">
        <v>3.181</v>
      </c>
      <c r="AS74">
        <v>3.1040000000000001</v>
      </c>
      <c r="AT74">
        <v>3.2570000000000001</v>
      </c>
      <c r="AU74">
        <v>3.3879999999999999</v>
      </c>
      <c r="AV74">
        <v>3.5459999999999998</v>
      </c>
      <c r="AW74">
        <v>3.762</v>
      </c>
      <c r="AX74">
        <v>3.72</v>
      </c>
      <c r="AY74">
        <v>3.6509999999999998</v>
      </c>
      <c r="AZ74">
        <v>3.6019999999999999</v>
      </c>
      <c r="BA74">
        <v>3.5089999999999999</v>
      </c>
      <c r="BB74">
        <v>3.5910000000000002</v>
      </c>
      <c r="BC74">
        <v>3.605</v>
      </c>
      <c r="BD74">
        <v>3.63</v>
      </c>
      <c r="BE74">
        <v>3.5790000000000002</v>
      </c>
      <c r="BF74">
        <v>3.7029999999999998</v>
      </c>
      <c r="BG74">
        <v>3.8149999999999999</v>
      </c>
      <c r="BH74">
        <v>3.9569999999999999</v>
      </c>
      <c r="BI74">
        <v>4.0679999999999996</v>
      </c>
      <c r="BJ74">
        <v>4.0220000000000002</v>
      </c>
      <c r="BK74">
        <v>4.0659999999999998</v>
      </c>
      <c r="BL74">
        <v>4.1580000000000004</v>
      </c>
    </row>
    <row r="75" spans="1:64" x14ac:dyDescent="0.25">
      <c r="A75">
        <v>1.155</v>
      </c>
      <c r="B75">
        <v>1.204</v>
      </c>
      <c r="C75">
        <v>1.234</v>
      </c>
      <c r="D75">
        <v>1.2529999999999999</v>
      </c>
      <c r="E75">
        <v>1.34</v>
      </c>
      <c r="F75">
        <v>1.45</v>
      </c>
      <c r="G75">
        <v>1.5489999999999999</v>
      </c>
      <c r="H75">
        <v>1.6459999999999999</v>
      </c>
      <c r="I75">
        <v>1.645</v>
      </c>
      <c r="J75">
        <v>1.7190000000000001</v>
      </c>
      <c r="K75">
        <v>1.72</v>
      </c>
      <c r="L75">
        <v>1.661</v>
      </c>
      <c r="M75">
        <v>1.669</v>
      </c>
      <c r="N75">
        <v>1.65</v>
      </c>
      <c r="O75">
        <v>1.6879999999999999</v>
      </c>
      <c r="P75">
        <v>1.7</v>
      </c>
      <c r="Q75">
        <v>1.7869999999999999</v>
      </c>
      <c r="R75">
        <v>1.881</v>
      </c>
      <c r="S75">
        <v>2.012</v>
      </c>
      <c r="T75">
        <v>2.09</v>
      </c>
      <c r="U75">
        <v>2.2269999999999999</v>
      </c>
      <c r="V75">
        <v>2.3090000000000002</v>
      </c>
      <c r="W75">
        <v>2.302</v>
      </c>
      <c r="X75">
        <v>2.3290000000000002</v>
      </c>
      <c r="Y75">
        <v>2.3290000000000002</v>
      </c>
      <c r="Z75">
        <v>2.347</v>
      </c>
      <c r="AA75">
        <v>2.2570000000000001</v>
      </c>
      <c r="AB75">
        <v>2.258</v>
      </c>
      <c r="AC75">
        <v>2.2930000000000001</v>
      </c>
      <c r="AD75">
        <v>2.351</v>
      </c>
      <c r="AE75">
        <v>2.3679999999999999</v>
      </c>
      <c r="AF75">
        <v>2.3759999999999999</v>
      </c>
      <c r="AG75">
        <v>2.4129999999999998</v>
      </c>
      <c r="AH75">
        <v>2.4870000000000001</v>
      </c>
      <c r="AI75">
        <v>2.488</v>
      </c>
      <c r="AJ75">
        <v>2.5259999999999998</v>
      </c>
      <c r="AK75">
        <v>2.5099999999999998</v>
      </c>
      <c r="AL75">
        <v>2.613</v>
      </c>
      <c r="AM75">
        <v>2.7</v>
      </c>
      <c r="AN75">
        <v>2.7730000000000001</v>
      </c>
      <c r="AO75">
        <v>2.948</v>
      </c>
      <c r="AP75">
        <v>3.0089999999999999</v>
      </c>
      <c r="AQ75">
        <v>3.1509999999999998</v>
      </c>
      <c r="AR75">
        <v>3.202</v>
      </c>
      <c r="AS75">
        <v>3.2090000000000001</v>
      </c>
      <c r="AT75">
        <v>3.3570000000000002</v>
      </c>
      <c r="AU75">
        <v>3.4319999999999999</v>
      </c>
      <c r="AV75">
        <v>3.556</v>
      </c>
      <c r="AW75">
        <v>3.7160000000000002</v>
      </c>
      <c r="AX75">
        <v>3.7130000000000001</v>
      </c>
      <c r="AY75">
        <v>3.669</v>
      </c>
      <c r="AZ75">
        <v>3.6320000000000001</v>
      </c>
      <c r="BA75">
        <v>3.5859999999999999</v>
      </c>
      <c r="BB75">
        <v>3.6659999999999999</v>
      </c>
      <c r="BC75">
        <v>3.661</v>
      </c>
      <c r="BD75">
        <v>3.665</v>
      </c>
      <c r="BE75">
        <v>3.774</v>
      </c>
      <c r="BF75">
        <v>3.81</v>
      </c>
      <c r="BG75">
        <v>3.94</v>
      </c>
      <c r="BH75">
        <v>4.0410000000000004</v>
      </c>
      <c r="BI75">
        <v>4.1029999999999998</v>
      </c>
      <c r="BJ75">
        <v>4.0739999999999998</v>
      </c>
      <c r="BK75">
        <v>4.1660000000000004</v>
      </c>
      <c r="BL75">
        <v>4.1680000000000001</v>
      </c>
    </row>
    <row r="76" spans="1:64" x14ac:dyDescent="0.25">
      <c r="A76">
        <v>1.1879999999999999</v>
      </c>
      <c r="B76">
        <v>1.2609999999999999</v>
      </c>
      <c r="C76">
        <v>1.304</v>
      </c>
      <c r="D76">
        <v>1.2849999999999999</v>
      </c>
      <c r="E76">
        <v>1.335</v>
      </c>
      <c r="F76">
        <v>1.4450000000000001</v>
      </c>
      <c r="G76">
        <v>1.5840000000000001</v>
      </c>
      <c r="H76">
        <v>1.633</v>
      </c>
      <c r="I76">
        <v>1.6140000000000001</v>
      </c>
      <c r="J76">
        <v>1.6539999999999999</v>
      </c>
      <c r="K76">
        <v>1.62</v>
      </c>
      <c r="L76">
        <v>1.6990000000000001</v>
      </c>
      <c r="M76">
        <v>1.724</v>
      </c>
      <c r="N76">
        <v>1.7250000000000001</v>
      </c>
      <c r="O76">
        <v>1.716</v>
      </c>
      <c r="P76">
        <v>1.752</v>
      </c>
      <c r="Q76">
        <v>1.7829999999999999</v>
      </c>
      <c r="R76">
        <v>1.8740000000000001</v>
      </c>
      <c r="S76">
        <v>1.978</v>
      </c>
      <c r="T76">
        <v>2.0859999999999999</v>
      </c>
      <c r="U76">
        <v>2.1219999999999999</v>
      </c>
      <c r="V76">
        <v>2.246</v>
      </c>
      <c r="W76">
        <v>2.2879999999999998</v>
      </c>
      <c r="X76">
        <v>2.2639999999999998</v>
      </c>
      <c r="Y76">
        <v>2.2290000000000001</v>
      </c>
      <c r="Z76">
        <v>2.2570000000000001</v>
      </c>
      <c r="AA76">
        <v>2.2280000000000002</v>
      </c>
      <c r="AB76">
        <v>2.2149999999999999</v>
      </c>
      <c r="AC76">
        <v>2.2669999999999999</v>
      </c>
      <c r="AD76">
        <v>2.2919999999999998</v>
      </c>
      <c r="AE76">
        <v>2.3199999999999998</v>
      </c>
      <c r="AF76">
        <v>2.343</v>
      </c>
      <c r="AG76">
        <v>2.41</v>
      </c>
      <c r="AH76">
        <v>2.484</v>
      </c>
      <c r="AI76">
        <v>2.5390000000000001</v>
      </c>
      <c r="AJ76">
        <v>2.492</v>
      </c>
      <c r="AK76">
        <v>2.5270000000000001</v>
      </c>
      <c r="AL76">
        <v>2.649</v>
      </c>
      <c r="AM76">
        <v>2.7029999999999998</v>
      </c>
      <c r="AN76">
        <v>2.83</v>
      </c>
      <c r="AO76">
        <v>2.9359999999999999</v>
      </c>
      <c r="AP76">
        <v>3.0310000000000001</v>
      </c>
      <c r="AQ76">
        <v>3.1360000000000001</v>
      </c>
      <c r="AR76">
        <v>3.2320000000000002</v>
      </c>
      <c r="AS76">
        <v>3.3260000000000001</v>
      </c>
      <c r="AT76">
        <v>3.3450000000000002</v>
      </c>
      <c r="AU76">
        <v>3.46</v>
      </c>
      <c r="AV76">
        <v>3.5739999999999998</v>
      </c>
      <c r="AW76">
        <v>3.6819999999999999</v>
      </c>
      <c r="AX76">
        <v>3.6619999999999999</v>
      </c>
      <c r="AY76">
        <v>3.6629999999999998</v>
      </c>
      <c r="AZ76">
        <v>3.649</v>
      </c>
      <c r="BA76">
        <v>3.7090000000000001</v>
      </c>
      <c r="BB76">
        <v>3.72</v>
      </c>
      <c r="BC76">
        <v>3.6890000000000001</v>
      </c>
      <c r="BD76">
        <v>3.8010000000000002</v>
      </c>
      <c r="BE76">
        <v>3.87</v>
      </c>
      <c r="BF76">
        <v>3.9460000000000002</v>
      </c>
      <c r="BG76">
        <v>4.0330000000000004</v>
      </c>
      <c r="BH76">
        <v>4.0789999999999997</v>
      </c>
      <c r="BI76">
        <v>4.1070000000000002</v>
      </c>
      <c r="BJ76">
        <v>4.1509999999999998</v>
      </c>
      <c r="BK76">
        <v>4.165</v>
      </c>
      <c r="BL76">
        <v>4.2370000000000001</v>
      </c>
    </row>
    <row r="77" spans="1:64" x14ac:dyDescent="0.25">
      <c r="A77">
        <v>1.2130000000000001</v>
      </c>
      <c r="B77">
        <v>1.248</v>
      </c>
      <c r="C77">
        <v>1.33</v>
      </c>
      <c r="D77">
        <v>1.403</v>
      </c>
      <c r="E77">
        <v>1.4730000000000001</v>
      </c>
      <c r="F77">
        <v>1.488</v>
      </c>
      <c r="G77">
        <v>1.508</v>
      </c>
      <c r="H77">
        <v>1.554</v>
      </c>
      <c r="I77">
        <v>1.571</v>
      </c>
      <c r="J77">
        <v>1.6020000000000001</v>
      </c>
      <c r="K77">
        <v>1.653</v>
      </c>
      <c r="L77">
        <v>1.651</v>
      </c>
      <c r="M77">
        <v>1.653</v>
      </c>
      <c r="N77">
        <v>1.7</v>
      </c>
      <c r="O77">
        <v>1.766</v>
      </c>
      <c r="P77">
        <v>1.7729999999999999</v>
      </c>
      <c r="Q77">
        <v>1.7949999999999999</v>
      </c>
      <c r="R77">
        <v>1.8839999999999999</v>
      </c>
      <c r="S77">
        <v>2.02</v>
      </c>
      <c r="T77">
        <v>2.0409999999999999</v>
      </c>
      <c r="U77">
        <v>2.1459999999999999</v>
      </c>
      <c r="V77">
        <v>2.1840000000000002</v>
      </c>
      <c r="W77">
        <v>2.2549999999999999</v>
      </c>
      <c r="X77">
        <v>2.2210000000000001</v>
      </c>
      <c r="Y77">
        <v>2.2090000000000001</v>
      </c>
      <c r="Z77">
        <v>2.2570000000000001</v>
      </c>
      <c r="AA77">
        <v>2.2250000000000001</v>
      </c>
      <c r="AB77">
        <v>2.2210000000000001</v>
      </c>
      <c r="AC77">
        <v>2.2770000000000001</v>
      </c>
      <c r="AD77">
        <v>2.2799999999999998</v>
      </c>
      <c r="AE77">
        <v>2.3010000000000002</v>
      </c>
      <c r="AF77">
        <v>2.29</v>
      </c>
      <c r="AG77">
        <v>2.3940000000000001</v>
      </c>
      <c r="AH77">
        <v>2.448</v>
      </c>
      <c r="AI77">
        <v>2.4529999999999998</v>
      </c>
      <c r="AJ77">
        <v>2.5430000000000001</v>
      </c>
      <c r="AK77">
        <v>2.653</v>
      </c>
      <c r="AL77">
        <v>2.734</v>
      </c>
      <c r="AM77">
        <v>2.8170000000000002</v>
      </c>
      <c r="AN77">
        <v>2.9039999999999999</v>
      </c>
      <c r="AO77">
        <v>2.948</v>
      </c>
      <c r="AP77">
        <v>2.9950000000000001</v>
      </c>
      <c r="AQ77">
        <v>3.0739999999999998</v>
      </c>
      <c r="AR77">
        <v>3.2519999999999998</v>
      </c>
      <c r="AS77">
        <v>3.2879999999999998</v>
      </c>
      <c r="AT77">
        <v>3.423</v>
      </c>
      <c r="AU77">
        <v>3.5430000000000001</v>
      </c>
      <c r="AV77">
        <v>3.621</v>
      </c>
      <c r="AW77">
        <v>3.734</v>
      </c>
      <c r="AX77">
        <v>3.698</v>
      </c>
      <c r="AY77">
        <v>3.7160000000000002</v>
      </c>
      <c r="AZ77">
        <v>3.7669999999999999</v>
      </c>
      <c r="BA77">
        <v>3.7759999999999998</v>
      </c>
      <c r="BB77">
        <v>3.7280000000000002</v>
      </c>
      <c r="BC77">
        <v>3.7829999999999999</v>
      </c>
      <c r="BD77">
        <v>3.8919999999999999</v>
      </c>
      <c r="BE77">
        <v>3.9750000000000001</v>
      </c>
      <c r="BF77">
        <v>4.0220000000000002</v>
      </c>
      <c r="BG77">
        <v>4.0750000000000002</v>
      </c>
      <c r="BH77">
        <v>4.0330000000000004</v>
      </c>
      <c r="BI77">
        <v>4.0679999999999996</v>
      </c>
      <c r="BJ77">
        <v>4.1260000000000003</v>
      </c>
      <c r="BK77">
        <v>4.194</v>
      </c>
      <c r="BL77">
        <v>4.2270000000000003</v>
      </c>
    </row>
    <row r="78" spans="1:64" x14ac:dyDescent="0.25">
      <c r="A78">
        <v>1.2849999999999999</v>
      </c>
      <c r="B78">
        <v>1.371</v>
      </c>
      <c r="C78">
        <v>1.391</v>
      </c>
      <c r="D78">
        <v>1.444</v>
      </c>
      <c r="E78">
        <v>1.52</v>
      </c>
      <c r="F78">
        <v>1.5309999999999999</v>
      </c>
      <c r="G78">
        <v>1.524</v>
      </c>
      <c r="H78">
        <v>1.5840000000000001</v>
      </c>
      <c r="I78">
        <v>1.67</v>
      </c>
      <c r="J78">
        <v>1.6439999999999999</v>
      </c>
      <c r="K78">
        <v>1.641</v>
      </c>
      <c r="L78">
        <v>1.667</v>
      </c>
      <c r="M78">
        <v>1.661</v>
      </c>
      <c r="N78">
        <v>1.7270000000000001</v>
      </c>
      <c r="O78">
        <v>1.704</v>
      </c>
      <c r="P78">
        <v>1.76</v>
      </c>
      <c r="Q78">
        <v>1.7410000000000001</v>
      </c>
      <c r="R78">
        <v>1.9139999999999999</v>
      </c>
      <c r="S78">
        <v>1.986</v>
      </c>
      <c r="T78">
        <v>2.0510000000000002</v>
      </c>
      <c r="U78">
        <v>2.1789999999999998</v>
      </c>
      <c r="V78">
        <v>2.1800000000000002</v>
      </c>
      <c r="W78">
        <v>2.1930000000000001</v>
      </c>
      <c r="X78">
        <v>2.1829999999999998</v>
      </c>
      <c r="Y78">
        <v>2.1509999999999998</v>
      </c>
      <c r="Z78">
        <v>2.1890000000000001</v>
      </c>
      <c r="AA78">
        <v>2.2309999999999999</v>
      </c>
      <c r="AB78">
        <v>2.2509999999999999</v>
      </c>
      <c r="AC78">
        <v>2.2679999999999998</v>
      </c>
      <c r="AD78">
        <v>2.2570000000000001</v>
      </c>
      <c r="AE78">
        <v>2.2909999999999999</v>
      </c>
      <c r="AF78">
        <v>2.2509999999999999</v>
      </c>
      <c r="AG78">
        <v>2.2629999999999999</v>
      </c>
      <c r="AH78">
        <v>2.3809999999999998</v>
      </c>
      <c r="AI78">
        <v>2.4550000000000001</v>
      </c>
      <c r="AJ78">
        <v>2.5409999999999999</v>
      </c>
      <c r="AK78">
        <v>2.681</v>
      </c>
      <c r="AL78">
        <v>2.7919999999999998</v>
      </c>
      <c r="AM78">
        <v>2.8330000000000002</v>
      </c>
      <c r="AN78">
        <v>2.8559999999999999</v>
      </c>
      <c r="AO78">
        <v>2.9609999999999999</v>
      </c>
      <c r="AP78">
        <v>3.048</v>
      </c>
      <c r="AQ78">
        <v>3.1059999999999999</v>
      </c>
      <c r="AR78">
        <v>3.22</v>
      </c>
      <c r="AS78">
        <v>3.3149999999999999</v>
      </c>
      <c r="AT78">
        <v>3.4710000000000001</v>
      </c>
      <c r="AU78">
        <v>3.649</v>
      </c>
      <c r="AV78">
        <v>3.7349999999999999</v>
      </c>
      <c r="AW78">
        <v>3.8079999999999998</v>
      </c>
      <c r="AX78">
        <v>3.83</v>
      </c>
      <c r="AY78">
        <v>3.8250000000000002</v>
      </c>
      <c r="AZ78">
        <v>3.7989999999999999</v>
      </c>
      <c r="BA78">
        <v>3.8039999999999998</v>
      </c>
      <c r="BB78">
        <v>3.8</v>
      </c>
      <c r="BC78">
        <v>3.8839999999999999</v>
      </c>
      <c r="BD78">
        <v>3.9740000000000002</v>
      </c>
      <c r="BE78">
        <v>4.1310000000000002</v>
      </c>
      <c r="BF78">
        <v>4.093</v>
      </c>
      <c r="BG78">
        <v>4.0609999999999999</v>
      </c>
      <c r="BH78">
        <v>4.0339999999999998</v>
      </c>
      <c r="BI78">
        <v>4.0860000000000003</v>
      </c>
      <c r="BJ78">
        <v>4.1449999999999996</v>
      </c>
      <c r="BK78">
        <v>4.226</v>
      </c>
      <c r="BL78">
        <v>4.3029999999999999</v>
      </c>
    </row>
    <row r="79" spans="1:64" x14ac:dyDescent="0.25">
      <c r="A79">
        <v>1.413</v>
      </c>
      <c r="B79">
        <v>1.391</v>
      </c>
      <c r="C79">
        <v>1.4019999999999999</v>
      </c>
      <c r="D79">
        <v>1.4530000000000001</v>
      </c>
      <c r="E79">
        <v>1.5189999999999999</v>
      </c>
      <c r="F79">
        <v>1.5309999999999999</v>
      </c>
      <c r="G79">
        <v>1.587</v>
      </c>
      <c r="H79">
        <v>1.617</v>
      </c>
      <c r="I79">
        <v>1.681</v>
      </c>
      <c r="J79">
        <v>1.6870000000000001</v>
      </c>
      <c r="K79">
        <v>1.764</v>
      </c>
      <c r="L79">
        <v>1.73</v>
      </c>
      <c r="M79">
        <v>1.718</v>
      </c>
      <c r="N79">
        <v>1.7929999999999999</v>
      </c>
      <c r="O79">
        <v>1.79</v>
      </c>
      <c r="P79">
        <v>1.7649999999999999</v>
      </c>
      <c r="Q79">
        <v>1.8120000000000001</v>
      </c>
      <c r="R79">
        <v>1.857</v>
      </c>
      <c r="S79">
        <v>1.887</v>
      </c>
      <c r="T79">
        <v>2.028</v>
      </c>
      <c r="U79">
        <v>2.1720000000000002</v>
      </c>
      <c r="V79">
        <v>2.2250000000000001</v>
      </c>
      <c r="W79">
        <v>2.1989999999999998</v>
      </c>
      <c r="X79">
        <v>2.1859999999999999</v>
      </c>
      <c r="Y79">
        <v>2.254</v>
      </c>
      <c r="Z79">
        <v>2.2010000000000001</v>
      </c>
      <c r="AA79">
        <v>2.2690000000000001</v>
      </c>
      <c r="AB79">
        <v>2.222</v>
      </c>
      <c r="AC79">
        <v>2.2149999999999999</v>
      </c>
      <c r="AD79">
        <v>2.2559999999999998</v>
      </c>
      <c r="AE79">
        <v>2.2749999999999999</v>
      </c>
      <c r="AF79">
        <v>2.3010000000000002</v>
      </c>
      <c r="AG79">
        <v>2.375</v>
      </c>
      <c r="AH79">
        <v>2.4390000000000001</v>
      </c>
      <c r="AI79">
        <v>2.5089999999999999</v>
      </c>
      <c r="AJ79">
        <v>2.573</v>
      </c>
      <c r="AK79">
        <v>2.702</v>
      </c>
      <c r="AL79">
        <v>2.7589999999999999</v>
      </c>
      <c r="AM79">
        <v>2.83</v>
      </c>
      <c r="AN79">
        <v>2.903</v>
      </c>
      <c r="AO79">
        <v>3.0739999999999998</v>
      </c>
      <c r="AP79">
        <v>3.09</v>
      </c>
      <c r="AQ79">
        <v>3.1840000000000002</v>
      </c>
      <c r="AR79">
        <v>3.2970000000000002</v>
      </c>
      <c r="AS79">
        <v>3.4129999999999998</v>
      </c>
      <c r="AT79">
        <v>3.5830000000000002</v>
      </c>
      <c r="AU79">
        <v>3.7450000000000001</v>
      </c>
      <c r="AV79">
        <v>3.7749999999999999</v>
      </c>
      <c r="AW79">
        <v>3.903</v>
      </c>
      <c r="AX79">
        <v>3.9159999999999999</v>
      </c>
      <c r="AY79">
        <v>3.952</v>
      </c>
      <c r="AZ79">
        <v>3.9140000000000001</v>
      </c>
      <c r="BA79">
        <v>3.944</v>
      </c>
      <c r="BB79">
        <v>3.931</v>
      </c>
      <c r="BC79">
        <v>4.0060000000000002</v>
      </c>
      <c r="BD79">
        <v>4.0229999999999997</v>
      </c>
      <c r="BE79">
        <v>4.1459999999999999</v>
      </c>
      <c r="BF79">
        <v>4.173</v>
      </c>
      <c r="BG79">
        <v>4.109</v>
      </c>
      <c r="BH79">
        <v>4.1399999999999997</v>
      </c>
      <c r="BI79">
        <v>4.194</v>
      </c>
      <c r="BJ79">
        <v>4.2590000000000003</v>
      </c>
      <c r="BK79">
        <v>4.3239999999999998</v>
      </c>
      <c r="BL79">
        <v>4.3239999999999998</v>
      </c>
    </row>
    <row r="80" spans="1:64" x14ac:dyDescent="0.25">
      <c r="A80">
        <v>1.4490000000000001</v>
      </c>
      <c r="B80">
        <v>1.4079999999999999</v>
      </c>
      <c r="C80">
        <v>1.421</v>
      </c>
      <c r="D80">
        <v>1.54</v>
      </c>
      <c r="E80">
        <v>1.512</v>
      </c>
      <c r="F80">
        <v>1.615</v>
      </c>
      <c r="G80">
        <v>1.671</v>
      </c>
      <c r="H80">
        <v>1.667</v>
      </c>
      <c r="I80">
        <v>1.68</v>
      </c>
      <c r="J80">
        <v>1.768</v>
      </c>
      <c r="K80">
        <v>1.8069999999999999</v>
      </c>
      <c r="L80">
        <v>1.7889999999999999</v>
      </c>
      <c r="M80">
        <v>1.835</v>
      </c>
      <c r="N80">
        <v>1.841</v>
      </c>
      <c r="O80">
        <v>1.8140000000000001</v>
      </c>
      <c r="P80">
        <v>1.748</v>
      </c>
      <c r="Q80">
        <v>1.7330000000000001</v>
      </c>
      <c r="R80">
        <v>1.7749999999999999</v>
      </c>
      <c r="S80">
        <v>1.827</v>
      </c>
      <c r="T80">
        <v>1.956</v>
      </c>
      <c r="U80">
        <v>2.14</v>
      </c>
      <c r="V80">
        <v>2.1619999999999999</v>
      </c>
      <c r="W80">
        <v>2.2759999999999998</v>
      </c>
      <c r="X80">
        <v>2.254</v>
      </c>
      <c r="Y80">
        <v>2.3039999999999998</v>
      </c>
      <c r="Z80">
        <v>2.254</v>
      </c>
      <c r="AA80">
        <v>2.2410000000000001</v>
      </c>
      <c r="AB80">
        <v>2.2109999999999999</v>
      </c>
      <c r="AC80">
        <v>2.1840000000000002</v>
      </c>
      <c r="AD80">
        <v>2.2810000000000001</v>
      </c>
      <c r="AE80">
        <v>2.37</v>
      </c>
      <c r="AF80">
        <v>2.3820000000000001</v>
      </c>
      <c r="AG80">
        <v>2.395</v>
      </c>
      <c r="AH80">
        <v>2.42</v>
      </c>
      <c r="AI80">
        <v>2.4820000000000002</v>
      </c>
      <c r="AJ80">
        <v>2.593</v>
      </c>
      <c r="AK80">
        <v>2.6779999999999999</v>
      </c>
      <c r="AL80">
        <v>2.778</v>
      </c>
      <c r="AM80">
        <v>2.843</v>
      </c>
      <c r="AN80">
        <v>3.0249999999999999</v>
      </c>
      <c r="AO80">
        <v>3.1680000000000001</v>
      </c>
      <c r="AP80">
        <v>3.206</v>
      </c>
      <c r="AQ80">
        <v>3.3130000000000002</v>
      </c>
      <c r="AR80">
        <v>3.3170000000000002</v>
      </c>
      <c r="AS80">
        <v>3.41</v>
      </c>
      <c r="AT80">
        <v>3.569</v>
      </c>
      <c r="AU80">
        <v>3.78</v>
      </c>
      <c r="AV80">
        <v>3.8370000000000002</v>
      </c>
      <c r="AW80">
        <v>3.9950000000000001</v>
      </c>
      <c r="AX80">
        <v>3.9489999999999998</v>
      </c>
      <c r="AY80">
        <v>4.0090000000000003</v>
      </c>
      <c r="AZ80">
        <v>3.9529999999999998</v>
      </c>
      <c r="BA80">
        <v>3.992</v>
      </c>
      <c r="BB80">
        <v>4.0350000000000001</v>
      </c>
      <c r="BC80">
        <v>4.0190000000000001</v>
      </c>
      <c r="BD80">
        <v>4.1269999999999998</v>
      </c>
      <c r="BE80">
        <v>4.2089999999999996</v>
      </c>
      <c r="BF80">
        <v>4.2370000000000001</v>
      </c>
      <c r="BG80">
        <v>4.1829999999999998</v>
      </c>
      <c r="BH80">
        <v>4.2130000000000001</v>
      </c>
      <c r="BI80">
        <v>4.28</v>
      </c>
      <c r="BJ80">
        <v>4.2869999999999999</v>
      </c>
      <c r="BK80">
        <v>4.3159999999999998</v>
      </c>
      <c r="BL80">
        <v>4.3869999999999996</v>
      </c>
    </row>
    <row r="81" spans="1:64" x14ac:dyDescent="0.25">
      <c r="A81">
        <v>1.548</v>
      </c>
      <c r="B81">
        <v>1.528</v>
      </c>
      <c r="C81">
        <v>1.534</v>
      </c>
      <c r="D81">
        <v>1.583</v>
      </c>
      <c r="E81">
        <v>1.546</v>
      </c>
      <c r="F81">
        <v>1.6040000000000001</v>
      </c>
      <c r="G81">
        <v>1.67</v>
      </c>
      <c r="H81">
        <v>1.71</v>
      </c>
      <c r="I81">
        <v>1.7609999999999999</v>
      </c>
      <c r="J81">
        <v>1.7789999999999999</v>
      </c>
      <c r="K81">
        <v>1.831</v>
      </c>
      <c r="L81">
        <v>1.853</v>
      </c>
      <c r="M81">
        <v>1.851</v>
      </c>
      <c r="N81">
        <v>1.859</v>
      </c>
      <c r="O81">
        <v>1.8859999999999999</v>
      </c>
      <c r="P81">
        <v>1.8220000000000001</v>
      </c>
      <c r="Q81">
        <v>1.8149999999999999</v>
      </c>
      <c r="R81">
        <v>1.7929999999999999</v>
      </c>
      <c r="S81">
        <v>1.849</v>
      </c>
      <c r="T81">
        <v>2.0049999999999999</v>
      </c>
      <c r="U81">
        <v>2.1379999999999999</v>
      </c>
      <c r="V81">
        <v>2.1970000000000001</v>
      </c>
      <c r="W81">
        <v>2.2519999999999998</v>
      </c>
      <c r="X81">
        <v>2.3109999999999999</v>
      </c>
      <c r="Y81">
        <v>2.347</v>
      </c>
      <c r="Z81">
        <v>2.298</v>
      </c>
      <c r="AA81">
        <v>2.3170000000000002</v>
      </c>
      <c r="AB81">
        <v>2.2679999999999998</v>
      </c>
      <c r="AC81">
        <v>2.214</v>
      </c>
      <c r="AD81">
        <v>2.2530000000000001</v>
      </c>
      <c r="AE81">
        <v>2.335</v>
      </c>
      <c r="AF81">
        <v>2.3740000000000001</v>
      </c>
      <c r="AG81">
        <v>2.4449999999999998</v>
      </c>
      <c r="AH81">
        <v>2.4369999999999998</v>
      </c>
      <c r="AI81">
        <v>2.5379999999999998</v>
      </c>
      <c r="AJ81">
        <v>2.677</v>
      </c>
      <c r="AK81">
        <v>2.7949999999999999</v>
      </c>
      <c r="AL81">
        <v>2.835</v>
      </c>
      <c r="AM81">
        <v>2.9</v>
      </c>
      <c r="AN81">
        <v>3.0150000000000001</v>
      </c>
      <c r="AO81">
        <v>3.1640000000000001</v>
      </c>
      <c r="AP81">
        <v>3.2429999999999999</v>
      </c>
      <c r="AQ81">
        <v>3.3420000000000001</v>
      </c>
      <c r="AR81">
        <v>3.38</v>
      </c>
      <c r="AS81">
        <v>3.5329999999999999</v>
      </c>
      <c r="AT81">
        <v>3.657</v>
      </c>
      <c r="AU81">
        <v>3.79</v>
      </c>
      <c r="AV81">
        <v>3.8620000000000001</v>
      </c>
      <c r="AW81">
        <v>4.0039999999999996</v>
      </c>
      <c r="AX81">
        <v>3.9969999999999999</v>
      </c>
      <c r="AY81">
        <v>3.9849999999999999</v>
      </c>
      <c r="AZ81">
        <v>3.9980000000000002</v>
      </c>
      <c r="BA81">
        <v>4.0199999999999996</v>
      </c>
      <c r="BB81">
        <v>4.0339999999999998</v>
      </c>
      <c r="BC81">
        <v>4.0289999999999999</v>
      </c>
      <c r="BD81">
        <v>4.1050000000000004</v>
      </c>
      <c r="BE81">
        <v>4.1920000000000002</v>
      </c>
      <c r="BF81">
        <v>4.2089999999999996</v>
      </c>
      <c r="BG81">
        <v>4.25</v>
      </c>
      <c r="BH81">
        <v>4.2969999999999997</v>
      </c>
      <c r="BI81">
        <v>4.335</v>
      </c>
      <c r="BJ81">
        <v>4.3730000000000002</v>
      </c>
      <c r="BK81">
        <v>4.3460000000000001</v>
      </c>
      <c r="BL81">
        <v>4.4749999999999996</v>
      </c>
    </row>
    <row r="82" spans="1:64" x14ac:dyDescent="0.25">
      <c r="A82">
        <v>1.677</v>
      </c>
      <c r="B82">
        <v>1.61</v>
      </c>
      <c r="C82">
        <v>1.6519999999999999</v>
      </c>
      <c r="D82">
        <v>1.6240000000000001</v>
      </c>
      <c r="E82">
        <v>1.5720000000000001</v>
      </c>
      <c r="F82">
        <v>1.7070000000000001</v>
      </c>
      <c r="G82">
        <v>1.77</v>
      </c>
      <c r="H82">
        <v>1.706</v>
      </c>
      <c r="I82">
        <v>1.746</v>
      </c>
      <c r="J82">
        <v>1.841</v>
      </c>
      <c r="K82">
        <v>1.889</v>
      </c>
      <c r="L82">
        <v>1.9179999999999999</v>
      </c>
      <c r="M82">
        <v>1.956</v>
      </c>
      <c r="N82">
        <v>1.9630000000000001</v>
      </c>
      <c r="O82">
        <v>1.88</v>
      </c>
      <c r="P82">
        <v>1.7869999999999999</v>
      </c>
      <c r="Q82">
        <v>1.734</v>
      </c>
      <c r="R82">
        <v>1.788</v>
      </c>
      <c r="S82">
        <v>1.873</v>
      </c>
      <c r="T82">
        <v>1.9990000000000001</v>
      </c>
      <c r="U82">
        <v>2.0219999999999998</v>
      </c>
      <c r="V82">
        <v>2.1560000000000001</v>
      </c>
      <c r="W82">
        <v>2.1739999999999999</v>
      </c>
      <c r="X82">
        <v>2.2469999999999999</v>
      </c>
      <c r="Y82">
        <v>2.3889999999999998</v>
      </c>
      <c r="Z82">
        <v>2.3679999999999999</v>
      </c>
      <c r="AA82">
        <v>2.375</v>
      </c>
      <c r="AB82">
        <v>2.2669999999999999</v>
      </c>
      <c r="AC82">
        <v>2.2149999999999999</v>
      </c>
      <c r="AD82">
        <v>2.25</v>
      </c>
      <c r="AE82">
        <v>2.2570000000000001</v>
      </c>
      <c r="AF82">
        <v>2.3220000000000001</v>
      </c>
      <c r="AG82">
        <v>2.3980000000000001</v>
      </c>
      <c r="AH82">
        <v>2.5099999999999998</v>
      </c>
      <c r="AI82">
        <v>2.6309999999999998</v>
      </c>
      <c r="AJ82">
        <v>2.6949999999999998</v>
      </c>
      <c r="AK82">
        <v>2.798</v>
      </c>
      <c r="AL82">
        <v>2.8460000000000001</v>
      </c>
      <c r="AM82">
        <v>2.899</v>
      </c>
      <c r="AN82">
        <v>3.0449999999999999</v>
      </c>
      <c r="AO82">
        <v>3.29</v>
      </c>
      <c r="AP82">
        <v>3.2829999999999999</v>
      </c>
      <c r="AQ82">
        <v>3.3220000000000001</v>
      </c>
      <c r="AR82">
        <v>3.4140000000000001</v>
      </c>
      <c r="AS82">
        <v>3.597</v>
      </c>
      <c r="AT82">
        <v>3.6680000000000001</v>
      </c>
      <c r="AU82">
        <v>3.7610000000000001</v>
      </c>
      <c r="AV82">
        <v>3.847</v>
      </c>
      <c r="AW82">
        <v>4.03</v>
      </c>
      <c r="AX82">
        <v>4.0330000000000004</v>
      </c>
      <c r="AY82">
        <v>4.0039999999999996</v>
      </c>
      <c r="AZ82">
        <v>4.0170000000000003</v>
      </c>
      <c r="BA82">
        <v>4.1189999999999998</v>
      </c>
      <c r="BB82">
        <v>4.0380000000000003</v>
      </c>
      <c r="BC82">
        <v>4.0359999999999996</v>
      </c>
      <c r="BD82">
        <v>4.1139999999999999</v>
      </c>
      <c r="BE82">
        <v>4.2750000000000004</v>
      </c>
      <c r="BF82">
        <v>4.2190000000000003</v>
      </c>
      <c r="BG82">
        <v>4.2770000000000001</v>
      </c>
      <c r="BH82">
        <v>4.3609999999999998</v>
      </c>
      <c r="BI82">
        <v>4.3860000000000001</v>
      </c>
      <c r="BJ82">
        <v>4.351</v>
      </c>
      <c r="BK82">
        <v>4.3970000000000002</v>
      </c>
      <c r="BL82">
        <v>4.5410000000000004</v>
      </c>
    </row>
    <row r="83" spans="1:64" x14ac:dyDescent="0.25">
      <c r="A83">
        <v>1.6359999999999999</v>
      </c>
      <c r="B83">
        <v>1.6839999999999999</v>
      </c>
      <c r="C83">
        <v>1.6990000000000001</v>
      </c>
      <c r="D83">
        <v>1.6819999999999999</v>
      </c>
      <c r="E83">
        <v>1.718</v>
      </c>
      <c r="F83">
        <v>1.72</v>
      </c>
      <c r="G83">
        <v>1.77</v>
      </c>
      <c r="H83">
        <v>1.7929999999999999</v>
      </c>
      <c r="I83">
        <v>1.831</v>
      </c>
      <c r="J83">
        <v>1.8540000000000001</v>
      </c>
      <c r="K83">
        <v>1.8759999999999999</v>
      </c>
      <c r="L83">
        <v>1.986</v>
      </c>
      <c r="M83">
        <v>2.0030000000000001</v>
      </c>
      <c r="N83">
        <v>2.0099999999999998</v>
      </c>
      <c r="O83">
        <v>1.954</v>
      </c>
      <c r="P83">
        <v>1.8740000000000001</v>
      </c>
      <c r="Q83">
        <v>1.88</v>
      </c>
      <c r="R83">
        <v>1.901</v>
      </c>
      <c r="S83">
        <v>1.944</v>
      </c>
      <c r="T83">
        <v>2.0310000000000001</v>
      </c>
      <c r="U83">
        <v>2.0590000000000002</v>
      </c>
      <c r="V83">
        <v>2.149</v>
      </c>
      <c r="W83">
        <v>2.2069999999999999</v>
      </c>
      <c r="X83">
        <v>2.2549999999999999</v>
      </c>
      <c r="Y83">
        <v>2.3260000000000001</v>
      </c>
      <c r="Z83">
        <v>2.282</v>
      </c>
      <c r="AA83">
        <v>2.3340000000000001</v>
      </c>
      <c r="AB83">
        <v>2.3340000000000001</v>
      </c>
      <c r="AC83">
        <v>2.319</v>
      </c>
      <c r="AD83">
        <v>2.3279999999999998</v>
      </c>
      <c r="AE83">
        <v>2.29</v>
      </c>
      <c r="AF83">
        <v>2.3769999999999998</v>
      </c>
      <c r="AG83">
        <v>2.4340000000000002</v>
      </c>
      <c r="AH83">
        <v>2.5019999999999998</v>
      </c>
      <c r="AI83">
        <v>2.633</v>
      </c>
      <c r="AJ83">
        <v>2.6920000000000002</v>
      </c>
      <c r="AK83">
        <v>2.8010000000000002</v>
      </c>
      <c r="AL83">
        <v>2.9329999999999998</v>
      </c>
      <c r="AM83">
        <v>3.036</v>
      </c>
      <c r="AN83">
        <v>3.1</v>
      </c>
      <c r="AO83">
        <v>3.2530000000000001</v>
      </c>
      <c r="AP83">
        <v>3.3140000000000001</v>
      </c>
      <c r="AQ83">
        <v>3.363</v>
      </c>
      <c r="AR83">
        <v>3.4780000000000002</v>
      </c>
      <c r="AS83">
        <v>3.5710000000000002</v>
      </c>
      <c r="AT83">
        <v>3.6640000000000001</v>
      </c>
      <c r="AU83">
        <v>3.7639999999999998</v>
      </c>
      <c r="AV83">
        <v>3.83</v>
      </c>
      <c r="AW83">
        <v>3.9889999999999999</v>
      </c>
      <c r="AX83">
        <v>4.0060000000000002</v>
      </c>
      <c r="AY83">
        <v>4.0609999999999999</v>
      </c>
      <c r="AZ83">
        <v>4.093</v>
      </c>
      <c r="BA83">
        <v>4.0979999999999999</v>
      </c>
      <c r="BB83">
        <v>4.1120000000000001</v>
      </c>
      <c r="BC83">
        <v>4.093</v>
      </c>
      <c r="BD83">
        <v>4.1749999999999998</v>
      </c>
      <c r="BE83">
        <v>4.2789999999999999</v>
      </c>
      <c r="BF83">
        <v>4.2880000000000003</v>
      </c>
      <c r="BG83">
        <v>4.2469999999999999</v>
      </c>
      <c r="BH83">
        <v>4.3639999999999999</v>
      </c>
      <c r="BI83">
        <v>4.351</v>
      </c>
      <c r="BJ83">
        <v>4.383</v>
      </c>
      <c r="BK83">
        <v>4.4820000000000002</v>
      </c>
      <c r="BL83">
        <v>4.492</v>
      </c>
    </row>
    <row r="84" spans="1:64" x14ac:dyDescent="0.25">
      <c r="A84">
        <v>1.6910000000000001</v>
      </c>
      <c r="B84">
        <v>1.7190000000000001</v>
      </c>
      <c r="C84">
        <v>1.8069999999999999</v>
      </c>
      <c r="D84">
        <v>1.7330000000000001</v>
      </c>
      <c r="E84">
        <v>1.8009999999999999</v>
      </c>
      <c r="F84">
        <v>1.8220000000000001</v>
      </c>
      <c r="G84">
        <v>1.7689999999999999</v>
      </c>
      <c r="H84">
        <v>1.7829999999999999</v>
      </c>
      <c r="I84">
        <v>1.9119999999999999</v>
      </c>
      <c r="J84">
        <v>1.857</v>
      </c>
      <c r="K84">
        <v>1.8660000000000001</v>
      </c>
      <c r="L84">
        <v>2.0030000000000001</v>
      </c>
      <c r="M84">
        <v>2.0390000000000001</v>
      </c>
      <c r="N84">
        <v>2.004</v>
      </c>
      <c r="O84">
        <v>2.0150000000000001</v>
      </c>
      <c r="P84">
        <v>1.948</v>
      </c>
      <c r="Q84">
        <v>1.9319999999999999</v>
      </c>
      <c r="R84">
        <v>1.984</v>
      </c>
      <c r="S84">
        <v>2.0329999999999999</v>
      </c>
      <c r="T84">
        <v>2.0630000000000002</v>
      </c>
      <c r="U84">
        <v>2.1549999999999998</v>
      </c>
      <c r="V84">
        <v>2.1269999999999998</v>
      </c>
      <c r="W84">
        <v>2.0979999999999999</v>
      </c>
      <c r="X84">
        <v>2.2400000000000002</v>
      </c>
      <c r="Y84">
        <v>2.2799999999999998</v>
      </c>
      <c r="Z84">
        <v>2.2690000000000001</v>
      </c>
      <c r="AA84">
        <v>2.2669999999999999</v>
      </c>
      <c r="AB84">
        <v>2.274</v>
      </c>
      <c r="AC84">
        <v>2.3069999999999999</v>
      </c>
      <c r="AD84">
        <v>2.3330000000000002</v>
      </c>
      <c r="AE84">
        <v>2.3420000000000001</v>
      </c>
      <c r="AF84">
        <v>2.3919999999999999</v>
      </c>
      <c r="AG84">
        <v>2.4540000000000002</v>
      </c>
      <c r="AH84">
        <v>2.5259999999999998</v>
      </c>
      <c r="AI84">
        <v>2.58</v>
      </c>
      <c r="AJ84">
        <v>2.698</v>
      </c>
      <c r="AK84">
        <v>2.823</v>
      </c>
      <c r="AL84">
        <v>2.931</v>
      </c>
      <c r="AM84">
        <v>3.0419999999999998</v>
      </c>
      <c r="AN84">
        <v>3.1659999999999999</v>
      </c>
      <c r="AO84">
        <v>3.2269999999999999</v>
      </c>
      <c r="AP84">
        <v>3.282</v>
      </c>
      <c r="AQ84">
        <v>3.38</v>
      </c>
      <c r="AR84">
        <v>3.4660000000000002</v>
      </c>
      <c r="AS84">
        <v>3.5920000000000001</v>
      </c>
      <c r="AT84">
        <v>3.6150000000000002</v>
      </c>
      <c r="AU84">
        <v>3.6709999999999998</v>
      </c>
      <c r="AV84">
        <v>3.794</v>
      </c>
      <c r="AW84">
        <v>3.9329999999999998</v>
      </c>
      <c r="AX84">
        <v>3.9849999999999999</v>
      </c>
      <c r="AY84">
        <v>4.0819999999999999</v>
      </c>
      <c r="AZ84">
        <v>4.1479999999999997</v>
      </c>
      <c r="BA84">
        <v>4.1689999999999996</v>
      </c>
      <c r="BB84">
        <v>4.1310000000000002</v>
      </c>
      <c r="BC84">
        <v>4.0650000000000004</v>
      </c>
      <c r="BD84">
        <v>4.1280000000000001</v>
      </c>
      <c r="BE84">
        <v>4.2359999999999998</v>
      </c>
      <c r="BF84">
        <v>4.2629999999999999</v>
      </c>
      <c r="BG84">
        <v>4.2329999999999997</v>
      </c>
      <c r="BH84">
        <v>4.2770000000000001</v>
      </c>
      <c r="BI84">
        <v>4.375</v>
      </c>
      <c r="BJ84">
        <v>4.415</v>
      </c>
      <c r="BK84">
        <v>4.4980000000000002</v>
      </c>
      <c r="BL84">
        <v>4.4690000000000003</v>
      </c>
    </row>
    <row r="85" spans="1:64" x14ac:dyDescent="0.25">
      <c r="A85">
        <v>1.744</v>
      </c>
      <c r="B85">
        <v>1.746</v>
      </c>
      <c r="C85">
        <v>1.788</v>
      </c>
      <c r="D85">
        <v>1.804</v>
      </c>
      <c r="E85">
        <v>1.8049999999999999</v>
      </c>
      <c r="F85">
        <v>1.8819999999999999</v>
      </c>
      <c r="G85">
        <v>1.839</v>
      </c>
      <c r="H85">
        <v>1.8540000000000001</v>
      </c>
      <c r="I85">
        <v>1.921</v>
      </c>
      <c r="J85">
        <v>1.891</v>
      </c>
      <c r="K85">
        <v>1.897</v>
      </c>
      <c r="L85">
        <v>1.9730000000000001</v>
      </c>
      <c r="M85">
        <v>1.982</v>
      </c>
      <c r="N85">
        <v>2.0369999999999999</v>
      </c>
      <c r="O85">
        <v>2.044</v>
      </c>
      <c r="P85">
        <v>1.982</v>
      </c>
      <c r="Q85">
        <v>1.9450000000000001</v>
      </c>
      <c r="R85">
        <v>1.9930000000000001</v>
      </c>
      <c r="S85">
        <v>2.0680000000000001</v>
      </c>
      <c r="T85">
        <v>2.1269999999999998</v>
      </c>
      <c r="U85">
        <v>2.1349999999999998</v>
      </c>
      <c r="V85">
        <v>2.129</v>
      </c>
      <c r="W85">
        <v>2.0840000000000001</v>
      </c>
      <c r="X85">
        <v>2.1859999999999999</v>
      </c>
      <c r="Y85">
        <v>2.1669999999999998</v>
      </c>
      <c r="Z85">
        <v>2.2519999999999998</v>
      </c>
      <c r="AA85">
        <v>2.302</v>
      </c>
      <c r="AB85">
        <v>2.2799999999999998</v>
      </c>
      <c r="AC85">
        <v>2.3340000000000001</v>
      </c>
      <c r="AD85">
        <v>2.379</v>
      </c>
      <c r="AE85">
        <v>2.3570000000000002</v>
      </c>
      <c r="AF85">
        <v>2.3809999999999998</v>
      </c>
      <c r="AG85">
        <v>2.4860000000000002</v>
      </c>
      <c r="AH85">
        <v>2.6</v>
      </c>
      <c r="AI85">
        <v>2.6389999999999998</v>
      </c>
      <c r="AJ85">
        <v>2.7229999999999999</v>
      </c>
      <c r="AK85">
        <v>2.8149999999999999</v>
      </c>
      <c r="AL85">
        <v>3.0030000000000001</v>
      </c>
      <c r="AM85">
        <v>3.105</v>
      </c>
      <c r="AN85">
        <v>3.1869999999999998</v>
      </c>
      <c r="AO85">
        <v>3.2090000000000001</v>
      </c>
      <c r="AP85">
        <v>3.3079999999999998</v>
      </c>
      <c r="AQ85">
        <v>3.359</v>
      </c>
      <c r="AR85">
        <v>3.4649999999999999</v>
      </c>
      <c r="AS85">
        <v>3.5110000000000001</v>
      </c>
      <c r="AT85">
        <v>3.5640000000000001</v>
      </c>
      <c r="AU85">
        <v>3.61</v>
      </c>
      <c r="AV85">
        <v>3.7440000000000002</v>
      </c>
      <c r="AW85">
        <v>3.8210000000000002</v>
      </c>
      <c r="AX85">
        <v>3.9860000000000002</v>
      </c>
      <c r="AY85">
        <v>4.0789999999999997</v>
      </c>
      <c r="AZ85">
        <v>4.0979999999999999</v>
      </c>
      <c r="BA85">
        <v>4.1230000000000002</v>
      </c>
      <c r="BB85">
        <v>4.0919999999999996</v>
      </c>
      <c r="BC85">
        <v>4.0999999999999996</v>
      </c>
      <c r="BD85">
        <v>4.1500000000000004</v>
      </c>
      <c r="BE85">
        <v>4.2030000000000003</v>
      </c>
      <c r="BF85">
        <v>4.1719999999999997</v>
      </c>
      <c r="BG85">
        <v>4.1859999999999999</v>
      </c>
      <c r="BH85">
        <v>4.2030000000000003</v>
      </c>
      <c r="BI85">
        <v>4.2880000000000003</v>
      </c>
      <c r="BJ85">
        <v>4.3029999999999999</v>
      </c>
      <c r="BK85">
        <v>4.4139999999999997</v>
      </c>
      <c r="BL85">
        <v>4.508</v>
      </c>
    </row>
    <row r="86" spans="1:64" x14ac:dyDescent="0.25">
      <c r="A86">
        <v>1.7070000000000001</v>
      </c>
      <c r="B86">
        <v>1.7849999999999999</v>
      </c>
      <c r="C86">
        <v>1.784</v>
      </c>
      <c r="D86">
        <v>1.873</v>
      </c>
      <c r="E86">
        <v>1.9059999999999999</v>
      </c>
      <c r="F86">
        <v>1.9279999999999999</v>
      </c>
      <c r="G86">
        <v>1.9259999999999999</v>
      </c>
      <c r="H86">
        <v>1.9</v>
      </c>
      <c r="I86">
        <v>1.8879999999999999</v>
      </c>
      <c r="J86">
        <v>1.895</v>
      </c>
      <c r="K86">
        <v>1.931</v>
      </c>
      <c r="L86">
        <v>2.0049999999999999</v>
      </c>
      <c r="M86">
        <v>2.0550000000000002</v>
      </c>
      <c r="N86">
        <v>2.0840000000000001</v>
      </c>
      <c r="O86">
        <v>2.0649999999999999</v>
      </c>
      <c r="P86">
        <v>2.0219999999999998</v>
      </c>
      <c r="Q86">
        <v>2.028</v>
      </c>
      <c r="R86">
        <v>2.125</v>
      </c>
      <c r="S86">
        <v>2.145</v>
      </c>
      <c r="T86">
        <v>2.1800000000000002</v>
      </c>
      <c r="U86">
        <v>2.1539999999999999</v>
      </c>
      <c r="V86">
        <v>2.1070000000000002</v>
      </c>
      <c r="W86">
        <v>2.0920000000000001</v>
      </c>
      <c r="X86">
        <v>2.1339999999999999</v>
      </c>
      <c r="Y86">
        <v>2.13</v>
      </c>
      <c r="Z86">
        <v>2.1989999999999998</v>
      </c>
      <c r="AA86">
        <v>2.2610000000000001</v>
      </c>
      <c r="AB86">
        <v>2.3220000000000001</v>
      </c>
      <c r="AC86">
        <v>2.37</v>
      </c>
      <c r="AD86">
        <v>2.4039999999999999</v>
      </c>
      <c r="AE86">
        <v>2.3570000000000002</v>
      </c>
      <c r="AF86">
        <v>2.4700000000000002</v>
      </c>
      <c r="AG86">
        <v>2.5379999999999998</v>
      </c>
      <c r="AH86">
        <v>2.6179999999999999</v>
      </c>
      <c r="AI86">
        <v>2.7410000000000001</v>
      </c>
      <c r="AJ86">
        <v>2.7669999999999999</v>
      </c>
      <c r="AK86">
        <v>2.9009999999999998</v>
      </c>
      <c r="AL86">
        <v>3.0059999999999998</v>
      </c>
      <c r="AM86">
        <v>3.109</v>
      </c>
      <c r="AN86">
        <v>3.2029999999999998</v>
      </c>
      <c r="AO86">
        <v>3.3079999999999998</v>
      </c>
      <c r="AP86">
        <v>3.2749999999999999</v>
      </c>
      <c r="AQ86">
        <v>3.4209999999999998</v>
      </c>
      <c r="AR86">
        <v>3.4329999999999998</v>
      </c>
      <c r="AS86">
        <v>3.3839999999999999</v>
      </c>
      <c r="AT86">
        <v>3.54</v>
      </c>
      <c r="AU86">
        <v>3.5630000000000002</v>
      </c>
      <c r="AV86">
        <v>3.661</v>
      </c>
      <c r="AW86">
        <v>3.81</v>
      </c>
      <c r="AX86">
        <v>3.9649999999999999</v>
      </c>
      <c r="AY86">
        <v>4.0170000000000003</v>
      </c>
      <c r="AZ86">
        <v>4.0549999999999997</v>
      </c>
      <c r="BA86">
        <v>4.1120000000000001</v>
      </c>
      <c r="BB86">
        <v>4.1150000000000002</v>
      </c>
      <c r="BC86">
        <v>4.133</v>
      </c>
      <c r="BD86">
        <v>4.0570000000000004</v>
      </c>
      <c r="BE86">
        <v>4.085</v>
      </c>
      <c r="BF86">
        <v>4.0819999999999999</v>
      </c>
      <c r="BG86">
        <v>4.0910000000000002</v>
      </c>
      <c r="BH86">
        <v>4.2080000000000002</v>
      </c>
      <c r="BI86">
        <v>4.1900000000000004</v>
      </c>
      <c r="BJ86">
        <v>4.2320000000000002</v>
      </c>
      <c r="BK86">
        <v>4.3369999999999997</v>
      </c>
      <c r="BL86">
        <v>4.4089999999999998</v>
      </c>
    </row>
    <row r="87" spans="1:64" x14ac:dyDescent="0.25">
      <c r="A87">
        <v>1.833</v>
      </c>
      <c r="B87">
        <v>1.909</v>
      </c>
      <c r="C87">
        <v>1.9379999999999999</v>
      </c>
      <c r="D87">
        <v>1.9119999999999999</v>
      </c>
      <c r="E87">
        <v>1.9319999999999999</v>
      </c>
      <c r="F87">
        <v>1.99</v>
      </c>
      <c r="G87">
        <v>1.994</v>
      </c>
      <c r="H87">
        <v>1.9419999999999999</v>
      </c>
      <c r="I87">
        <v>1.9670000000000001</v>
      </c>
      <c r="J87">
        <v>1.927</v>
      </c>
      <c r="K87">
        <v>1.982</v>
      </c>
      <c r="L87">
        <v>2.0379999999999998</v>
      </c>
      <c r="M87">
        <v>2.0699999999999998</v>
      </c>
      <c r="N87">
        <v>2.0369999999999999</v>
      </c>
      <c r="O87">
        <v>2.0619999999999998</v>
      </c>
      <c r="P87">
        <v>2.0960000000000001</v>
      </c>
      <c r="Q87">
        <v>2.0819999999999999</v>
      </c>
      <c r="R87">
        <v>2.1640000000000001</v>
      </c>
      <c r="S87">
        <v>2.1520000000000001</v>
      </c>
      <c r="T87">
        <v>2.1520000000000001</v>
      </c>
      <c r="U87">
        <v>2.16</v>
      </c>
      <c r="V87">
        <v>2.1749999999999998</v>
      </c>
      <c r="W87">
        <v>2.1110000000000002</v>
      </c>
      <c r="X87">
        <v>2.1320000000000001</v>
      </c>
      <c r="Y87">
        <v>2.1739999999999999</v>
      </c>
      <c r="Z87">
        <v>2.1859999999999999</v>
      </c>
      <c r="AA87">
        <v>2.25</v>
      </c>
      <c r="AB87">
        <v>2.3570000000000002</v>
      </c>
      <c r="AC87">
        <v>2.3940000000000001</v>
      </c>
      <c r="AD87">
        <v>2.3580000000000001</v>
      </c>
      <c r="AE87">
        <v>2.419</v>
      </c>
      <c r="AF87">
        <v>2.4969999999999999</v>
      </c>
      <c r="AG87">
        <v>2.5449999999999999</v>
      </c>
      <c r="AH87">
        <v>2.589</v>
      </c>
      <c r="AI87">
        <v>2.72</v>
      </c>
      <c r="AJ87">
        <v>2.7639999999999998</v>
      </c>
      <c r="AK87">
        <v>2.91</v>
      </c>
      <c r="AL87">
        <v>2.9980000000000002</v>
      </c>
      <c r="AM87">
        <v>3.1160000000000001</v>
      </c>
      <c r="AN87">
        <v>3.121</v>
      </c>
      <c r="AO87">
        <v>3.181</v>
      </c>
      <c r="AP87">
        <v>3.2530000000000001</v>
      </c>
      <c r="AQ87">
        <v>3.2949999999999999</v>
      </c>
      <c r="AR87">
        <v>3.3839999999999999</v>
      </c>
      <c r="AS87">
        <v>3.3959999999999999</v>
      </c>
      <c r="AT87">
        <v>3.4870000000000001</v>
      </c>
      <c r="AU87">
        <v>3.6110000000000002</v>
      </c>
      <c r="AV87">
        <v>3.6989999999999998</v>
      </c>
      <c r="AW87">
        <v>3.762</v>
      </c>
      <c r="AX87">
        <v>3.8650000000000002</v>
      </c>
      <c r="AY87">
        <v>3.9790000000000001</v>
      </c>
      <c r="AZ87">
        <v>3.988</v>
      </c>
      <c r="BA87">
        <v>4.0140000000000002</v>
      </c>
      <c r="BB87">
        <v>4.032</v>
      </c>
      <c r="BC87">
        <v>4.0170000000000003</v>
      </c>
      <c r="BD87">
        <v>4.0369999999999999</v>
      </c>
      <c r="BE87">
        <v>4.085</v>
      </c>
      <c r="BF87">
        <v>4.0949999999999998</v>
      </c>
      <c r="BG87">
        <v>4.0990000000000002</v>
      </c>
      <c r="BH87">
        <v>4.18</v>
      </c>
      <c r="BI87">
        <v>4.2619999999999996</v>
      </c>
      <c r="BJ87">
        <v>4.2539999999999996</v>
      </c>
      <c r="BK87">
        <v>4.3789999999999996</v>
      </c>
      <c r="BL87">
        <v>4.4569999999999999</v>
      </c>
    </row>
    <row r="88" spans="1:64" x14ac:dyDescent="0.25">
      <c r="A88">
        <v>1.8859999999999999</v>
      </c>
      <c r="B88">
        <v>2.0009999999999999</v>
      </c>
      <c r="C88">
        <v>2.0790000000000002</v>
      </c>
      <c r="D88">
        <v>2.0339999999999998</v>
      </c>
      <c r="E88">
        <v>2.0369999999999999</v>
      </c>
      <c r="F88">
        <v>2.0299999999999998</v>
      </c>
      <c r="G88">
        <v>2.113</v>
      </c>
      <c r="H88">
        <v>2.0539999999999998</v>
      </c>
      <c r="I88">
        <v>2.02</v>
      </c>
      <c r="J88">
        <v>1.9630000000000001</v>
      </c>
      <c r="K88">
        <v>1.9810000000000001</v>
      </c>
      <c r="L88">
        <v>2.0499999999999998</v>
      </c>
      <c r="M88">
        <v>2.0590000000000002</v>
      </c>
      <c r="N88">
        <v>2.1080000000000001</v>
      </c>
      <c r="O88">
        <v>2.149</v>
      </c>
      <c r="P88">
        <v>2.1240000000000001</v>
      </c>
      <c r="Q88">
        <v>2.1619999999999999</v>
      </c>
      <c r="R88">
        <v>2.165</v>
      </c>
      <c r="S88">
        <v>2.1339999999999999</v>
      </c>
      <c r="T88">
        <v>2.093</v>
      </c>
      <c r="U88">
        <v>2.0790000000000002</v>
      </c>
      <c r="V88">
        <v>2.1819999999999999</v>
      </c>
      <c r="W88">
        <v>2.1859999999999999</v>
      </c>
      <c r="X88">
        <v>2.1549999999999998</v>
      </c>
      <c r="Y88">
        <v>2.21</v>
      </c>
      <c r="Z88">
        <v>2.2429999999999999</v>
      </c>
      <c r="AA88">
        <v>2.2850000000000001</v>
      </c>
      <c r="AB88">
        <v>2.2999999999999998</v>
      </c>
      <c r="AC88">
        <v>2.44</v>
      </c>
      <c r="AD88">
        <v>2.4350000000000001</v>
      </c>
      <c r="AE88">
        <v>2.4300000000000002</v>
      </c>
      <c r="AF88">
        <v>2.496</v>
      </c>
      <c r="AG88">
        <v>2.4790000000000001</v>
      </c>
      <c r="AH88">
        <v>2.6379999999999999</v>
      </c>
      <c r="AI88">
        <v>2.7269999999999999</v>
      </c>
      <c r="AJ88">
        <v>2.7320000000000002</v>
      </c>
      <c r="AK88">
        <v>2.84</v>
      </c>
      <c r="AL88">
        <v>3.0049999999999999</v>
      </c>
      <c r="AM88">
        <v>3.11</v>
      </c>
      <c r="AN88">
        <v>3.0630000000000002</v>
      </c>
      <c r="AO88">
        <v>3.133</v>
      </c>
      <c r="AP88">
        <v>3.2349999999999999</v>
      </c>
      <c r="AQ88">
        <v>3.2989999999999999</v>
      </c>
      <c r="AR88">
        <v>3.3</v>
      </c>
      <c r="AS88">
        <v>3.375</v>
      </c>
      <c r="AT88">
        <v>3.4849999999999999</v>
      </c>
      <c r="AU88">
        <v>3.5139999999999998</v>
      </c>
      <c r="AV88">
        <v>3.702</v>
      </c>
      <c r="AW88">
        <v>3.8</v>
      </c>
      <c r="AX88">
        <v>3.847</v>
      </c>
      <c r="AY88">
        <v>3.891</v>
      </c>
      <c r="AZ88">
        <v>3.895</v>
      </c>
      <c r="BA88">
        <v>4.016</v>
      </c>
      <c r="BB88">
        <v>3.9580000000000002</v>
      </c>
      <c r="BC88">
        <v>4.0090000000000003</v>
      </c>
      <c r="BD88">
        <v>4.016</v>
      </c>
      <c r="BE88">
        <v>4.0670000000000002</v>
      </c>
      <c r="BF88">
        <v>4.0460000000000003</v>
      </c>
      <c r="BG88">
        <v>4.1230000000000002</v>
      </c>
      <c r="BH88">
        <v>4.17</v>
      </c>
      <c r="BI88">
        <v>4.2560000000000002</v>
      </c>
      <c r="BJ88">
        <v>4.24</v>
      </c>
      <c r="BK88">
        <v>4.3120000000000003</v>
      </c>
      <c r="BL88">
        <v>4.4729999999999999</v>
      </c>
    </row>
    <row r="89" spans="1:64" x14ac:dyDescent="0.25">
      <c r="A89">
        <v>2.0950000000000002</v>
      </c>
      <c r="B89">
        <v>2.0979999999999999</v>
      </c>
      <c r="C89">
        <v>2.1709999999999998</v>
      </c>
      <c r="D89">
        <v>2.1459999999999999</v>
      </c>
      <c r="E89">
        <v>2.0979999999999999</v>
      </c>
      <c r="F89">
        <v>2.14</v>
      </c>
      <c r="G89">
        <v>2.1539999999999999</v>
      </c>
      <c r="H89">
        <v>2.169</v>
      </c>
      <c r="I89">
        <v>2.09</v>
      </c>
      <c r="J89">
        <v>2.1150000000000002</v>
      </c>
      <c r="K89">
        <v>2.056</v>
      </c>
      <c r="L89">
        <v>2.1150000000000002</v>
      </c>
      <c r="M89">
        <v>2.1160000000000001</v>
      </c>
      <c r="N89">
        <v>2.13</v>
      </c>
      <c r="O89">
        <v>2.0910000000000002</v>
      </c>
      <c r="P89">
        <v>2.0649999999999999</v>
      </c>
      <c r="Q89">
        <v>2.1160000000000001</v>
      </c>
      <c r="R89">
        <v>2.0609999999999999</v>
      </c>
      <c r="S89">
        <v>2.0699999999999998</v>
      </c>
      <c r="T89">
        <v>2.028</v>
      </c>
      <c r="U89">
        <v>2.0059999999999998</v>
      </c>
      <c r="V89">
        <v>2.1019999999999999</v>
      </c>
      <c r="W89">
        <v>2.173</v>
      </c>
      <c r="X89">
        <v>2.2749999999999999</v>
      </c>
      <c r="Y89">
        <v>2.2480000000000002</v>
      </c>
      <c r="Z89">
        <v>2.2519999999999998</v>
      </c>
      <c r="AA89">
        <v>2.31</v>
      </c>
      <c r="AB89">
        <v>2.2999999999999998</v>
      </c>
      <c r="AC89">
        <v>2.3460000000000001</v>
      </c>
      <c r="AD89">
        <v>2.4289999999999998</v>
      </c>
      <c r="AE89">
        <v>2.4449999999999998</v>
      </c>
      <c r="AF89">
        <v>2.4300000000000002</v>
      </c>
      <c r="AG89">
        <v>2.464</v>
      </c>
      <c r="AH89">
        <v>2.5779999999999998</v>
      </c>
      <c r="AI89">
        <v>2.6970000000000001</v>
      </c>
      <c r="AJ89">
        <v>2.72</v>
      </c>
      <c r="AK89">
        <v>2.847</v>
      </c>
      <c r="AL89">
        <v>2.8860000000000001</v>
      </c>
      <c r="AM89">
        <v>2.9889999999999999</v>
      </c>
      <c r="AN89">
        <v>3.08</v>
      </c>
      <c r="AO89">
        <v>3.1160000000000001</v>
      </c>
      <c r="AP89">
        <v>3.1579999999999999</v>
      </c>
      <c r="AQ89">
        <v>3.1909999999999998</v>
      </c>
      <c r="AR89">
        <v>3.2709999999999999</v>
      </c>
      <c r="AS89">
        <v>3.343</v>
      </c>
      <c r="AT89">
        <v>3.3759999999999999</v>
      </c>
      <c r="AU89">
        <v>3.5539999999999998</v>
      </c>
      <c r="AV89">
        <v>3.6230000000000002</v>
      </c>
      <c r="AW89">
        <v>3.7410000000000001</v>
      </c>
      <c r="AX89">
        <v>3.77</v>
      </c>
      <c r="AY89">
        <v>3.839</v>
      </c>
      <c r="AZ89">
        <v>3.88</v>
      </c>
      <c r="BA89">
        <v>3.8959999999999999</v>
      </c>
      <c r="BB89">
        <v>3.9119999999999999</v>
      </c>
      <c r="BC89">
        <v>3.9260000000000002</v>
      </c>
      <c r="BD89">
        <v>3.887</v>
      </c>
      <c r="BE89">
        <v>3.9929999999999999</v>
      </c>
      <c r="BF89">
        <v>3.9990000000000001</v>
      </c>
      <c r="BG89">
        <v>4.08</v>
      </c>
      <c r="BH89">
        <v>4.0759999999999996</v>
      </c>
      <c r="BI89">
        <v>4.2309999999999999</v>
      </c>
      <c r="BJ89">
        <v>4.2560000000000002</v>
      </c>
      <c r="BK89">
        <v>4.327</v>
      </c>
      <c r="BL89">
        <v>4.4560000000000004</v>
      </c>
    </row>
    <row r="90" spans="1:64" x14ac:dyDescent="0.25">
      <c r="A90">
        <v>2.1459999999999999</v>
      </c>
      <c r="B90">
        <v>2.1909999999999998</v>
      </c>
      <c r="C90">
        <v>2.2109999999999999</v>
      </c>
      <c r="D90">
        <v>2.1520000000000001</v>
      </c>
      <c r="E90">
        <v>2.1890000000000001</v>
      </c>
      <c r="F90">
        <v>2.2330000000000001</v>
      </c>
      <c r="G90">
        <v>2.3109999999999999</v>
      </c>
      <c r="H90">
        <v>2.2709999999999999</v>
      </c>
      <c r="I90">
        <v>2.1749999999999998</v>
      </c>
      <c r="J90">
        <v>2.145</v>
      </c>
      <c r="K90">
        <v>2.121</v>
      </c>
      <c r="L90">
        <v>2.1760000000000002</v>
      </c>
      <c r="M90">
        <v>2.12</v>
      </c>
      <c r="N90">
        <v>2.1480000000000001</v>
      </c>
      <c r="O90">
        <v>2.12</v>
      </c>
      <c r="P90">
        <v>2.0539999999999998</v>
      </c>
      <c r="Q90">
        <v>2.0059999999999998</v>
      </c>
      <c r="R90">
        <v>2.032</v>
      </c>
      <c r="S90">
        <v>2.016</v>
      </c>
      <c r="T90">
        <v>2.004</v>
      </c>
      <c r="U90">
        <v>2.0059999999999998</v>
      </c>
      <c r="V90">
        <v>2.1619999999999999</v>
      </c>
      <c r="W90">
        <v>2.266</v>
      </c>
      <c r="X90">
        <v>2.2869999999999999</v>
      </c>
      <c r="Y90">
        <v>2.2839999999999998</v>
      </c>
      <c r="Z90">
        <v>2.246</v>
      </c>
      <c r="AA90">
        <v>2.2610000000000001</v>
      </c>
      <c r="AB90">
        <v>2.3490000000000002</v>
      </c>
      <c r="AC90">
        <v>2.3570000000000002</v>
      </c>
      <c r="AD90">
        <v>2.4470000000000001</v>
      </c>
      <c r="AE90">
        <v>2.4369999999999998</v>
      </c>
      <c r="AF90">
        <v>2.4750000000000001</v>
      </c>
      <c r="AG90">
        <v>2.4390000000000001</v>
      </c>
      <c r="AH90">
        <v>2.5680000000000001</v>
      </c>
      <c r="AI90">
        <v>2.589</v>
      </c>
      <c r="AJ90">
        <v>2.7559999999999998</v>
      </c>
      <c r="AK90">
        <v>2.7839999999999998</v>
      </c>
      <c r="AL90">
        <v>2.89</v>
      </c>
      <c r="AM90">
        <v>2.9630000000000001</v>
      </c>
      <c r="AN90">
        <v>3.0369999999999999</v>
      </c>
      <c r="AO90">
        <v>3.1030000000000002</v>
      </c>
      <c r="AP90">
        <v>3.137</v>
      </c>
      <c r="AQ90">
        <v>3.1970000000000001</v>
      </c>
      <c r="AR90">
        <v>3.2850000000000001</v>
      </c>
      <c r="AS90">
        <v>3.2629999999999999</v>
      </c>
      <c r="AT90">
        <v>3.4</v>
      </c>
      <c r="AU90">
        <v>3.508</v>
      </c>
      <c r="AV90">
        <v>3.597</v>
      </c>
      <c r="AW90">
        <v>3.8149999999999999</v>
      </c>
      <c r="AX90">
        <v>3.7149999999999999</v>
      </c>
      <c r="AY90">
        <v>3.69</v>
      </c>
      <c r="AZ90">
        <v>3.7610000000000001</v>
      </c>
      <c r="BA90">
        <v>3.8220000000000001</v>
      </c>
      <c r="BB90">
        <v>3.8530000000000002</v>
      </c>
      <c r="BC90">
        <v>3.84</v>
      </c>
      <c r="BD90">
        <v>3.78</v>
      </c>
      <c r="BE90">
        <v>3.827</v>
      </c>
      <c r="BF90">
        <v>3.95</v>
      </c>
      <c r="BG90">
        <v>3.931</v>
      </c>
      <c r="BH90">
        <v>4.0410000000000004</v>
      </c>
      <c r="BI90">
        <v>4.181</v>
      </c>
      <c r="BJ90">
        <v>4.242</v>
      </c>
      <c r="BK90">
        <v>4.4669999999999996</v>
      </c>
      <c r="BL90">
        <v>4.508</v>
      </c>
    </row>
    <row r="91" spans="1:64" x14ac:dyDescent="0.25">
      <c r="A91">
        <v>2.2229999999999999</v>
      </c>
      <c r="B91">
        <v>2.25</v>
      </c>
      <c r="C91">
        <v>2.2090000000000001</v>
      </c>
      <c r="D91">
        <v>2.2050000000000001</v>
      </c>
      <c r="E91">
        <v>2.1989999999999998</v>
      </c>
      <c r="F91">
        <v>2.2890000000000001</v>
      </c>
      <c r="G91">
        <v>2.319</v>
      </c>
      <c r="H91">
        <v>2.294</v>
      </c>
      <c r="I91">
        <v>2.2570000000000001</v>
      </c>
      <c r="J91">
        <v>2.2629999999999999</v>
      </c>
      <c r="K91">
        <v>2.2069999999999999</v>
      </c>
      <c r="L91">
        <v>2.254</v>
      </c>
      <c r="M91">
        <v>2.2200000000000002</v>
      </c>
      <c r="N91">
        <v>2.1840000000000002</v>
      </c>
      <c r="O91">
        <v>2.1909999999999998</v>
      </c>
      <c r="P91">
        <v>2.113</v>
      </c>
      <c r="Q91">
        <v>2.093</v>
      </c>
      <c r="R91">
        <v>2.0699999999999998</v>
      </c>
      <c r="S91">
        <v>2.125</v>
      </c>
      <c r="T91">
        <v>2.1539999999999999</v>
      </c>
      <c r="U91">
        <v>2.1269999999999998</v>
      </c>
      <c r="V91">
        <v>2.16</v>
      </c>
      <c r="W91">
        <v>2.2109999999999999</v>
      </c>
      <c r="X91">
        <v>2.3290000000000002</v>
      </c>
      <c r="Y91">
        <v>2.3450000000000002</v>
      </c>
      <c r="Z91">
        <v>2.359</v>
      </c>
      <c r="AA91">
        <v>2.3879999999999999</v>
      </c>
      <c r="AB91">
        <v>2.38</v>
      </c>
      <c r="AC91">
        <v>2.331</v>
      </c>
      <c r="AD91">
        <v>2.4060000000000001</v>
      </c>
      <c r="AE91">
        <v>2.4420000000000002</v>
      </c>
      <c r="AF91">
        <v>2.4529999999999998</v>
      </c>
      <c r="AG91">
        <v>2.4980000000000002</v>
      </c>
      <c r="AH91">
        <v>2.5640000000000001</v>
      </c>
      <c r="AI91">
        <v>2.6179999999999999</v>
      </c>
      <c r="AJ91">
        <v>2.7589999999999999</v>
      </c>
      <c r="AK91">
        <v>2.7869999999999999</v>
      </c>
      <c r="AL91">
        <v>2.8740000000000001</v>
      </c>
      <c r="AM91">
        <v>2.8839999999999999</v>
      </c>
      <c r="AN91">
        <v>2.94</v>
      </c>
      <c r="AO91">
        <v>3.0379999999999998</v>
      </c>
      <c r="AP91">
        <v>3.1139999999999999</v>
      </c>
      <c r="AQ91">
        <v>3.1739999999999999</v>
      </c>
      <c r="AR91">
        <v>3.2949999999999999</v>
      </c>
      <c r="AS91">
        <v>3.3519999999999999</v>
      </c>
      <c r="AT91">
        <v>3.4140000000000001</v>
      </c>
      <c r="AU91">
        <v>3.4820000000000002</v>
      </c>
      <c r="AV91">
        <v>3.5830000000000002</v>
      </c>
      <c r="AW91">
        <v>3.6469999999999998</v>
      </c>
      <c r="AX91">
        <v>3.6309999999999998</v>
      </c>
      <c r="AY91">
        <v>3.6640000000000001</v>
      </c>
      <c r="AZ91">
        <v>3.7080000000000002</v>
      </c>
      <c r="BA91">
        <v>3.7250000000000001</v>
      </c>
      <c r="BB91">
        <v>3.6560000000000001</v>
      </c>
      <c r="BC91">
        <v>3.7490000000000001</v>
      </c>
      <c r="BD91">
        <v>3.7320000000000002</v>
      </c>
      <c r="BE91">
        <v>3.8439999999999999</v>
      </c>
      <c r="BF91">
        <v>3.883</v>
      </c>
      <c r="BG91">
        <v>3.96</v>
      </c>
      <c r="BH91">
        <v>4.0229999999999997</v>
      </c>
      <c r="BI91">
        <v>4.1550000000000002</v>
      </c>
      <c r="BJ91">
        <v>4.242</v>
      </c>
      <c r="BK91">
        <v>4.42</v>
      </c>
      <c r="BL91">
        <v>4.4749999999999996</v>
      </c>
    </row>
    <row r="92" spans="1:64" x14ac:dyDescent="0.25">
      <c r="A92">
        <v>2.278</v>
      </c>
      <c r="B92">
        <v>2.3370000000000002</v>
      </c>
      <c r="C92">
        <v>2.3109999999999999</v>
      </c>
      <c r="D92">
        <v>2.3319999999999999</v>
      </c>
      <c r="E92">
        <v>2.2959999999999998</v>
      </c>
      <c r="F92">
        <v>2.3849999999999998</v>
      </c>
      <c r="G92">
        <v>2.4359999999999999</v>
      </c>
      <c r="H92">
        <v>2.4260000000000002</v>
      </c>
      <c r="I92">
        <v>2.403</v>
      </c>
      <c r="J92">
        <v>2.34</v>
      </c>
      <c r="K92">
        <v>2.3519999999999999</v>
      </c>
      <c r="L92">
        <v>2.2890000000000001</v>
      </c>
      <c r="M92">
        <v>2.262</v>
      </c>
      <c r="N92">
        <v>2.27</v>
      </c>
      <c r="O92">
        <v>2.2789999999999999</v>
      </c>
      <c r="P92">
        <v>2.2090000000000001</v>
      </c>
      <c r="Q92">
        <v>2.242</v>
      </c>
      <c r="R92">
        <v>2.1880000000000002</v>
      </c>
      <c r="S92">
        <v>2.1920000000000002</v>
      </c>
      <c r="T92">
        <v>2.214</v>
      </c>
      <c r="U92">
        <v>2.254</v>
      </c>
      <c r="V92">
        <v>2.2530000000000001</v>
      </c>
      <c r="W92">
        <v>2.2629999999999999</v>
      </c>
      <c r="X92">
        <v>2.383</v>
      </c>
      <c r="Y92">
        <v>2.4039999999999999</v>
      </c>
      <c r="Z92">
        <v>2.4540000000000002</v>
      </c>
      <c r="AA92">
        <v>2.4830000000000001</v>
      </c>
      <c r="AB92">
        <v>2.431</v>
      </c>
      <c r="AC92">
        <v>2.3690000000000002</v>
      </c>
      <c r="AD92">
        <v>2.4239999999999999</v>
      </c>
      <c r="AE92">
        <v>2.448</v>
      </c>
      <c r="AF92">
        <v>2.5350000000000001</v>
      </c>
      <c r="AG92">
        <v>2.613</v>
      </c>
      <c r="AH92">
        <v>2.6589999999999998</v>
      </c>
      <c r="AI92">
        <v>2.6850000000000001</v>
      </c>
      <c r="AJ92">
        <v>2.7789999999999999</v>
      </c>
      <c r="AK92">
        <v>2.8570000000000002</v>
      </c>
      <c r="AL92">
        <v>2.875</v>
      </c>
      <c r="AM92">
        <v>2.9129999999999998</v>
      </c>
      <c r="AN92">
        <v>2.9380000000000002</v>
      </c>
      <c r="AO92">
        <v>2.94</v>
      </c>
      <c r="AP92">
        <v>3.0110000000000001</v>
      </c>
      <c r="AQ92">
        <v>3.177</v>
      </c>
      <c r="AR92">
        <v>3.2749999999999999</v>
      </c>
      <c r="AS92">
        <v>3.3889999999999998</v>
      </c>
      <c r="AT92">
        <v>3.44</v>
      </c>
      <c r="AU92">
        <v>3.4790000000000001</v>
      </c>
      <c r="AV92">
        <v>3.5129999999999999</v>
      </c>
      <c r="AW92">
        <v>3.504</v>
      </c>
      <c r="AX92">
        <v>3.5230000000000001</v>
      </c>
      <c r="AY92">
        <v>3.5870000000000002</v>
      </c>
      <c r="AZ92">
        <v>3.6019999999999999</v>
      </c>
      <c r="BA92">
        <v>3.5579999999999998</v>
      </c>
      <c r="BB92">
        <v>3.54</v>
      </c>
      <c r="BC92">
        <v>3.589</v>
      </c>
      <c r="BD92">
        <v>3.6419999999999999</v>
      </c>
      <c r="BE92">
        <v>3.7440000000000002</v>
      </c>
      <c r="BF92">
        <v>3.7839999999999998</v>
      </c>
      <c r="BG92">
        <v>3.8849999999999998</v>
      </c>
      <c r="BH92">
        <v>3.97</v>
      </c>
      <c r="BI92">
        <v>4.1280000000000001</v>
      </c>
      <c r="BJ92">
        <v>4.2169999999999996</v>
      </c>
      <c r="BK92">
        <v>4.33</v>
      </c>
      <c r="BL92">
        <v>4.4050000000000002</v>
      </c>
    </row>
    <row r="93" spans="1:64" x14ac:dyDescent="0.25">
      <c r="A93">
        <v>2.3650000000000002</v>
      </c>
      <c r="B93">
        <v>2.427</v>
      </c>
      <c r="C93">
        <v>2.3860000000000001</v>
      </c>
      <c r="D93">
        <v>2.351</v>
      </c>
      <c r="E93">
        <v>2.4039999999999999</v>
      </c>
      <c r="F93">
        <v>2.4169999999999998</v>
      </c>
      <c r="G93">
        <v>2.3940000000000001</v>
      </c>
      <c r="H93">
        <v>2.4729999999999999</v>
      </c>
      <c r="I93">
        <v>2.5329999999999999</v>
      </c>
      <c r="J93">
        <v>2.5059999999999998</v>
      </c>
      <c r="K93">
        <v>2.3969999999999998</v>
      </c>
      <c r="L93">
        <v>2.3879999999999999</v>
      </c>
      <c r="M93">
        <v>2.3679999999999999</v>
      </c>
      <c r="N93">
        <v>2.2610000000000001</v>
      </c>
      <c r="O93">
        <v>2.258</v>
      </c>
      <c r="P93">
        <v>2.2280000000000002</v>
      </c>
      <c r="Q93">
        <v>2.21</v>
      </c>
      <c r="R93">
        <v>2.177</v>
      </c>
      <c r="S93">
        <v>2.214</v>
      </c>
      <c r="T93">
        <v>2.226</v>
      </c>
      <c r="U93">
        <v>2.2509999999999999</v>
      </c>
      <c r="V93">
        <v>2.2839999999999998</v>
      </c>
      <c r="W93">
        <v>2.3559999999999999</v>
      </c>
      <c r="X93">
        <v>2.4020000000000001</v>
      </c>
      <c r="Y93">
        <v>2.472</v>
      </c>
      <c r="Z93">
        <v>2.4609999999999999</v>
      </c>
      <c r="AA93">
        <v>2.4889999999999999</v>
      </c>
      <c r="AB93">
        <v>2.4289999999999998</v>
      </c>
      <c r="AC93">
        <v>2.4180000000000001</v>
      </c>
      <c r="AD93">
        <v>2.4820000000000002</v>
      </c>
      <c r="AE93">
        <v>2.484</v>
      </c>
      <c r="AF93">
        <v>2.5329999999999999</v>
      </c>
      <c r="AG93">
        <v>2.5910000000000002</v>
      </c>
      <c r="AH93">
        <v>2.6059999999999999</v>
      </c>
      <c r="AI93">
        <v>2.6840000000000002</v>
      </c>
      <c r="AJ93">
        <v>2.762</v>
      </c>
      <c r="AK93">
        <v>2.8210000000000002</v>
      </c>
      <c r="AL93">
        <v>2.847</v>
      </c>
      <c r="AM93">
        <v>2.8519999999999999</v>
      </c>
      <c r="AN93">
        <v>2.903</v>
      </c>
      <c r="AO93">
        <v>2.9380000000000002</v>
      </c>
      <c r="AP93">
        <v>2.9809999999999999</v>
      </c>
      <c r="AQ93">
        <v>3.13</v>
      </c>
      <c r="AR93">
        <v>3.2160000000000002</v>
      </c>
      <c r="AS93">
        <v>3.2829999999999999</v>
      </c>
      <c r="AT93">
        <v>3.3660000000000001</v>
      </c>
      <c r="AU93">
        <v>3.3759999999999999</v>
      </c>
      <c r="AV93">
        <v>3.4260000000000002</v>
      </c>
      <c r="AW93">
        <v>3.5190000000000001</v>
      </c>
      <c r="AX93">
        <v>3.5049999999999999</v>
      </c>
      <c r="AY93">
        <v>3.4769999999999999</v>
      </c>
      <c r="AZ93">
        <v>3.524</v>
      </c>
      <c r="BA93">
        <v>3.5289999999999999</v>
      </c>
      <c r="BB93">
        <v>3.4809999999999999</v>
      </c>
      <c r="BC93">
        <v>3.5059999999999998</v>
      </c>
      <c r="BD93">
        <v>3.5880000000000001</v>
      </c>
      <c r="BE93">
        <v>3.6869999999999998</v>
      </c>
      <c r="BF93">
        <v>3.7320000000000002</v>
      </c>
      <c r="BG93">
        <v>3.8460000000000001</v>
      </c>
      <c r="BH93">
        <v>3.9460000000000002</v>
      </c>
      <c r="BI93">
        <v>3.9809999999999999</v>
      </c>
      <c r="BJ93">
        <v>4.1139999999999999</v>
      </c>
      <c r="BK93">
        <v>4.1950000000000003</v>
      </c>
      <c r="BL93">
        <v>4.3019999999999996</v>
      </c>
    </row>
    <row r="94" spans="1:64" x14ac:dyDescent="0.25">
      <c r="A94">
        <v>2.5089999999999999</v>
      </c>
      <c r="B94">
        <v>2.5009999999999999</v>
      </c>
      <c r="C94">
        <v>2.472</v>
      </c>
      <c r="D94">
        <v>2.4910000000000001</v>
      </c>
      <c r="E94">
        <v>2.472</v>
      </c>
      <c r="F94">
        <v>2.4849999999999999</v>
      </c>
      <c r="G94">
        <v>2.4449999999999998</v>
      </c>
      <c r="H94">
        <v>2.492</v>
      </c>
      <c r="I94">
        <v>2.6240000000000001</v>
      </c>
      <c r="J94">
        <v>2.5249999999999999</v>
      </c>
      <c r="K94">
        <v>2.4550000000000001</v>
      </c>
      <c r="L94">
        <v>2.3730000000000002</v>
      </c>
      <c r="M94">
        <v>2.4079999999999999</v>
      </c>
      <c r="N94">
        <v>2.2869999999999999</v>
      </c>
      <c r="O94">
        <v>2.242</v>
      </c>
      <c r="P94">
        <v>2.198</v>
      </c>
      <c r="Q94">
        <v>2.2189999999999999</v>
      </c>
      <c r="R94">
        <v>2.2040000000000002</v>
      </c>
      <c r="S94">
        <v>2.1709999999999998</v>
      </c>
      <c r="T94">
        <v>2.14</v>
      </c>
      <c r="U94">
        <v>2.1629999999999998</v>
      </c>
      <c r="V94">
        <v>2.266</v>
      </c>
      <c r="W94">
        <v>2.33</v>
      </c>
      <c r="X94">
        <v>2.3690000000000002</v>
      </c>
      <c r="Y94">
        <v>2.4809999999999999</v>
      </c>
      <c r="Z94">
        <v>2.5019999999999998</v>
      </c>
      <c r="AA94">
        <v>2.508</v>
      </c>
      <c r="AB94">
        <v>2.516</v>
      </c>
      <c r="AC94">
        <v>2.4790000000000001</v>
      </c>
      <c r="AD94">
        <v>2.5009999999999999</v>
      </c>
      <c r="AE94">
        <v>2.5230000000000001</v>
      </c>
      <c r="AF94">
        <v>2.5489999999999999</v>
      </c>
      <c r="AG94">
        <v>2.556</v>
      </c>
      <c r="AH94">
        <v>2.6459999999999999</v>
      </c>
      <c r="AI94">
        <v>2.7490000000000001</v>
      </c>
      <c r="AJ94">
        <v>2.722</v>
      </c>
      <c r="AK94">
        <v>2.754</v>
      </c>
      <c r="AL94">
        <v>2.8170000000000002</v>
      </c>
      <c r="AM94">
        <v>2.8330000000000002</v>
      </c>
      <c r="AN94">
        <v>2.8969999999999998</v>
      </c>
      <c r="AO94">
        <v>2.83</v>
      </c>
      <c r="AP94">
        <v>2.96</v>
      </c>
      <c r="AQ94">
        <v>3.0979999999999999</v>
      </c>
      <c r="AR94">
        <v>3.1819999999999999</v>
      </c>
      <c r="AS94">
        <v>3.3220000000000001</v>
      </c>
      <c r="AT94">
        <v>3.3559999999999999</v>
      </c>
      <c r="AU94">
        <v>3.4159999999999999</v>
      </c>
      <c r="AV94">
        <v>3.4159999999999999</v>
      </c>
      <c r="AW94">
        <v>3.4689999999999999</v>
      </c>
      <c r="AX94">
        <v>3.476</v>
      </c>
      <c r="AY94">
        <v>3.3879999999999999</v>
      </c>
      <c r="AZ94">
        <v>3.4409999999999998</v>
      </c>
      <c r="BA94">
        <v>3.4249999999999998</v>
      </c>
      <c r="BB94">
        <v>3.5030000000000001</v>
      </c>
      <c r="BC94">
        <v>3.5449999999999999</v>
      </c>
      <c r="BD94">
        <v>3.552</v>
      </c>
      <c r="BE94">
        <v>3.6379999999999999</v>
      </c>
      <c r="BF94">
        <v>3.661</v>
      </c>
      <c r="BG94">
        <v>3.7450000000000001</v>
      </c>
      <c r="BH94">
        <v>3.8029999999999999</v>
      </c>
      <c r="BI94">
        <v>3.8980000000000001</v>
      </c>
      <c r="BJ94">
        <v>4.0350000000000001</v>
      </c>
      <c r="BK94">
        <v>4.008</v>
      </c>
      <c r="BL94">
        <v>4.1840000000000002</v>
      </c>
    </row>
    <row r="95" spans="1:64" x14ac:dyDescent="0.25">
      <c r="A95">
        <v>2.4910000000000001</v>
      </c>
      <c r="B95">
        <v>2.4980000000000002</v>
      </c>
      <c r="C95">
        <v>2.5630000000000002</v>
      </c>
      <c r="D95">
        <v>2.5680000000000001</v>
      </c>
      <c r="E95">
        <v>2.4870000000000001</v>
      </c>
      <c r="F95">
        <v>2.4649999999999999</v>
      </c>
      <c r="G95">
        <v>2.4790000000000001</v>
      </c>
      <c r="H95">
        <v>2.5750000000000002</v>
      </c>
      <c r="I95">
        <v>2.5289999999999999</v>
      </c>
      <c r="J95">
        <v>2.5259999999999998</v>
      </c>
      <c r="K95">
        <v>2.4900000000000002</v>
      </c>
      <c r="L95">
        <v>2.4350000000000001</v>
      </c>
      <c r="M95">
        <v>2.4089999999999998</v>
      </c>
      <c r="N95">
        <v>2.4020000000000001</v>
      </c>
      <c r="O95">
        <v>2.3519999999999999</v>
      </c>
      <c r="P95">
        <v>2.2829999999999999</v>
      </c>
      <c r="Q95">
        <v>2.1840000000000002</v>
      </c>
      <c r="R95">
        <v>2.2090000000000001</v>
      </c>
      <c r="S95">
        <v>2.206</v>
      </c>
      <c r="T95">
        <v>2.1429999999999998</v>
      </c>
      <c r="U95">
        <v>2.1669999999999998</v>
      </c>
      <c r="V95">
        <v>2.2839999999999998</v>
      </c>
      <c r="W95">
        <v>2.387</v>
      </c>
      <c r="X95">
        <v>2.41</v>
      </c>
      <c r="Y95">
        <v>2.4550000000000001</v>
      </c>
      <c r="Z95">
        <v>2.4569999999999999</v>
      </c>
      <c r="AA95">
        <v>2.5390000000000001</v>
      </c>
      <c r="AB95">
        <v>2.536</v>
      </c>
      <c r="AC95">
        <v>2.5680000000000001</v>
      </c>
      <c r="AD95">
        <v>2.5510000000000002</v>
      </c>
      <c r="AE95">
        <v>2.5499999999999998</v>
      </c>
      <c r="AF95">
        <v>2.5880000000000001</v>
      </c>
      <c r="AG95">
        <v>2.609</v>
      </c>
      <c r="AH95">
        <v>2.694</v>
      </c>
      <c r="AI95">
        <v>2.7010000000000001</v>
      </c>
      <c r="AJ95">
        <v>2.718</v>
      </c>
      <c r="AK95">
        <v>2.7320000000000002</v>
      </c>
      <c r="AL95">
        <v>2.7869999999999999</v>
      </c>
      <c r="AM95">
        <v>2.85</v>
      </c>
      <c r="AN95">
        <v>2.8319999999999999</v>
      </c>
      <c r="AO95">
        <v>2.8730000000000002</v>
      </c>
      <c r="AP95">
        <v>2.8690000000000002</v>
      </c>
      <c r="AQ95">
        <v>2.952</v>
      </c>
      <c r="AR95">
        <v>3.1030000000000002</v>
      </c>
      <c r="AS95">
        <v>3.1909999999999998</v>
      </c>
      <c r="AT95">
        <v>3.3090000000000002</v>
      </c>
      <c r="AU95">
        <v>3.2669999999999999</v>
      </c>
      <c r="AV95">
        <v>3.36</v>
      </c>
      <c r="AW95">
        <v>3.355</v>
      </c>
      <c r="AX95">
        <v>3.3559999999999999</v>
      </c>
      <c r="AY95">
        <v>3.383</v>
      </c>
      <c r="AZ95">
        <v>3.3639999999999999</v>
      </c>
      <c r="BA95">
        <v>3.3570000000000002</v>
      </c>
      <c r="BB95">
        <v>3.44</v>
      </c>
      <c r="BC95">
        <v>3.5510000000000002</v>
      </c>
      <c r="BD95">
        <v>3.53</v>
      </c>
      <c r="BE95">
        <v>3.6179999999999999</v>
      </c>
      <c r="BF95">
        <v>3.657</v>
      </c>
      <c r="BG95">
        <v>3.7069999999999999</v>
      </c>
      <c r="BH95">
        <v>3.75</v>
      </c>
      <c r="BI95">
        <v>3.8359999999999999</v>
      </c>
      <c r="BJ95">
        <v>3.9340000000000002</v>
      </c>
      <c r="BK95">
        <v>4.0309999999999997</v>
      </c>
      <c r="BL95">
        <v>4.1120000000000001</v>
      </c>
    </row>
    <row r="96" spans="1:64" x14ac:dyDescent="0.25">
      <c r="A96">
        <v>2.5009999999999999</v>
      </c>
      <c r="B96">
        <v>2.5529999999999999</v>
      </c>
      <c r="C96">
        <v>2.5870000000000002</v>
      </c>
      <c r="D96">
        <v>2.5960000000000001</v>
      </c>
      <c r="E96">
        <v>2.5529999999999999</v>
      </c>
      <c r="F96">
        <v>2.5920000000000001</v>
      </c>
      <c r="G96">
        <v>2.5830000000000002</v>
      </c>
      <c r="H96">
        <v>2.6509999999999998</v>
      </c>
      <c r="I96">
        <v>2.5830000000000002</v>
      </c>
      <c r="J96">
        <v>2.5489999999999999</v>
      </c>
      <c r="K96">
        <v>2.496</v>
      </c>
      <c r="L96">
        <v>2.4380000000000002</v>
      </c>
      <c r="M96">
        <v>2.4649999999999999</v>
      </c>
      <c r="N96">
        <v>2.42</v>
      </c>
      <c r="O96">
        <v>2.331</v>
      </c>
      <c r="P96">
        <v>2.198</v>
      </c>
      <c r="Q96">
        <v>2.1429999999999998</v>
      </c>
      <c r="R96">
        <v>2.1579999999999999</v>
      </c>
      <c r="S96">
        <v>2.1930000000000001</v>
      </c>
      <c r="T96">
        <v>2.2349999999999999</v>
      </c>
      <c r="U96">
        <v>2.2410000000000001</v>
      </c>
      <c r="V96">
        <v>2.3559999999999999</v>
      </c>
      <c r="W96">
        <v>2.484</v>
      </c>
      <c r="X96">
        <v>2.4630000000000001</v>
      </c>
      <c r="Y96">
        <v>2.4830000000000001</v>
      </c>
      <c r="Z96">
        <v>2.5430000000000001</v>
      </c>
      <c r="AA96">
        <v>2.4929999999999999</v>
      </c>
      <c r="AB96">
        <v>2.5019999999999998</v>
      </c>
      <c r="AC96">
        <v>2.5489999999999999</v>
      </c>
      <c r="AD96">
        <v>2.641</v>
      </c>
      <c r="AE96">
        <v>2.7069999999999999</v>
      </c>
      <c r="AF96">
        <v>2.6259999999999999</v>
      </c>
      <c r="AG96">
        <v>2.66</v>
      </c>
      <c r="AH96">
        <v>2.6659999999999999</v>
      </c>
      <c r="AI96">
        <v>2.6749999999999998</v>
      </c>
      <c r="AJ96">
        <v>2.7440000000000002</v>
      </c>
      <c r="AK96">
        <v>2.7189999999999999</v>
      </c>
      <c r="AL96">
        <v>2.8290000000000002</v>
      </c>
      <c r="AM96">
        <v>2.8330000000000002</v>
      </c>
      <c r="AN96">
        <v>2.8530000000000002</v>
      </c>
      <c r="AO96">
        <v>2.839</v>
      </c>
      <c r="AP96">
        <v>2.8340000000000001</v>
      </c>
      <c r="AQ96">
        <v>2.8929999999999998</v>
      </c>
      <c r="AR96">
        <v>3.0430000000000001</v>
      </c>
      <c r="AS96">
        <v>3.1840000000000002</v>
      </c>
      <c r="AT96">
        <v>3.2280000000000002</v>
      </c>
      <c r="AU96">
        <v>3.169</v>
      </c>
      <c r="AV96">
        <v>3.266</v>
      </c>
      <c r="AW96">
        <v>3.3210000000000002</v>
      </c>
      <c r="AX96">
        <v>3.3359999999999999</v>
      </c>
      <c r="AY96">
        <v>3.3180000000000001</v>
      </c>
      <c r="AZ96">
        <v>3.3420000000000001</v>
      </c>
      <c r="BA96">
        <v>3.3359999999999999</v>
      </c>
      <c r="BB96">
        <v>3.4649999999999999</v>
      </c>
      <c r="BC96">
        <v>3.5209999999999999</v>
      </c>
      <c r="BD96">
        <v>3.472</v>
      </c>
      <c r="BE96">
        <v>3.496</v>
      </c>
      <c r="BF96">
        <v>3.6030000000000002</v>
      </c>
      <c r="BG96">
        <v>3.61</v>
      </c>
      <c r="BH96">
        <v>3.7</v>
      </c>
      <c r="BI96">
        <v>3.839</v>
      </c>
      <c r="BJ96">
        <v>3.83</v>
      </c>
      <c r="BK96">
        <v>3.8889999999999998</v>
      </c>
      <c r="BL96">
        <v>4.0629999999999997</v>
      </c>
    </row>
    <row r="97" spans="1:64" x14ac:dyDescent="0.25">
      <c r="A97">
        <v>2.468</v>
      </c>
      <c r="B97">
        <v>2.5190000000000001</v>
      </c>
      <c r="C97">
        <v>2.5569999999999999</v>
      </c>
      <c r="D97">
        <v>2.6160000000000001</v>
      </c>
      <c r="E97">
        <v>2.6309999999999998</v>
      </c>
      <c r="F97">
        <v>2.653</v>
      </c>
      <c r="G97">
        <v>2.6829999999999998</v>
      </c>
      <c r="H97">
        <v>2.6819999999999999</v>
      </c>
      <c r="I97">
        <v>2.6779999999999999</v>
      </c>
      <c r="J97">
        <v>2.6139999999999999</v>
      </c>
      <c r="K97">
        <v>2.54</v>
      </c>
      <c r="L97">
        <v>2.5310000000000001</v>
      </c>
      <c r="M97">
        <v>2.524</v>
      </c>
      <c r="N97">
        <v>2.4449999999999998</v>
      </c>
      <c r="O97">
        <v>2.3570000000000002</v>
      </c>
      <c r="P97">
        <v>2.1960000000000002</v>
      </c>
      <c r="Q97">
        <v>2.1709999999999998</v>
      </c>
      <c r="R97">
        <v>2.2040000000000002</v>
      </c>
      <c r="S97">
        <v>2.274</v>
      </c>
      <c r="T97">
        <v>2.2959999999999998</v>
      </c>
      <c r="U97">
        <v>2.37</v>
      </c>
      <c r="V97">
        <v>2.4510000000000001</v>
      </c>
      <c r="W97">
        <v>2.492</v>
      </c>
      <c r="X97">
        <v>2.548</v>
      </c>
      <c r="Y97">
        <v>2.5219999999999998</v>
      </c>
      <c r="Z97">
        <v>2.5459999999999998</v>
      </c>
      <c r="AA97">
        <v>2.532</v>
      </c>
      <c r="AB97">
        <v>2.5819999999999999</v>
      </c>
      <c r="AC97">
        <v>2.6739999999999999</v>
      </c>
      <c r="AD97">
        <v>2.665</v>
      </c>
      <c r="AE97">
        <v>2.7170000000000001</v>
      </c>
      <c r="AF97">
        <v>2.6989999999999998</v>
      </c>
      <c r="AG97">
        <v>2.6760000000000002</v>
      </c>
      <c r="AH97">
        <v>2.702</v>
      </c>
      <c r="AI97">
        <v>2.698</v>
      </c>
      <c r="AJ97">
        <v>2.7440000000000002</v>
      </c>
      <c r="AK97">
        <v>2.76</v>
      </c>
      <c r="AL97">
        <v>2.8090000000000002</v>
      </c>
      <c r="AM97">
        <v>2.867</v>
      </c>
      <c r="AN97">
        <v>2.84</v>
      </c>
      <c r="AO97">
        <v>2.8730000000000002</v>
      </c>
      <c r="AP97">
        <v>2.8530000000000002</v>
      </c>
      <c r="AQ97">
        <v>2.956</v>
      </c>
      <c r="AR97">
        <v>2.9809999999999999</v>
      </c>
      <c r="AS97">
        <v>3.085</v>
      </c>
      <c r="AT97">
        <v>3.1230000000000002</v>
      </c>
      <c r="AU97">
        <v>3.113</v>
      </c>
      <c r="AV97">
        <v>3.1579999999999999</v>
      </c>
      <c r="AW97">
        <v>3.2240000000000002</v>
      </c>
      <c r="AX97">
        <v>3.2149999999999999</v>
      </c>
      <c r="AY97">
        <v>3.226</v>
      </c>
      <c r="AZ97">
        <v>3.3079999999999998</v>
      </c>
      <c r="BA97">
        <v>3.37</v>
      </c>
      <c r="BB97">
        <v>3.43</v>
      </c>
      <c r="BC97">
        <v>3.4809999999999999</v>
      </c>
      <c r="BD97">
        <v>3.5230000000000001</v>
      </c>
      <c r="BE97">
        <v>3.5419999999999998</v>
      </c>
      <c r="BF97">
        <v>3.55</v>
      </c>
      <c r="BG97">
        <v>3.637</v>
      </c>
      <c r="BH97">
        <v>3.72</v>
      </c>
      <c r="BI97">
        <v>3.7650000000000001</v>
      </c>
      <c r="BJ97">
        <v>3.827</v>
      </c>
      <c r="BK97">
        <v>3.879</v>
      </c>
      <c r="BL97">
        <v>4.024</v>
      </c>
    </row>
    <row r="98" spans="1:64" x14ac:dyDescent="0.25">
      <c r="A98">
        <v>2.5710000000000002</v>
      </c>
      <c r="B98">
        <v>2.5990000000000002</v>
      </c>
      <c r="C98">
        <v>2.609</v>
      </c>
      <c r="D98">
        <v>2.6259999999999999</v>
      </c>
      <c r="E98">
        <v>2.6709999999999998</v>
      </c>
      <c r="F98">
        <v>2.6920000000000002</v>
      </c>
      <c r="G98">
        <v>2.738</v>
      </c>
      <c r="H98">
        <v>2.6930000000000001</v>
      </c>
      <c r="I98">
        <v>2.7280000000000002</v>
      </c>
      <c r="J98">
        <v>2.6970000000000001</v>
      </c>
      <c r="K98">
        <v>2.5990000000000002</v>
      </c>
      <c r="L98">
        <v>2.5270000000000001</v>
      </c>
      <c r="M98">
        <v>2.4900000000000002</v>
      </c>
      <c r="N98">
        <v>2.427</v>
      </c>
      <c r="O98">
        <v>2.3969999999999998</v>
      </c>
      <c r="P98">
        <v>2.262</v>
      </c>
      <c r="Q98">
        <v>2.0939999999999999</v>
      </c>
      <c r="R98">
        <v>2.202</v>
      </c>
      <c r="S98">
        <v>2.2810000000000001</v>
      </c>
      <c r="T98">
        <v>2.327</v>
      </c>
      <c r="U98">
        <v>2.4950000000000001</v>
      </c>
      <c r="V98">
        <v>2.4990000000000001</v>
      </c>
      <c r="W98">
        <v>2.5819999999999999</v>
      </c>
      <c r="X98">
        <v>2.5640000000000001</v>
      </c>
      <c r="Y98">
        <v>2.573</v>
      </c>
      <c r="Z98">
        <v>2.5579999999999998</v>
      </c>
      <c r="AA98">
        <v>2.5630000000000002</v>
      </c>
      <c r="AB98">
        <v>2.6429999999999998</v>
      </c>
      <c r="AC98">
        <v>2.742</v>
      </c>
      <c r="AD98">
        <v>2.72</v>
      </c>
      <c r="AE98">
        <v>2.7440000000000002</v>
      </c>
      <c r="AF98">
        <v>2.722</v>
      </c>
      <c r="AG98">
        <v>2.6819999999999999</v>
      </c>
      <c r="AH98">
        <v>2.718</v>
      </c>
      <c r="AI98">
        <v>2.6989999999999998</v>
      </c>
      <c r="AJ98">
        <v>2.7709999999999999</v>
      </c>
      <c r="AK98">
        <v>2.8479999999999999</v>
      </c>
      <c r="AL98">
        <v>2.8740000000000001</v>
      </c>
      <c r="AM98">
        <v>2.9279999999999999</v>
      </c>
      <c r="AN98">
        <v>2.89</v>
      </c>
      <c r="AO98">
        <v>2.8330000000000002</v>
      </c>
      <c r="AP98">
        <v>2.93</v>
      </c>
      <c r="AQ98">
        <v>3.0049999999999999</v>
      </c>
      <c r="AR98">
        <v>3.0369999999999999</v>
      </c>
      <c r="AS98">
        <v>2.9780000000000002</v>
      </c>
      <c r="AT98">
        <v>3.0859999999999999</v>
      </c>
      <c r="AU98">
        <v>3.0680000000000001</v>
      </c>
      <c r="AV98">
        <v>3.081</v>
      </c>
      <c r="AW98">
        <v>3.1379999999999999</v>
      </c>
      <c r="AX98">
        <v>3.2210000000000001</v>
      </c>
      <c r="AY98">
        <v>3.1970000000000001</v>
      </c>
      <c r="AZ98">
        <v>3.2719999999999998</v>
      </c>
      <c r="BA98">
        <v>3.2570000000000001</v>
      </c>
      <c r="BB98">
        <v>3.3410000000000002</v>
      </c>
      <c r="BC98">
        <v>3.4129999999999998</v>
      </c>
      <c r="BD98">
        <v>3.4780000000000002</v>
      </c>
      <c r="BE98">
        <v>3.484</v>
      </c>
      <c r="BF98">
        <v>3.605</v>
      </c>
      <c r="BG98">
        <v>3.5779999999999998</v>
      </c>
      <c r="BH98">
        <v>3.6739999999999999</v>
      </c>
      <c r="BI98">
        <v>3.7639999999999998</v>
      </c>
      <c r="BJ98">
        <v>3.875</v>
      </c>
      <c r="BK98">
        <v>3.9260000000000002</v>
      </c>
      <c r="BL98">
        <v>4.0419999999999998</v>
      </c>
    </row>
    <row r="99" spans="1:64" x14ac:dyDescent="0.25">
      <c r="A99">
        <v>2.5459999999999998</v>
      </c>
      <c r="B99">
        <v>2.5840000000000001</v>
      </c>
      <c r="C99">
        <v>2.5910000000000002</v>
      </c>
      <c r="D99">
        <v>2.5720000000000001</v>
      </c>
      <c r="E99">
        <v>2.6779999999999999</v>
      </c>
      <c r="F99">
        <v>2.6760000000000002</v>
      </c>
      <c r="G99">
        <v>2.7029999999999998</v>
      </c>
      <c r="H99">
        <v>2.7050000000000001</v>
      </c>
      <c r="I99">
        <v>2.6560000000000001</v>
      </c>
      <c r="J99">
        <v>2.6549999999999998</v>
      </c>
      <c r="K99">
        <v>2.5470000000000002</v>
      </c>
      <c r="L99">
        <v>2.544</v>
      </c>
      <c r="M99">
        <v>2.5009999999999999</v>
      </c>
      <c r="N99">
        <v>2.456</v>
      </c>
      <c r="O99">
        <v>2.4449999999999998</v>
      </c>
      <c r="P99">
        <v>2.3330000000000002</v>
      </c>
      <c r="Q99">
        <v>2.2919999999999998</v>
      </c>
      <c r="R99">
        <v>2.2440000000000002</v>
      </c>
      <c r="S99">
        <v>2.3319999999999999</v>
      </c>
      <c r="T99">
        <v>2.3490000000000002</v>
      </c>
      <c r="U99">
        <v>2.5</v>
      </c>
      <c r="V99">
        <v>2.532</v>
      </c>
      <c r="W99">
        <v>2.605</v>
      </c>
      <c r="X99">
        <v>2.5830000000000002</v>
      </c>
      <c r="Y99">
        <v>2.573</v>
      </c>
      <c r="Z99">
        <v>2.5470000000000002</v>
      </c>
      <c r="AA99">
        <v>2.5430000000000001</v>
      </c>
      <c r="AB99">
        <v>2.6230000000000002</v>
      </c>
      <c r="AC99">
        <v>2.6819999999999999</v>
      </c>
      <c r="AD99">
        <v>2.7589999999999999</v>
      </c>
      <c r="AE99">
        <v>2.7229999999999999</v>
      </c>
      <c r="AF99">
        <v>2.7130000000000001</v>
      </c>
      <c r="AG99">
        <v>2.746</v>
      </c>
      <c r="AH99">
        <v>2.7639999999999998</v>
      </c>
      <c r="AI99">
        <v>2.7949999999999999</v>
      </c>
      <c r="AJ99">
        <v>2.8759999999999999</v>
      </c>
      <c r="AK99">
        <v>2.8759999999999999</v>
      </c>
      <c r="AL99">
        <v>2.9289999999999998</v>
      </c>
      <c r="AM99">
        <v>2.9540000000000002</v>
      </c>
      <c r="AN99">
        <v>2.8759999999999999</v>
      </c>
      <c r="AO99">
        <v>2.9220000000000002</v>
      </c>
      <c r="AP99">
        <v>2.956</v>
      </c>
      <c r="AQ99">
        <v>3.0430000000000001</v>
      </c>
      <c r="AR99">
        <v>3.0939999999999999</v>
      </c>
      <c r="AS99">
        <v>3.1160000000000001</v>
      </c>
      <c r="AT99">
        <v>3.101</v>
      </c>
      <c r="AU99">
        <v>3.1419999999999999</v>
      </c>
      <c r="AV99">
        <v>3.113</v>
      </c>
      <c r="AW99">
        <v>3.1579999999999999</v>
      </c>
      <c r="AX99">
        <v>3.2360000000000002</v>
      </c>
      <c r="AY99">
        <v>3.278</v>
      </c>
      <c r="AZ99">
        <v>3.3580000000000001</v>
      </c>
      <c r="BA99">
        <v>3.3149999999999999</v>
      </c>
      <c r="BB99">
        <v>3.3519999999999999</v>
      </c>
      <c r="BC99">
        <v>3.371</v>
      </c>
      <c r="BD99">
        <v>3.4529999999999998</v>
      </c>
      <c r="BE99">
        <v>3.5339999999999998</v>
      </c>
      <c r="BF99">
        <v>3.6179999999999999</v>
      </c>
      <c r="BG99">
        <v>3.7080000000000002</v>
      </c>
      <c r="BH99">
        <v>3.7130000000000001</v>
      </c>
      <c r="BI99">
        <v>3.835</v>
      </c>
      <c r="BJ99">
        <v>3.8239999999999998</v>
      </c>
      <c r="BK99">
        <v>3.8740000000000001</v>
      </c>
      <c r="BL99">
        <v>4.0170000000000003</v>
      </c>
    </row>
    <row r="100" spans="1:64" x14ac:dyDescent="0.25">
      <c r="A100">
        <v>2.4620000000000002</v>
      </c>
      <c r="B100">
        <v>2.5369999999999999</v>
      </c>
      <c r="C100">
        <v>2.5169999999999999</v>
      </c>
      <c r="D100">
        <v>2.605</v>
      </c>
      <c r="E100">
        <v>2.6829999999999998</v>
      </c>
      <c r="F100">
        <v>2.6320000000000001</v>
      </c>
      <c r="G100">
        <v>2.593</v>
      </c>
      <c r="H100">
        <v>2.62</v>
      </c>
      <c r="I100">
        <v>2.6869999999999998</v>
      </c>
      <c r="J100">
        <v>2.573</v>
      </c>
      <c r="K100">
        <v>2.4900000000000002</v>
      </c>
      <c r="L100">
        <v>2.5369999999999999</v>
      </c>
      <c r="M100">
        <v>2.4329999999999998</v>
      </c>
      <c r="N100">
        <v>2.4140000000000001</v>
      </c>
      <c r="O100">
        <v>2.4529999999999998</v>
      </c>
      <c r="P100">
        <v>2.4039999999999999</v>
      </c>
      <c r="Q100">
        <v>2.411</v>
      </c>
      <c r="R100">
        <v>2.327</v>
      </c>
      <c r="S100">
        <v>2.3170000000000002</v>
      </c>
      <c r="T100">
        <v>2.4009999999999998</v>
      </c>
      <c r="U100">
        <v>2.4529999999999998</v>
      </c>
      <c r="V100">
        <v>2.5030000000000001</v>
      </c>
      <c r="W100">
        <v>2.6030000000000002</v>
      </c>
      <c r="X100">
        <v>2.5760000000000001</v>
      </c>
      <c r="Y100">
        <v>2.5960000000000001</v>
      </c>
      <c r="Z100">
        <v>2.5649999999999999</v>
      </c>
      <c r="AA100">
        <v>2.633</v>
      </c>
      <c r="AB100">
        <v>2.665</v>
      </c>
      <c r="AC100">
        <v>2.6890000000000001</v>
      </c>
      <c r="AD100">
        <v>2.7509999999999999</v>
      </c>
      <c r="AE100">
        <v>2.835</v>
      </c>
      <c r="AF100">
        <v>2.7</v>
      </c>
      <c r="AG100">
        <v>2.7010000000000001</v>
      </c>
      <c r="AH100">
        <v>2.7679999999999998</v>
      </c>
      <c r="AI100">
        <v>2.891</v>
      </c>
      <c r="AJ100">
        <v>2.9159999999999999</v>
      </c>
      <c r="AK100">
        <v>2.8780000000000001</v>
      </c>
      <c r="AL100">
        <v>2.8919999999999999</v>
      </c>
      <c r="AM100">
        <v>2.9380000000000002</v>
      </c>
      <c r="AN100">
        <v>2.89</v>
      </c>
      <c r="AO100">
        <v>2.9119999999999999</v>
      </c>
      <c r="AP100">
        <v>2.992</v>
      </c>
      <c r="AQ100">
        <v>3.1110000000000002</v>
      </c>
      <c r="AR100">
        <v>3.089</v>
      </c>
      <c r="AS100">
        <v>3.161</v>
      </c>
      <c r="AT100">
        <v>3.11</v>
      </c>
      <c r="AU100">
        <v>3.1030000000000002</v>
      </c>
      <c r="AV100">
        <v>3.2469999999999999</v>
      </c>
      <c r="AW100">
        <v>3.3039999999999998</v>
      </c>
      <c r="AX100">
        <v>3.3559999999999999</v>
      </c>
      <c r="AY100">
        <v>3.3570000000000002</v>
      </c>
      <c r="AZ100">
        <v>3.3879999999999999</v>
      </c>
      <c r="BA100">
        <v>3.4780000000000002</v>
      </c>
      <c r="BB100">
        <v>3.4119999999999999</v>
      </c>
      <c r="BC100">
        <v>3.4449999999999998</v>
      </c>
      <c r="BD100">
        <v>3.5880000000000001</v>
      </c>
      <c r="BE100">
        <v>3.6440000000000001</v>
      </c>
      <c r="BF100">
        <v>3.726</v>
      </c>
      <c r="BG100">
        <v>3.7759999999999998</v>
      </c>
      <c r="BH100">
        <v>3.7839999999999998</v>
      </c>
      <c r="BI100">
        <v>3.85</v>
      </c>
      <c r="BJ100">
        <v>3.87</v>
      </c>
      <c r="BK100">
        <v>3.911</v>
      </c>
      <c r="BL100">
        <v>4.0279999999999996</v>
      </c>
    </row>
    <row r="101" spans="1:64" x14ac:dyDescent="0.25">
      <c r="A101">
        <v>2.4169999999999998</v>
      </c>
      <c r="B101">
        <v>2.4790000000000001</v>
      </c>
      <c r="C101">
        <v>2.5419999999999998</v>
      </c>
      <c r="D101">
        <v>2.6139999999999999</v>
      </c>
      <c r="E101">
        <v>2.7109999999999999</v>
      </c>
      <c r="F101">
        <v>2.6960000000000002</v>
      </c>
      <c r="G101">
        <v>2.6469999999999998</v>
      </c>
      <c r="H101">
        <v>2.6549999999999998</v>
      </c>
      <c r="I101">
        <v>2.593</v>
      </c>
      <c r="J101">
        <v>2.609</v>
      </c>
      <c r="K101">
        <v>2.5249999999999999</v>
      </c>
      <c r="L101">
        <v>2.5070000000000001</v>
      </c>
      <c r="M101">
        <v>2.4660000000000002</v>
      </c>
      <c r="N101">
        <v>2.4390000000000001</v>
      </c>
      <c r="O101">
        <v>2.4380000000000002</v>
      </c>
      <c r="P101">
        <v>2.4180000000000001</v>
      </c>
      <c r="Q101">
        <v>2.423</v>
      </c>
      <c r="R101">
        <v>2.3759999999999999</v>
      </c>
      <c r="S101">
        <v>2.427</v>
      </c>
      <c r="T101">
        <v>2.3919999999999999</v>
      </c>
      <c r="U101">
        <v>2.4540000000000002</v>
      </c>
      <c r="V101">
        <v>2.5030000000000001</v>
      </c>
      <c r="W101">
        <v>2.5339999999999998</v>
      </c>
      <c r="X101">
        <v>2.5489999999999999</v>
      </c>
      <c r="Y101">
        <v>2.58</v>
      </c>
      <c r="Z101">
        <v>2.5720000000000001</v>
      </c>
      <c r="AA101">
        <v>2.7040000000000002</v>
      </c>
      <c r="AB101">
        <v>2.754</v>
      </c>
      <c r="AC101">
        <v>2.7</v>
      </c>
      <c r="AD101">
        <v>2.7290000000000001</v>
      </c>
      <c r="AE101">
        <v>2.7429999999999999</v>
      </c>
      <c r="AF101">
        <v>2.7370000000000001</v>
      </c>
      <c r="AG101">
        <v>2.766</v>
      </c>
      <c r="AH101">
        <v>2.851</v>
      </c>
      <c r="AI101">
        <v>2.8849999999999998</v>
      </c>
      <c r="AJ101">
        <v>2.9460000000000002</v>
      </c>
      <c r="AK101">
        <v>2.972</v>
      </c>
      <c r="AL101">
        <v>2.9369999999999998</v>
      </c>
      <c r="AM101">
        <v>2.97</v>
      </c>
      <c r="AN101">
        <v>2.9860000000000002</v>
      </c>
      <c r="AO101">
        <v>3.0670000000000002</v>
      </c>
      <c r="AP101">
        <v>3.1360000000000001</v>
      </c>
      <c r="AQ101">
        <v>3.1419999999999999</v>
      </c>
      <c r="AR101">
        <v>3.15</v>
      </c>
      <c r="AS101">
        <v>3.1949999999999998</v>
      </c>
      <c r="AT101">
        <v>3.2240000000000002</v>
      </c>
      <c r="AU101">
        <v>3.2610000000000001</v>
      </c>
      <c r="AV101">
        <v>3.3130000000000002</v>
      </c>
      <c r="AW101">
        <v>3.3820000000000001</v>
      </c>
      <c r="AX101">
        <v>3.448</v>
      </c>
      <c r="AY101">
        <v>3.4780000000000002</v>
      </c>
      <c r="AZ101">
        <v>3.516</v>
      </c>
      <c r="BA101">
        <v>3.532</v>
      </c>
      <c r="BB101">
        <v>3.5219999999999998</v>
      </c>
      <c r="BC101">
        <v>3.5339999999999998</v>
      </c>
      <c r="BD101">
        <v>3.6349999999999998</v>
      </c>
      <c r="BE101">
        <v>3.702</v>
      </c>
      <c r="BF101">
        <v>3.7320000000000002</v>
      </c>
      <c r="BG101">
        <v>3.7170000000000001</v>
      </c>
      <c r="BH101">
        <v>3.8029999999999999</v>
      </c>
      <c r="BI101">
        <v>3.8319999999999999</v>
      </c>
      <c r="BJ101">
        <v>3.899</v>
      </c>
      <c r="BK101">
        <v>4.0129999999999999</v>
      </c>
      <c r="BL101">
        <v>4.1070000000000002</v>
      </c>
    </row>
    <row r="102" spans="1:64" x14ac:dyDescent="0.25">
      <c r="A102">
        <v>2.415</v>
      </c>
      <c r="B102">
        <v>2.5619999999999998</v>
      </c>
      <c r="C102">
        <v>2.6619999999999999</v>
      </c>
      <c r="D102">
        <v>2.6789999999999998</v>
      </c>
      <c r="E102">
        <v>2.726</v>
      </c>
      <c r="F102">
        <v>2.7570000000000001</v>
      </c>
      <c r="G102">
        <v>2.7269999999999999</v>
      </c>
      <c r="H102">
        <v>2.6560000000000001</v>
      </c>
      <c r="I102">
        <v>2.609</v>
      </c>
      <c r="J102">
        <v>2.6269999999999998</v>
      </c>
      <c r="K102">
        <v>2.5110000000000001</v>
      </c>
      <c r="L102">
        <v>2.5329999999999999</v>
      </c>
      <c r="M102">
        <v>2.411</v>
      </c>
      <c r="N102">
        <v>2.423</v>
      </c>
      <c r="O102">
        <v>2.4359999999999999</v>
      </c>
      <c r="P102">
        <v>2.5009999999999999</v>
      </c>
      <c r="Q102">
        <v>2.4889999999999999</v>
      </c>
      <c r="R102">
        <v>2.5129999999999999</v>
      </c>
      <c r="S102">
        <v>2.4790000000000001</v>
      </c>
      <c r="T102">
        <v>2.431</v>
      </c>
      <c r="U102">
        <v>2.4990000000000001</v>
      </c>
      <c r="V102">
        <v>2.4950000000000001</v>
      </c>
      <c r="W102">
        <v>2.5670000000000002</v>
      </c>
      <c r="X102">
        <v>2.508</v>
      </c>
      <c r="Y102">
        <v>2.4529999999999998</v>
      </c>
      <c r="Z102">
        <v>2.556</v>
      </c>
      <c r="AA102">
        <v>2.7170000000000001</v>
      </c>
      <c r="AB102">
        <v>2.75</v>
      </c>
      <c r="AC102">
        <v>2.8149999999999999</v>
      </c>
      <c r="AD102">
        <v>2.79</v>
      </c>
      <c r="AE102">
        <v>2.7029999999999998</v>
      </c>
      <c r="AF102">
        <v>2.7120000000000002</v>
      </c>
      <c r="AG102">
        <v>2.742</v>
      </c>
      <c r="AH102">
        <v>2.8359999999999999</v>
      </c>
      <c r="AI102">
        <v>2.9569999999999999</v>
      </c>
      <c r="AJ102">
        <v>2.927</v>
      </c>
      <c r="AK102">
        <v>3.0150000000000001</v>
      </c>
      <c r="AL102">
        <v>2.9740000000000002</v>
      </c>
      <c r="AM102">
        <v>3.0459999999999998</v>
      </c>
      <c r="AN102">
        <v>3.1110000000000002</v>
      </c>
      <c r="AO102">
        <v>3.153</v>
      </c>
      <c r="AP102">
        <v>3.1779999999999999</v>
      </c>
      <c r="AQ102">
        <v>3.1930000000000001</v>
      </c>
      <c r="AR102">
        <v>3.2109999999999999</v>
      </c>
      <c r="AS102">
        <v>3.23</v>
      </c>
      <c r="AT102">
        <v>3.2069999999999999</v>
      </c>
      <c r="AU102">
        <v>3.246</v>
      </c>
      <c r="AV102">
        <v>3.3090000000000002</v>
      </c>
      <c r="AW102">
        <v>3.4350000000000001</v>
      </c>
      <c r="AX102">
        <v>3.5179999999999998</v>
      </c>
      <c r="AY102">
        <v>3.585</v>
      </c>
      <c r="AZ102">
        <v>3.5880000000000001</v>
      </c>
      <c r="BA102">
        <v>3.5859999999999999</v>
      </c>
      <c r="BB102">
        <v>3.577</v>
      </c>
      <c r="BC102">
        <v>3.617</v>
      </c>
      <c r="BD102">
        <v>3.6589999999999998</v>
      </c>
      <c r="BE102">
        <v>3.7909999999999999</v>
      </c>
      <c r="BF102">
        <v>3.7450000000000001</v>
      </c>
      <c r="BG102">
        <v>3.7080000000000002</v>
      </c>
      <c r="BH102">
        <v>3.802</v>
      </c>
      <c r="BI102">
        <v>3.8010000000000002</v>
      </c>
      <c r="BJ102">
        <v>3.9689999999999999</v>
      </c>
      <c r="BK102">
        <v>4.0590000000000002</v>
      </c>
      <c r="BL102">
        <v>4.1040000000000001</v>
      </c>
    </row>
    <row r="103" spans="1:64" x14ac:dyDescent="0.25">
      <c r="A103">
        <v>2.5590000000000002</v>
      </c>
      <c r="B103">
        <v>2.5960000000000001</v>
      </c>
      <c r="C103">
        <v>2.6659999999999999</v>
      </c>
      <c r="D103">
        <v>2.6589999999999998</v>
      </c>
      <c r="E103">
        <v>2.7669999999999999</v>
      </c>
      <c r="F103">
        <v>2.8170000000000002</v>
      </c>
      <c r="G103">
        <v>2.7519999999999998</v>
      </c>
      <c r="H103">
        <v>2.6859999999999999</v>
      </c>
      <c r="I103">
        <v>2.657</v>
      </c>
      <c r="J103">
        <v>2.657</v>
      </c>
      <c r="K103">
        <v>2.661</v>
      </c>
      <c r="L103">
        <v>2.5870000000000002</v>
      </c>
      <c r="M103">
        <v>2.556</v>
      </c>
      <c r="N103">
        <v>2.5030000000000001</v>
      </c>
      <c r="O103">
        <v>2.516</v>
      </c>
      <c r="P103">
        <v>2.5139999999999998</v>
      </c>
      <c r="Q103">
        <v>2.5779999999999998</v>
      </c>
      <c r="R103">
        <v>2.5150000000000001</v>
      </c>
      <c r="S103">
        <v>2.5379999999999998</v>
      </c>
      <c r="T103">
        <v>2.4510000000000001</v>
      </c>
      <c r="U103">
        <v>2.4969999999999999</v>
      </c>
      <c r="V103">
        <v>2.492</v>
      </c>
      <c r="W103">
        <v>2.5209999999999999</v>
      </c>
      <c r="X103">
        <v>2.5190000000000001</v>
      </c>
      <c r="Y103">
        <v>2.5249999999999999</v>
      </c>
      <c r="Z103">
        <v>2.5569999999999999</v>
      </c>
      <c r="AA103">
        <v>2.7069999999999999</v>
      </c>
      <c r="AB103">
        <v>2.7690000000000001</v>
      </c>
      <c r="AC103">
        <v>2.7559999999999998</v>
      </c>
      <c r="AD103">
        <v>2.7509999999999999</v>
      </c>
      <c r="AE103">
        <v>2.7639999999999998</v>
      </c>
      <c r="AF103">
        <v>2.7469999999999999</v>
      </c>
      <c r="AG103">
        <v>2.8580000000000001</v>
      </c>
      <c r="AH103">
        <v>2.948</v>
      </c>
      <c r="AI103">
        <v>2.9260000000000002</v>
      </c>
      <c r="AJ103">
        <v>2.98</v>
      </c>
      <c r="AK103">
        <v>2.9809999999999999</v>
      </c>
      <c r="AL103">
        <v>3.0259999999999998</v>
      </c>
      <c r="AM103">
        <v>3.073</v>
      </c>
      <c r="AN103">
        <v>3.1259999999999999</v>
      </c>
      <c r="AO103">
        <v>3.1869999999999998</v>
      </c>
      <c r="AP103">
        <v>3.222</v>
      </c>
      <c r="AQ103">
        <v>3.222</v>
      </c>
      <c r="AR103">
        <v>3.2360000000000002</v>
      </c>
      <c r="AS103">
        <v>3.2909999999999999</v>
      </c>
      <c r="AT103">
        <v>3.2839999999999998</v>
      </c>
      <c r="AU103">
        <v>3.3330000000000002</v>
      </c>
      <c r="AV103">
        <v>3.4380000000000002</v>
      </c>
      <c r="AW103">
        <v>3.423</v>
      </c>
      <c r="AX103">
        <v>3.5249999999999999</v>
      </c>
      <c r="AY103">
        <v>3.59</v>
      </c>
      <c r="AZ103">
        <v>3.609</v>
      </c>
      <c r="BA103">
        <v>3.65</v>
      </c>
      <c r="BB103">
        <v>3.6379999999999999</v>
      </c>
      <c r="BC103">
        <v>3.6669999999999998</v>
      </c>
      <c r="BD103">
        <v>3.7559999999999998</v>
      </c>
      <c r="BE103">
        <v>3.7850000000000001</v>
      </c>
      <c r="BF103">
        <v>3.806</v>
      </c>
      <c r="BG103">
        <v>3.7669999999999999</v>
      </c>
      <c r="BH103">
        <v>3.7930000000000001</v>
      </c>
      <c r="BI103">
        <v>3.9060000000000001</v>
      </c>
      <c r="BJ103">
        <v>3.9889999999999999</v>
      </c>
      <c r="BK103">
        <v>4.08</v>
      </c>
      <c r="BL103">
        <v>4.1909999999999998</v>
      </c>
    </row>
    <row r="104" spans="1:64" x14ac:dyDescent="0.25">
      <c r="A104">
        <v>2.6509999999999998</v>
      </c>
      <c r="B104">
        <v>2.6560000000000001</v>
      </c>
      <c r="C104">
        <v>2.6240000000000001</v>
      </c>
      <c r="D104">
        <v>2.746</v>
      </c>
      <c r="E104">
        <v>2.7850000000000001</v>
      </c>
      <c r="F104">
        <v>2.8730000000000002</v>
      </c>
      <c r="G104">
        <v>2.8570000000000002</v>
      </c>
      <c r="H104">
        <v>2.718</v>
      </c>
      <c r="I104">
        <v>2.6739999999999999</v>
      </c>
      <c r="J104">
        <v>2.6520000000000001</v>
      </c>
      <c r="K104">
        <v>2.7109999999999999</v>
      </c>
      <c r="L104">
        <v>2.681</v>
      </c>
      <c r="M104">
        <v>2.5840000000000001</v>
      </c>
      <c r="N104">
        <v>2.5750000000000002</v>
      </c>
      <c r="O104">
        <v>2.569</v>
      </c>
      <c r="P104">
        <v>2.6040000000000001</v>
      </c>
      <c r="Q104">
        <v>2.629</v>
      </c>
      <c r="R104">
        <v>2.5499999999999998</v>
      </c>
      <c r="S104">
        <v>2.5590000000000002</v>
      </c>
      <c r="T104">
        <v>2.488</v>
      </c>
      <c r="U104">
        <v>2.379</v>
      </c>
      <c r="V104">
        <v>2.4319999999999999</v>
      </c>
      <c r="W104">
        <v>2.4420000000000002</v>
      </c>
      <c r="X104">
        <v>2.4790000000000001</v>
      </c>
      <c r="Y104">
        <v>2.5499999999999998</v>
      </c>
      <c r="Z104">
        <v>2.5960000000000001</v>
      </c>
      <c r="AA104">
        <v>2.6240000000000001</v>
      </c>
      <c r="AB104">
        <v>2.7429999999999999</v>
      </c>
      <c r="AC104">
        <v>2.8279999999999998</v>
      </c>
      <c r="AD104">
        <v>2.823</v>
      </c>
      <c r="AE104">
        <v>2.8</v>
      </c>
      <c r="AF104">
        <v>2.84</v>
      </c>
      <c r="AG104">
        <v>2.9119999999999999</v>
      </c>
      <c r="AH104">
        <v>2.956</v>
      </c>
      <c r="AI104">
        <v>3.0030000000000001</v>
      </c>
      <c r="AJ104">
        <v>2.9660000000000002</v>
      </c>
      <c r="AK104">
        <v>2.956</v>
      </c>
      <c r="AL104">
        <v>3.0219999999999998</v>
      </c>
      <c r="AM104">
        <v>3.1549999999999998</v>
      </c>
      <c r="AN104">
        <v>3.2</v>
      </c>
      <c r="AO104">
        <v>3.22</v>
      </c>
      <c r="AP104">
        <v>3.2570000000000001</v>
      </c>
      <c r="AQ104">
        <v>3.23</v>
      </c>
      <c r="AR104">
        <v>3.2320000000000002</v>
      </c>
      <c r="AS104">
        <v>3.294</v>
      </c>
      <c r="AT104">
        <v>3.3839999999999999</v>
      </c>
      <c r="AU104">
        <v>3.49</v>
      </c>
      <c r="AV104">
        <v>3.4710000000000001</v>
      </c>
      <c r="AW104">
        <v>3.4529999999999998</v>
      </c>
      <c r="AX104">
        <v>3.5760000000000001</v>
      </c>
      <c r="AY104">
        <v>3.6429999999999998</v>
      </c>
      <c r="AZ104">
        <v>3.6339999999999999</v>
      </c>
      <c r="BA104">
        <v>3.7650000000000001</v>
      </c>
      <c r="BB104">
        <v>3.6629999999999998</v>
      </c>
      <c r="BC104">
        <v>3.7280000000000002</v>
      </c>
      <c r="BD104">
        <v>3.8130000000000002</v>
      </c>
      <c r="BE104">
        <v>3.8460000000000001</v>
      </c>
      <c r="BF104">
        <v>3.8079999999999998</v>
      </c>
      <c r="BG104">
        <v>3.79</v>
      </c>
      <c r="BH104">
        <v>3.8439999999999999</v>
      </c>
      <c r="BI104">
        <v>3.984</v>
      </c>
      <c r="BJ104">
        <v>4.1219999999999999</v>
      </c>
      <c r="BK104">
        <v>4.2270000000000003</v>
      </c>
      <c r="BL104">
        <v>4.2510000000000003</v>
      </c>
    </row>
    <row r="105" spans="1:64" x14ac:dyDescent="0.25">
      <c r="A105">
        <v>2.625</v>
      </c>
      <c r="B105">
        <v>2.6779999999999999</v>
      </c>
      <c r="C105">
        <v>2.7269999999999999</v>
      </c>
      <c r="D105">
        <v>2.82</v>
      </c>
      <c r="E105">
        <v>2.847</v>
      </c>
      <c r="F105">
        <v>2.8540000000000001</v>
      </c>
      <c r="G105">
        <v>2.867</v>
      </c>
      <c r="H105">
        <v>2.8079999999999998</v>
      </c>
      <c r="I105">
        <v>2.7509999999999999</v>
      </c>
      <c r="J105">
        <v>2.7250000000000001</v>
      </c>
      <c r="K105">
        <v>2.7210000000000001</v>
      </c>
      <c r="L105">
        <v>2.677</v>
      </c>
      <c r="M105">
        <v>2.6269999999999998</v>
      </c>
      <c r="N105">
        <v>2.64</v>
      </c>
      <c r="O105">
        <v>2.59</v>
      </c>
      <c r="P105">
        <v>2.6259999999999999</v>
      </c>
      <c r="Q105">
        <v>2.5459999999999998</v>
      </c>
      <c r="R105">
        <v>2.5880000000000001</v>
      </c>
      <c r="S105">
        <v>2.5590000000000002</v>
      </c>
      <c r="T105">
        <v>2.4620000000000002</v>
      </c>
      <c r="U105">
        <v>2.423</v>
      </c>
      <c r="V105">
        <v>2.488</v>
      </c>
      <c r="W105">
        <v>2.5510000000000002</v>
      </c>
      <c r="X105">
        <v>2.5270000000000001</v>
      </c>
      <c r="Y105">
        <v>2.593</v>
      </c>
      <c r="Z105">
        <v>2.6080000000000001</v>
      </c>
      <c r="AA105">
        <v>2.6509999999999998</v>
      </c>
      <c r="AB105">
        <v>2.74</v>
      </c>
      <c r="AC105">
        <v>2.79</v>
      </c>
      <c r="AD105">
        <v>2.8250000000000002</v>
      </c>
      <c r="AE105">
        <v>2.9039999999999999</v>
      </c>
      <c r="AF105">
        <v>2.9180000000000001</v>
      </c>
      <c r="AG105">
        <v>2.952</v>
      </c>
      <c r="AH105">
        <v>2.9969999999999999</v>
      </c>
      <c r="AI105">
        <v>3.05</v>
      </c>
      <c r="AJ105">
        <v>3.01</v>
      </c>
      <c r="AK105">
        <v>2.952</v>
      </c>
      <c r="AL105">
        <v>3.01</v>
      </c>
      <c r="AM105">
        <v>3.0950000000000002</v>
      </c>
      <c r="AN105">
        <v>3.129</v>
      </c>
      <c r="AO105">
        <v>3.1560000000000001</v>
      </c>
      <c r="AP105">
        <v>3.2130000000000001</v>
      </c>
      <c r="AQ105">
        <v>3.2519999999999998</v>
      </c>
      <c r="AR105">
        <v>3.274</v>
      </c>
      <c r="AS105">
        <v>3.35</v>
      </c>
      <c r="AT105">
        <v>3.4129999999999998</v>
      </c>
      <c r="AU105">
        <v>3.4980000000000002</v>
      </c>
      <c r="AV105">
        <v>3.532</v>
      </c>
      <c r="AW105">
        <v>3.5590000000000002</v>
      </c>
      <c r="AX105">
        <v>3.5859999999999999</v>
      </c>
      <c r="AY105">
        <v>3.6349999999999998</v>
      </c>
      <c r="AZ105">
        <v>3.6920000000000002</v>
      </c>
      <c r="BA105">
        <v>3.7629999999999999</v>
      </c>
      <c r="BB105">
        <v>3.714</v>
      </c>
      <c r="BC105">
        <v>3.6890000000000001</v>
      </c>
      <c r="BD105">
        <v>3.7250000000000001</v>
      </c>
      <c r="BE105">
        <v>3.8119999999999998</v>
      </c>
      <c r="BF105">
        <v>3.79</v>
      </c>
      <c r="BG105">
        <v>3.895</v>
      </c>
      <c r="BH105">
        <v>3.9569999999999999</v>
      </c>
      <c r="BI105">
        <v>4.0369999999999999</v>
      </c>
      <c r="BJ105">
        <v>4.13</v>
      </c>
      <c r="BK105">
        <v>4.2309999999999999</v>
      </c>
      <c r="BL105">
        <v>4.34</v>
      </c>
    </row>
    <row r="106" spans="1:64" x14ac:dyDescent="0.25">
      <c r="A106">
        <v>2.7170000000000001</v>
      </c>
      <c r="B106">
        <v>2.7610000000000001</v>
      </c>
      <c r="C106">
        <v>2.81</v>
      </c>
      <c r="D106">
        <v>2.9079999999999999</v>
      </c>
      <c r="E106">
        <v>2.956</v>
      </c>
      <c r="F106">
        <v>2.86</v>
      </c>
      <c r="G106">
        <v>2.8380000000000001</v>
      </c>
      <c r="H106">
        <v>2.802</v>
      </c>
      <c r="I106">
        <v>2.7669999999999999</v>
      </c>
      <c r="J106">
        <v>2.79</v>
      </c>
      <c r="K106">
        <v>2.6859999999999999</v>
      </c>
      <c r="L106">
        <v>2.6920000000000002</v>
      </c>
      <c r="M106">
        <v>2.7210000000000001</v>
      </c>
      <c r="N106">
        <v>2.7410000000000001</v>
      </c>
      <c r="O106">
        <v>2.6640000000000001</v>
      </c>
      <c r="P106">
        <v>2.6589999999999998</v>
      </c>
      <c r="Q106">
        <v>2.524</v>
      </c>
      <c r="R106">
        <v>2.5089999999999999</v>
      </c>
      <c r="S106">
        <v>2.4780000000000002</v>
      </c>
      <c r="T106">
        <v>2.407</v>
      </c>
      <c r="U106">
        <v>2.379</v>
      </c>
      <c r="V106">
        <v>2.4750000000000001</v>
      </c>
      <c r="W106">
        <v>2.5720000000000001</v>
      </c>
      <c r="X106">
        <v>2.661</v>
      </c>
      <c r="Y106">
        <v>2.694</v>
      </c>
      <c r="Z106">
        <v>2.6789999999999998</v>
      </c>
      <c r="AA106">
        <v>2.7559999999999998</v>
      </c>
      <c r="AB106">
        <v>2.7930000000000001</v>
      </c>
      <c r="AC106">
        <v>2.7130000000000001</v>
      </c>
      <c r="AD106">
        <v>2.8849999999999998</v>
      </c>
      <c r="AE106">
        <v>2.9820000000000002</v>
      </c>
      <c r="AF106">
        <v>3.0219999999999998</v>
      </c>
      <c r="AG106">
        <v>3.0979999999999999</v>
      </c>
      <c r="AH106">
        <v>3.0329999999999999</v>
      </c>
      <c r="AI106">
        <v>3.089</v>
      </c>
      <c r="AJ106">
        <v>3.04</v>
      </c>
      <c r="AK106">
        <v>2.97</v>
      </c>
      <c r="AL106">
        <v>3.0379999999999998</v>
      </c>
      <c r="AM106">
        <v>3.0409999999999999</v>
      </c>
      <c r="AN106">
        <v>3.1040000000000001</v>
      </c>
      <c r="AO106">
        <v>3.1030000000000002</v>
      </c>
      <c r="AP106">
        <v>3.15</v>
      </c>
      <c r="AQ106">
        <v>3.1989999999999998</v>
      </c>
      <c r="AR106">
        <v>3.25</v>
      </c>
      <c r="AS106">
        <v>3.3690000000000002</v>
      </c>
      <c r="AT106">
        <v>3.4460000000000002</v>
      </c>
      <c r="AU106">
        <v>3.4550000000000001</v>
      </c>
      <c r="AV106">
        <v>3.5259999999999998</v>
      </c>
      <c r="AW106">
        <v>3.605</v>
      </c>
      <c r="AX106">
        <v>3.6760000000000002</v>
      </c>
      <c r="AY106">
        <v>3.6829999999999998</v>
      </c>
      <c r="AZ106">
        <v>3.6909999999999998</v>
      </c>
      <c r="BA106">
        <v>3.742</v>
      </c>
      <c r="BB106">
        <v>3.6970000000000001</v>
      </c>
      <c r="BC106">
        <v>3.734</v>
      </c>
      <c r="BD106">
        <v>3.782</v>
      </c>
      <c r="BE106">
        <v>3.7669999999999999</v>
      </c>
      <c r="BF106">
        <v>3.8279999999999998</v>
      </c>
      <c r="BG106">
        <v>3.9159999999999999</v>
      </c>
      <c r="BH106">
        <v>4.0049999999999999</v>
      </c>
      <c r="BI106">
        <v>4.0369999999999999</v>
      </c>
      <c r="BJ106">
        <v>4.2060000000000004</v>
      </c>
      <c r="BK106">
        <v>4.3040000000000003</v>
      </c>
      <c r="BL106">
        <v>4.4859999999999998</v>
      </c>
    </row>
    <row r="107" spans="1:64" x14ac:dyDescent="0.25">
      <c r="A107">
        <v>2.778</v>
      </c>
      <c r="B107">
        <v>2.7879999999999998</v>
      </c>
      <c r="C107">
        <v>2.8079999999999998</v>
      </c>
      <c r="D107">
        <v>2.891</v>
      </c>
      <c r="E107">
        <v>2.903</v>
      </c>
      <c r="F107">
        <v>2.9420000000000002</v>
      </c>
      <c r="G107">
        <v>2.9550000000000001</v>
      </c>
      <c r="H107">
        <v>2.8610000000000002</v>
      </c>
      <c r="I107">
        <v>2.802</v>
      </c>
      <c r="J107">
        <v>2.8069999999999999</v>
      </c>
      <c r="K107">
        <v>2.8170000000000002</v>
      </c>
      <c r="L107">
        <v>2.7549999999999999</v>
      </c>
      <c r="M107">
        <v>2.802</v>
      </c>
      <c r="N107">
        <v>2.7610000000000001</v>
      </c>
      <c r="O107">
        <v>2.665</v>
      </c>
      <c r="P107">
        <v>2.6419999999999999</v>
      </c>
      <c r="Q107">
        <v>2.6080000000000001</v>
      </c>
      <c r="R107">
        <v>2.5590000000000002</v>
      </c>
      <c r="S107">
        <v>2.5110000000000001</v>
      </c>
      <c r="T107">
        <v>2.407</v>
      </c>
      <c r="U107">
        <v>2.3769999999999998</v>
      </c>
      <c r="V107">
        <v>2.516</v>
      </c>
      <c r="W107">
        <v>2.5430000000000001</v>
      </c>
      <c r="X107">
        <v>2.677</v>
      </c>
      <c r="Y107">
        <v>2.754</v>
      </c>
      <c r="Z107">
        <v>2.7869999999999999</v>
      </c>
      <c r="AA107">
        <v>2.819</v>
      </c>
      <c r="AB107">
        <v>2.8079999999999998</v>
      </c>
      <c r="AC107">
        <v>2.82</v>
      </c>
      <c r="AD107">
        <v>2.863</v>
      </c>
      <c r="AE107">
        <v>3.012</v>
      </c>
      <c r="AF107">
        <v>3.0960000000000001</v>
      </c>
      <c r="AG107">
        <v>3.073</v>
      </c>
      <c r="AH107">
        <v>3.1120000000000001</v>
      </c>
      <c r="AI107">
        <v>3.0880000000000001</v>
      </c>
      <c r="AJ107">
        <v>3.1070000000000002</v>
      </c>
      <c r="AK107">
        <v>3.028</v>
      </c>
      <c r="AL107">
        <v>3.032</v>
      </c>
      <c r="AM107">
        <v>3.077</v>
      </c>
      <c r="AN107">
        <v>3.1909999999999998</v>
      </c>
      <c r="AO107">
        <v>3.1850000000000001</v>
      </c>
      <c r="AP107">
        <v>3.218</v>
      </c>
      <c r="AQ107">
        <v>3.2490000000000001</v>
      </c>
      <c r="AR107">
        <v>3.343</v>
      </c>
      <c r="AS107">
        <v>3.3620000000000001</v>
      </c>
      <c r="AT107">
        <v>3.4489999999999998</v>
      </c>
      <c r="AU107">
        <v>3.5550000000000002</v>
      </c>
      <c r="AV107">
        <v>3.6389999999999998</v>
      </c>
      <c r="AW107">
        <v>3.6459999999999999</v>
      </c>
      <c r="AX107">
        <v>3.7010000000000001</v>
      </c>
      <c r="AY107">
        <v>3.6669999999999998</v>
      </c>
      <c r="AZ107">
        <v>3.7130000000000001</v>
      </c>
      <c r="BA107">
        <v>3.7610000000000001</v>
      </c>
      <c r="BB107">
        <v>3.7679999999999998</v>
      </c>
      <c r="BC107">
        <v>3.7949999999999999</v>
      </c>
      <c r="BD107">
        <v>3.8220000000000001</v>
      </c>
      <c r="BE107">
        <v>3.88</v>
      </c>
      <c r="BF107">
        <v>3.927</v>
      </c>
      <c r="BG107">
        <v>3.9969999999999999</v>
      </c>
      <c r="BH107">
        <v>4.0860000000000003</v>
      </c>
      <c r="BI107">
        <v>4.16</v>
      </c>
      <c r="BJ107">
        <v>4.2610000000000001</v>
      </c>
      <c r="BK107">
        <v>4.4050000000000002</v>
      </c>
      <c r="BL107">
        <v>4.6150000000000002</v>
      </c>
    </row>
    <row r="108" spans="1:64" x14ac:dyDescent="0.25">
      <c r="A108">
        <v>2.855</v>
      </c>
      <c r="B108">
        <v>2.879</v>
      </c>
      <c r="C108">
        <v>2.891</v>
      </c>
      <c r="D108">
        <v>2.923</v>
      </c>
      <c r="E108">
        <v>3.0179999999999998</v>
      </c>
      <c r="F108">
        <v>2.99</v>
      </c>
      <c r="G108">
        <v>3.085</v>
      </c>
      <c r="H108">
        <v>2.92</v>
      </c>
      <c r="I108">
        <v>2.887</v>
      </c>
      <c r="J108">
        <v>2.8759999999999999</v>
      </c>
      <c r="K108">
        <v>2.9249999999999998</v>
      </c>
      <c r="L108">
        <v>2.9159999999999999</v>
      </c>
      <c r="M108">
        <v>2.875</v>
      </c>
      <c r="N108">
        <v>2.8130000000000002</v>
      </c>
      <c r="O108">
        <v>2.7370000000000001</v>
      </c>
      <c r="P108">
        <v>2.6890000000000001</v>
      </c>
      <c r="Q108">
        <v>2.585</v>
      </c>
      <c r="R108">
        <v>2.57</v>
      </c>
      <c r="S108">
        <v>2.4550000000000001</v>
      </c>
      <c r="T108">
        <v>2.452</v>
      </c>
      <c r="U108">
        <v>2.391</v>
      </c>
      <c r="V108">
        <v>2.4980000000000002</v>
      </c>
      <c r="W108">
        <v>2.54</v>
      </c>
      <c r="X108">
        <v>2.6909999999999998</v>
      </c>
      <c r="Y108">
        <v>2.7890000000000001</v>
      </c>
      <c r="Z108">
        <v>2.754</v>
      </c>
      <c r="AA108">
        <v>2.8610000000000002</v>
      </c>
      <c r="AB108">
        <v>2.8559999999999999</v>
      </c>
      <c r="AC108">
        <v>2.8929999999999998</v>
      </c>
      <c r="AD108">
        <v>2.9119999999999999</v>
      </c>
      <c r="AE108">
        <v>3.0259999999999998</v>
      </c>
      <c r="AF108">
        <v>3.0870000000000002</v>
      </c>
      <c r="AG108">
        <v>3.1629999999999998</v>
      </c>
      <c r="AH108">
        <v>3.0920000000000001</v>
      </c>
      <c r="AI108">
        <v>3.0819999999999999</v>
      </c>
      <c r="AJ108">
        <v>3.1179999999999999</v>
      </c>
      <c r="AK108">
        <v>3.1360000000000001</v>
      </c>
      <c r="AL108">
        <v>3.1179999999999999</v>
      </c>
      <c r="AM108">
        <v>3.1539999999999999</v>
      </c>
      <c r="AN108">
        <v>3.214</v>
      </c>
      <c r="AO108">
        <v>3.3610000000000002</v>
      </c>
      <c r="AP108">
        <v>3.343</v>
      </c>
      <c r="AQ108">
        <v>3.3940000000000001</v>
      </c>
      <c r="AR108">
        <v>3.4740000000000002</v>
      </c>
      <c r="AS108">
        <v>3.48</v>
      </c>
      <c r="AT108">
        <v>3.5259999999999998</v>
      </c>
      <c r="AU108">
        <v>3.6139999999999999</v>
      </c>
      <c r="AV108">
        <v>3.6349999999999998</v>
      </c>
      <c r="AW108">
        <v>3.73</v>
      </c>
      <c r="AX108">
        <v>3.7789999999999999</v>
      </c>
      <c r="AY108">
        <v>3.7480000000000002</v>
      </c>
      <c r="AZ108">
        <v>3.7639999999999998</v>
      </c>
      <c r="BA108">
        <v>3.7770000000000001</v>
      </c>
      <c r="BB108">
        <v>3.778</v>
      </c>
      <c r="BC108">
        <v>3.7650000000000001</v>
      </c>
      <c r="BD108">
        <v>3.8</v>
      </c>
      <c r="BE108">
        <v>3.8460000000000001</v>
      </c>
      <c r="BF108">
        <v>4.008</v>
      </c>
      <c r="BG108">
        <v>4.1319999999999997</v>
      </c>
      <c r="BH108">
        <v>4.1870000000000003</v>
      </c>
      <c r="BI108">
        <v>4.3310000000000004</v>
      </c>
      <c r="BJ108">
        <v>4.3949999999999996</v>
      </c>
      <c r="BK108">
        <v>4.5449999999999999</v>
      </c>
      <c r="BL108">
        <v>4.7519999999999998</v>
      </c>
    </row>
    <row r="109" spans="1:64" x14ac:dyDescent="0.25">
      <c r="A109">
        <v>3.0089999999999999</v>
      </c>
      <c r="B109">
        <v>2.9630000000000001</v>
      </c>
      <c r="C109">
        <v>3.036</v>
      </c>
      <c r="D109">
        <v>3.0470000000000002</v>
      </c>
      <c r="E109">
        <v>3.0779999999999998</v>
      </c>
      <c r="F109">
        <v>3.073</v>
      </c>
      <c r="G109">
        <v>3.05</v>
      </c>
      <c r="H109">
        <v>3.0329999999999999</v>
      </c>
      <c r="I109">
        <v>2.9670000000000001</v>
      </c>
      <c r="J109">
        <v>2.9350000000000001</v>
      </c>
      <c r="K109">
        <v>2.9180000000000001</v>
      </c>
      <c r="L109">
        <v>2.9169999999999998</v>
      </c>
      <c r="M109">
        <v>2.8719999999999999</v>
      </c>
      <c r="N109">
        <v>2.8460000000000001</v>
      </c>
      <c r="O109">
        <v>2.7869999999999999</v>
      </c>
      <c r="P109">
        <v>2.7290000000000001</v>
      </c>
      <c r="Q109">
        <v>2.6030000000000002</v>
      </c>
      <c r="R109">
        <v>2.5529999999999999</v>
      </c>
      <c r="S109">
        <v>2.5350000000000001</v>
      </c>
      <c r="T109">
        <v>2.4609999999999999</v>
      </c>
      <c r="U109">
        <v>2.5089999999999999</v>
      </c>
      <c r="V109">
        <v>2.57</v>
      </c>
      <c r="W109">
        <v>2.6070000000000002</v>
      </c>
      <c r="X109">
        <v>2.718</v>
      </c>
      <c r="Y109">
        <v>2.7290000000000001</v>
      </c>
      <c r="Z109">
        <v>2.774</v>
      </c>
      <c r="AA109">
        <v>2.8210000000000002</v>
      </c>
      <c r="AB109">
        <v>2.8660000000000001</v>
      </c>
      <c r="AC109">
        <v>2.9039999999999999</v>
      </c>
      <c r="AD109">
        <v>2.8849999999999998</v>
      </c>
      <c r="AE109">
        <v>2.9870000000000001</v>
      </c>
      <c r="AF109">
        <v>3.1</v>
      </c>
      <c r="AG109">
        <v>3.1219999999999999</v>
      </c>
      <c r="AH109">
        <v>3.165</v>
      </c>
      <c r="AI109">
        <v>3.1549999999999998</v>
      </c>
      <c r="AJ109">
        <v>3.1179999999999999</v>
      </c>
      <c r="AK109">
        <v>3.1560000000000001</v>
      </c>
      <c r="AL109">
        <v>3.2040000000000002</v>
      </c>
      <c r="AM109">
        <v>3.1960000000000002</v>
      </c>
      <c r="AN109">
        <v>3.2839999999999998</v>
      </c>
      <c r="AO109">
        <v>3.4340000000000002</v>
      </c>
      <c r="AP109">
        <v>3.4359999999999999</v>
      </c>
      <c r="AQ109">
        <v>3.4620000000000002</v>
      </c>
      <c r="AR109">
        <v>3.4969999999999999</v>
      </c>
      <c r="AS109">
        <v>3.5569999999999999</v>
      </c>
      <c r="AT109">
        <v>3.5939999999999999</v>
      </c>
      <c r="AU109">
        <v>3.6669999999999998</v>
      </c>
      <c r="AV109">
        <v>3.661</v>
      </c>
      <c r="AW109">
        <v>3.786</v>
      </c>
      <c r="AX109">
        <v>3.7549999999999999</v>
      </c>
      <c r="AY109">
        <v>3.8149999999999999</v>
      </c>
      <c r="AZ109">
        <v>3.827</v>
      </c>
      <c r="BA109">
        <v>3.8130000000000002</v>
      </c>
      <c r="BB109">
        <v>3.7949999999999999</v>
      </c>
      <c r="BC109">
        <v>3.8039999999999998</v>
      </c>
      <c r="BD109">
        <v>3.8839999999999999</v>
      </c>
      <c r="BE109">
        <v>3.9809999999999999</v>
      </c>
      <c r="BF109">
        <v>4.0510000000000002</v>
      </c>
      <c r="BG109">
        <v>4.2270000000000003</v>
      </c>
      <c r="BH109">
        <v>4.3639999999999999</v>
      </c>
      <c r="BI109">
        <v>4.4829999999999997</v>
      </c>
      <c r="BJ109">
        <v>4.5170000000000003</v>
      </c>
      <c r="BK109">
        <v>4.6890000000000001</v>
      </c>
      <c r="BL109">
        <v>4.8129999999999997</v>
      </c>
    </row>
    <row r="110" spans="1:64" x14ac:dyDescent="0.25">
      <c r="A110">
        <v>3.0529999999999999</v>
      </c>
      <c r="B110">
        <v>3.0859999999999999</v>
      </c>
      <c r="C110">
        <v>3.105</v>
      </c>
      <c r="D110">
        <v>3.1379999999999999</v>
      </c>
      <c r="E110">
        <v>3.2069999999999999</v>
      </c>
      <c r="F110">
        <v>3.2080000000000002</v>
      </c>
      <c r="G110">
        <v>3.137</v>
      </c>
      <c r="H110">
        <v>3.0790000000000002</v>
      </c>
      <c r="I110">
        <v>3.0409999999999999</v>
      </c>
      <c r="J110">
        <v>3.032</v>
      </c>
      <c r="K110">
        <v>3.0680000000000001</v>
      </c>
      <c r="L110">
        <v>3.0009999999999999</v>
      </c>
      <c r="M110">
        <v>2.8639999999999999</v>
      </c>
      <c r="N110">
        <v>2.8410000000000002</v>
      </c>
      <c r="O110">
        <v>2.8149999999999999</v>
      </c>
      <c r="P110">
        <v>2.7530000000000001</v>
      </c>
      <c r="Q110">
        <v>2.641</v>
      </c>
      <c r="R110">
        <v>2.5449999999999999</v>
      </c>
      <c r="S110">
        <v>2.5350000000000001</v>
      </c>
      <c r="T110">
        <v>2.512</v>
      </c>
      <c r="U110">
        <v>2.569</v>
      </c>
      <c r="V110">
        <v>2.6280000000000001</v>
      </c>
      <c r="W110">
        <v>2.6880000000000002</v>
      </c>
      <c r="X110">
        <v>2.7189999999999999</v>
      </c>
      <c r="Y110">
        <v>2.7759999999999998</v>
      </c>
      <c r="Z110">
        <v>2.7629999999999999</v>
      </c>
      <c r="AA110">
        <v>2.839</v>
      </c>
      <c r="AB110">
        <v>2.8359999999999999</v>
      </c>
      <c r="AC110">
        <v>2.875</v>
      </c>
      <c r="AD110">
        <v>2.871</v>
      </c>
      <c r="AE110">
        <v>2.91</v>
      </c>
      <c r="AF110">
        <v>3.0030000000000001</v>
      </c>
      <c r="AG110">
        <v>3.16</v>
      </c>
      <c r="AH110">
        <v>3.1070000000000002</v>
      </c>
      <c r="AI110">
        <v>3.0680000000000001</v>
      </c>
      <c r="AJ110">
        <v>3.145</v>
      </c>
      <c r="AK110">
        <v>3.2120000000000002</v>
      </c>
      <c r="AL110">
        <v>3.2010000000000001</v>
      </c>
      <c r="AM110">
        <v>3.2639999999999998</v>
      </c>
      <c r="AN110">
        <v>3.3439999999999999</v>
      </c>
      <c r="AO110">
        <v>3.5059999999999998</v>
      </c>
      <c r="AP110">
        <v>3.484</v>
      </c>
      <c r="AQ110">
        <v>3.4769999999999999</v>
      </c>
      <c r="AR110">
        <v>3.45</v>
      </c>
      <c r="AS110">
        <v>3.4780000000000002</v>
      </c>
      <c r="AT110">
        <v>3.6080000000000001</v>
      </c>
      <c r="AU110">
        <v>3.65</v>
      </c>
      <c r="AV110">
        <v>3.7349999999999999</v>
      </c>
      <c r="AW110">
        <v>3.83</v>
      </c>
      <c r="AX110">
        <v>3.8090000000000002</v>
      </c>
      <c r="AY110">
        <v>3.8849999999999998</v>
      </c>
      <c r="AZ110">
        <v>3.83</v>
      </c>
      <c r="BA110">
        <v>3.7469999999999999</v>
      </c>
      <c r="BB110">
        <v>3.8439999999999999</v>
      </c>
      <c r="BC110">
        <v>3.923</v>
      </c>
      <c r="BD110">
        <v>3.9729999999999999</v>
      </c>
      <c r="BE110">
        <v>4.0860000000000003</v>
      </c>
      <c r="BF110">
        <v>4.149</v>
      </c>
      <c r="BG110">
        <v>4.2160000000000002</v>
      </c>
      <c r="BH110">
        <v>4.43</v>
      </c>
      <c r="BI110">
        <v>4.62</v>
      </c>
      <c r="BJ110">
        <v>4.66</v>
      </c>
      <c r="BK110">
        <v>4.7160000000000002</v>
      </c>
      <c r="BL110">
        <v>4.8079999999999998</v>
      </c>
    </row>
    <row r="111" spans="1:64" x14ac:dyDescent="0.25">
      <c r="A111">
        <v>3.206</v>
      </c>
      <c r="B111">
        <v>3.2410000000000001</v>
      </c>
      <c r="C111">
        <v>3.246</v>
      </c>
      <c r="D111">
        <v>3.2440000000000002</v>
      </c>
      <c r="E111">
        <v>3.282</v>
      </c>
      <c r="F111">
        <v>3.246</v>
      </c>
      <c r="G111">
        <v>3.2029999999999998</v>
      </c>
      <c r="H111">
        <v>3.2229999999999999</v>
      </c>
      <c r="I111">
        <v>3.1459999999999999</v>
      </c>
      <c r="J111">
        <v>3.129</v>
      </c>
      <c r="K111">
        <v>3.0790000000000002</v>
      </c>
      <c r="L111">
        <v>2.988</v>
      </c>
      <c r="M111">
        <v>2.9089999999999998</v>
      </c>
      <c r="N111">
        <v>2.8809999999999998</v>
      </c>
      <c r="O111">
        <v>2.7770000000000001</v>
      </c>
      <c r="P111">
        <v>2.706</v>
      </c>
      <c r="Q111">
        <v>2.641</v>
      </c>
      <c r="R111">
        <v>2.6059999999999999</v>
      </c>
      <c r="S111">
        <v>2.62</v>
      </c>
      <c r="T111">
        <v>2.593</v>
      </c>
      <c r="U111">
        <v>2.6040000000000001</v>
      </c>
      <c r="V111">
        <v>2.6669999999999998</v>
      </c>
      <c r="W111">
        <v>2.7290000000000001</v>
      </c>
      <c r="X111">
        <v>2.8180000000000001</v>
      </c>
      <c r="Y111">
        <v>2.855</v>
      </c>
      <c r="Z111">
        <v>2.823</v>
      </c>
      <c r="AA111">
        <v>2.8260000000000001</v>
      </c>
      <c r="AB111">
        <v>2.851</v>
      </c>
      <c r="AC111">
        <v>2.831</v>
      </c>
      <c r="AD111">
        <v>2.86</v>
      </c>
      <c r="AE111">
        <v>2.8879999999999999</v>
      </c>
      <c r="AF111">
        <v>2.9590000000000001</v>
      </c>
      <c r="AG111">
        <v>3.0470000000000002</v>
      </c>
      <c r="AH111">
        <v>3.044</v>
      </c>
      <c r="AI111">
        <v>3.0720000000000001</v>
      </c>
      <c r="AJ111">
        <v>3.137</v>
      </c>
      <c r="AK111">
        <v>3.262</v>
      </c>
      <c r="AL111">
        <v>3.242</v>
      </c>
      <c r="AM111">
        <v>3.3140000000000001</v>
      </c>
      <c r="AN111">
        <v>3.4</v>
      </c>
      <c r="AO111">
        <v>3.4660000000000002</v>
      </c>
      <c r="AP111">
        <v>3.4809999999999999</v>
      </c>
      <c r="AQ111">
        <v>3.4940000000000002</v>
      </c>
      <c r="AR111">
        <v>3.528</v>
      </c>
      <c r="AS111">
        <v>3.5760000000000001</v>
      </c>
      <c r="AT111">
        <v>3.6549999999999998</v>
      </c>
      <c r="AU111">
        <v>3.6920000000000002</v>
      </c>
      <c r="AV111">
        <v>3.754</v>
      </c>
      <c r="AW111">
        <v>3.8559999999999999</v>
      </c>
      <c r="AX111">
        <v>3.9049999999999998</v>
      </c>
      <c r="AY111">
        <v>3.8479999999999999</v>
      </c>
      <c r="AZ111">
        <v>3.871</v>
      </c>
      <c r="BA111">
        <v>3.89</v>
      </c>
      <c r="BB111">
        <v>3.9590000000000001</v>
      </c>
      <c r="BC111">
        <v>3.9769999999999999</v>
      </c>
      <c r="BD111">
        <v>4.0060000000000002</v>
      </c>
      <c r="BE111">
        <v>4.0339999999999998</v>
      </c>
      <c r="BF111">
        <v>4.1459999999999999</v>
      </c>
      <c r="BG111">
        <v>4.2880000000000003</v>
      </c>
      <c r="BH111">
        <v>4.4450000000000003</v>
      </c>
      <c r="BI111">
        <v>4.6459999999999999</v>
      </c>
      <c r="BJ111">
        <v>4.7329999999999997</v>
      </c>
      <c r="BK111">
        <v>4.806</v>
      </c>
      <c r="BL111">
        <v>4.8959999999999999</v>
      </c>
    </row>
    <row r="112" spans="1:64" x14ac:dyDescent="0.25">
      <c r="A112">
        <v>3.3570000000000002</v>
      </c>
      <c r="B112">
        <v>3.3450000000000002</v>
      </c>
      <c r="C112">
        <v>3.3380000000000001</v>
      </c>
      <c r="D112">
        <v>3.3540000000000001</v>
      </c>
      <c r="E112">
        <v>3.37</v>
      </c>
      <c r="F112">
        <v>3.3610000000000002</v>
      </c>
      <c r="G112">
        <v>3.371</v>
      </c>
      <c r="H112">
        <v>3.3570000000000002</v>
      </c>
      <c r="I112">
        <v>3.2989999999999999</v>
      </c>
      <c r="J112">
        <v>3.2480000000000002</v>
      </c>
      <c r="K112">
        <v>3.08</v>
      </c>
      <c r="L112">
        <v>2.9849999999999999</v>
      </c>
      <c r="M112">
        <v>2.952</v>
      </c>
      <c r="N112">
        <v>2.8559999999999999</v>
      </c>
      <c r="O112">
        <v>2.7360000000000002</v>
      </c>
      <c r="P112">
        <v>2.71</v>
      </c>
      <c r="Q112">
        <v>2.6619999999999999</v>
      </c>
      <c r="R112">
        <v>2.6070000000000002</v>
      </c>
      <c r="S112">
        <v>2.6219999999999999</v>
      </c>
      <c r="T112">
        <v>2.6829999999999998</v>
      </c>
      <c r="U112">
        <v>2.6890000000000001</v>
      </c>
      <c r="V112">
        <v>2.76</v>
      </c>
      <c r="W112">
        <v>2.8170000000000002</v>
      </c>
      <c r="X112">
        <v>2.8319999999999999</v>
      </c>
      <c r="Y112">
        <v>2.8610000000000002</v>
      </c>
      <c r="Z112">
        <v>2.84</v>
      </c>
      <c r="AA112">
        <v>2.8879999999999999</v>
      </c>
      <c r="AB112">
        <v>2.819</v>
      </c>
      <c r="AC112">
        <v>2.7949999999999999</v>
      </c>
      <c r="AD112">
        <v>2.8559999999999999</v>
      </c>
      <c r="AE112">
        <v>2.8959999999999999</v>
      </c>
      <c r="AF112">
        <v>2.9420000000000002</v>
      </c>
      <c r="AG112">
        <v>2.9049999999999998</v>
      </c>
      <c r="AH112">
        <v>2.9470000000000001</v>
      </c>
      <c r="AI112">
        <v>3.0459999999999998</v>
      </c>
      <c r="AJ112">
        <v>3.1779999999999999</v>
      </c>
      <c r="AK112">
        <v>3.3330000000000002</v>
      </c>
      <c r="AL112">
        <v>3.294</v>
      </c>
      <c r="AM112">
        <v>3.351</v>
      </c>
      <c r="AN112">
        <v>3.44</v>
      </c>
      <c r="AO112">
        <v>3.456</v>
      </c>
      <c r="AP112">
        <v>3.5449999999999999</v>
      </c>
      <c r="AQ112">
        <v>3.581</v>
      </c>
      <c r="AR112">
        <v>3.589</v>
      </c>
      <c r="AS112">
        <v>3.657</v>
      </c>
      <c r="AT112">
        <v>3.7090000000000001</v>
      </c>
      <c r="AU112">
        <v>3.7389999999999999</v>
      </c>
      <c r="AV112">
        <v>3.8039999999999998</v>
      </c>
      <c r="AW112">
        <v>3.8860000000000001</v>
      </c>
      <c r="AX112">
        <v>3.9049999999999998</v>
      </c>
      <c r="AY112">
        <v>3.9060000000000001</v>
      </c>
      <c r="AZ112">
        <v>3.944</v>
      </c>
      <c r="BA112">
        <v>4.048</v>
      </c>
      <c r="BB112">
        <v>4.0609999999999999</v>
      </c>
      <c r="BC112">
        <v>4.0990000000000002</v>
      </c>
      <c r="BD112">
        <v>4.085</v>
      </c>
      <c r="BE112">
        <v>4.085</v>
      </c>
      <c r="BF112">
        <v>4.1900000000000004</v>
      </c>
      <c r="BG112">
        <v>4.335</v>
      </c>
      <c r="BH112">
        <v>4.4509999999999996</v>
      </c>
      <c r="BI112">
        <v>4.609</v>
      </c>
      <c r="BJ112">
        <v>4.7919999999999998</v>
      </c>
      <c r="BK112">
        <v>4.9290000000000003</v>
      </c>
      <c r="BL112">
        <v>5.0350000000000001</v>
      </c>
    </row>
    <row r="113" spans="1:64" x14ac:dyDescent="0.25">
      <c r="A113">
        <v>3.577</v>
      </c>
      <c r="B113">
        <v>3.508</v>
      </c>
      <c r="C113">
        <v>3.4460000000000002</v>
      </c>
      <c r="D113">
        <v>3.395</v>
      </c>
      <c r="E113">
        <v>3.4369999999999998</v>
      </c>
      <c r="F113">
        <v>3.4180000000000001</v>
      </c>
      <c r="G113">
        <v>3.4020000000000001</v>
      </c>
      <c r="H113">
        <v>3.4009999999999998</v>
      </c>
      <c r="I113">
        <v>3.371</v>
      </c>
      <c r="J113">
        <v>3.3029999999999999</v>
      </c>
      <c r="K113">
        <v>3.157</v>
      </c>
      <c r="L113">
        <v>3.0590000000000002</v>
      </c>
      <c r="M113">
        <v>2.9830000000000001</v>
      </c>
      <c r="N113">
        <v>2.8959999999999999</v>
      </c>
      <c r="O113">
        <v>2.8769999999999998</v>
      </c>
      <c r="P113">
        <v>2.7749999999999999</v>
      </c>
      <c r="Q113">
        <v>2.6909999999999998</v>
      </c>
      <c r="R113">
        <v>2.71</v>
      </c>
      <c r="S113">
        <v>2.7280000000000002</v>
      </c>
      <c r="T113">
        <v>2.758</v>
      </c>
      <c r="U113">
        <v>2.8220000000000001</v>
      </c>
      <c r="V113">
        <v>2.7949999999999999</v>
      </c>
      <c r="W113">
        <v>2.7629999999999999</v>
      </c>
      <c r="X113">
        <v>2.7669999999999999</v>
      </c>
      <c r="Y113">
        <v>2.8279999999999998</v>
      </c>
      <c r="Z113">
        <v>2.8109999999999999</v>
      </c>
      <c r="AA113">
        <v>2.819</v>
      </c>
      <c r="AB113">
        <v>2.8279999999999998</v>
      </c>
      <c r="AC113">
        <v>2.7879999999999998</v>
      </c>
      <c r="AD113">
        <v>2.8010000000000002</v>
      </c>
      <c r="AE113">
        <v>2.9020000000000001</v>
      </c>
      <c r="AF113">
        <v>2.8610000000000002</v>
      </c>
      <c r="AG113">
        <v>2.8860000000000001</v>
      </c>
      <c r="AH113">
        <v>2.9009999999999998</v>
      </c>
      <c r="AI113">
        <v>3.073</v>
      </c>
      <c r="AJ113">
        <v>3.16</v>
      </c>
      <c r="AK113">
        <v>3.2959999999999998</v>
      </c>
      <c r="AL113">
        <v>3.3530000000000002</v>
      </c>
      <c r="AM113">
        <v>3.38</v>
      </c>
      <c r="AN113">
        <v>3.444</v>
      </c>
      <c r="AO113">
        <v>3.492</v>
      </c>
      <c r="AP113">
        <v>3.5670000000000002</v>
      </c>
      <c r="AQ113">
        <v>3.5920000000000001</v>
      </c>
      <c r="AR113">
        <v>3.677</v>
      </c>
      <c r="AS113">
        <v>3.734</v>
      </c>
      <c r="AT113">
        <v>3.8140000000000001</v>
      </c>
      <c r="AU113">
        <v>3.843</v>
      </c>
      <c r="AV113">
        <v>3.911</v>
      </c>
      <c r="AW113">
        <v>3.9289999999999998</v>
      </c>
      <c r="AX113">
        <v>3.9740000000000002</v>
      </c>
      <c r="AY113">
        <v>3.96</v>
      </c>
      <c r="AZ113">
        <v>4.01</v>
      </c>
      <c r="BA113">
        <v>4.0549999999999997</v>
      </c>
      <c r="BB113">
        <v>4.0830000000000002</v>
      </c>
      <c r="BC113">
        <v>4.1070000000000002</v>
      </c>
      <c r="BD113">
        <v>4.13</v>
      </c>
      <c r="BE113">
        <v>4.1130000000000004</v>
      </c>
      <c r="BF113">
        <v>4.2130000000000001</v>
      </c>
      <c r="BG113">
        <v>4.319</v>
      </c>
      <c r="BH113">
        <v>4.4589999999999996</v>
      </c>
      <c r="BI113">
        <v>4.6790000000000003</v>
      </c>
      <c r="BJ113">
        <v>4.8140000000000001</v>
      </c>
      <c r="BK113">
        <v>4.96</v>
      </c>
      <c r="BL113">
        <v>5.069</v>
      </c>
    </row>
    <row r="114" spans="1:64" x14ac:dyDescent="0.25">
      <c r="A114">
        <v>3.8039999999999998</v>
      </c>
      <c r="B114">
        <v>3.5939999999999999</v>
      </c>
      <c r="C114">
        <v>3.55</v>
      </c>
      <c r="D114">
        <v>3.444</v>
      </c>
      <c r="E114">
        <v>3.4660000000000002</v>
      </c>
      <c r="F114">
        <v>3.41</v>
      </c>
      <c r="G114">
        <v>3.431</v>
      </c>
      <c r="H114">
        <v>3.4929999999999999</v>
      </c>
      <c r="I114">
        <v>3.4460000000000002</v>
      </c>
      <c r="J114">
        <v>3.2989999999999999</v>
      </c>
      <c r="K114">
        <v>3.194</v>
      </c>
      <c r="L114">
        <v>3.145</v>
      </c>
      <c r="M114">
        <v>3.0379999999999998</v>
      </c>
      <c r="N114">
        <v>3.0249999999999999</v>
      </c>
      <c r="O114">
        <v>3.01</v>
      </c>
      <c r="P114">
        <v>2.8820000000000001</v>
      </c>
      <c r="Q114">
        <v>2.75</v>
      </c>
      <c r="R114">
        <v>2.7789999999999999</v>
      </c>
      <c r="S114">
        <v>2.7109999999999999</v>
      </c>
      <c r="T114">
        <v>2.7789999999999999</v>
      </c>
      <c r="U114">
        <v>2.8929999999999998</v>
      </c>
      <c r="V114">
        <v>2.8769999999999998</v>
      </c>
      <c r="W114">
        <v>2.7709999999999999</v>
      </c>
      <c r="X114">
        <v>2.7410000000000001</v>
      </c>
      <c r="Y114">
        <v>2.738</v>
      </c>
      <c r="Z114">
        <v>2.754</v>
      </c>
      <c r="AA114">
        <v>2.8029999999999999</v>
      </c>
      <c r="AB114">
        <v>2.831</v>
      </c>
      <c r="AC114">
        <v>2.79</v>
      </c>
      <c r="AD114">
        <v>2.8159999999999998</v>
      </c>
      <c r="AE114">
        <v>2.883</v>
      </c>
      <c r="AF114">
        <v>2.863</v>
      </c>
      <c r="AG114">
        <v>2.7919999999999998</v>
      </c>
      <c r="AH114">
        <v>2.9209999999999998</v>
      </c>
      <c r="AI114">
        <v>3.0190000000000001</v>
      </c>
      <c r="AJ114">
        <v>3.19</v>
      </c>
      <c r="AK114">
        <v>3.3490000000000002</v>
      </c>
      <c r="AL114">
        <v>3.4079999999999999</v>
      </c>
      <c r="AM114">
        <v>3.5030000000000001</v>
      </c>
      <c r="AN114">
        <v>3.569</v>
      </c>
      <c r="AO114">
        <v>3.629</v>
      </c>
      <c r="AP114">
        <v>3.694</v>
      </c>
      <c r="AQ114">
        <v>3.71</v>
      </c>
      <c r="AR114">
        <v>3.76</v>
      </c>
      <c r="AS114">
        <v>3.7749999999999999</v>
      </c>
      <c r="AT114">
        <v>3.9249999999999998</v>
      </c>
      <c r="AU114">
        <v>3.9929999999999999</v>
      </c>
      <c r="AV114">
        <v>3.9950000000000001</v>
      </c>
      <c r="AW114">
        <v>3.9950000000000001</v>
      </c>
      <c r="AX114">
        <v>4.0279999999999996</v>
      </c>
      <c r="AY114">
        <v>4.0049999999999999</v>
      </c>
      <c r="AZ114">
        <v>4.04</v>
      </c>
      <c r="BA114">
        <v>4.157</v>
      </c>
      <c r="BB114">
        <v>4.1639999999999997</v>
      </c>
      <c r="BC114">
        <v>4.2089999999999996</v>
      </c>
      <c r="BD114">
        <v>4.2089999999999996</v>
      </c>
      <c r="BE114">
        <v>4.2039999999999997</v>
      </c>
      <c r="BF114">
        <v>4.3120000000000003</v>
      </c>
      <c r="BG114">
        <v>4.3609999999999998</v>
      </c>
      <c r="BH114">
        <v>4.4870000000000001</v>
      </c>
      <c r="BI114">
        <v>4.6790000000000003</v>
      </c>
      <c r="BJ114">
        <v>4.8470000000000004</v>
      </c>
      <c r="BK114">
        <v>4.9980000000000002</v>
      </c>
      <c r="BL114">
        <v>5.0839999999999996</v>
      </c>
    </row>
    <row r="115" spans="1:64" x14ac:dyDescent="0.25">
      <c r="A115">
        <v>3.64</v>
      </c>
      <c r="B115">
        <v>3.629</v>
      </c>
      <c r="C115">
        <v>3.5670000000000002</v>
      </c>
      <c r="D115">
        <v>3.5409999999999999</v>
      </c>
      <c r="E115">
        <v>3.5150000000000001</v>
      </c>
      <c r="F115">
        <v>3.4729999999999999</v>
      </c>
      <c r="G115">
        <v>3.4929999999999999</v>
      </c>
      <c r="H115">
        <v>3.5139999999999998</v>
      </c>
      <c r="I115">
        <v>3.4790000000000001</v>
      </c>
      <c r="J115">
        <v>3.4020000000000001</v>
      </c>
      <c r="K115">
        <v>3.3439999999999999</v>
      </c>
      <c r="L115">
        <v>3.24</v>
      </c>
      <c r="M115">
        <v>3.2090000000000001</v>
      </c>
      <c r="N115">
        <v>3.1230000000000002</v>
      </c>
      <c r="O115">
        <v>3.0760000000000001</v>
      </c>
      <c r="P115">
        <v>3.0179999999999998</v>
      </c>
      <c r="Q115">
        <v>2.9470000000000001</v>
      </c>
      <c r="R115">
        <v>2.8759999999999999</v>
      </c>
      <c r="S115">
        <v>2.88</v>
      </c>
      <c r="T115">
        <v>2.895</v>
      </c>
      <c r="U115">
        <v>2.9430000000000001</v>
      </c>
      <c r="V115">
        <v>2.911</v>
      </c>
      <c r="W115">
        <v>2.8250000000000002</v>
      </c>
      <c r="X115">
        <v>2.8610000000000002</v>
      </c>
      <c r="Y115">
        <v>2.7970000000000002</v>
      </c>
      <c r="Z115">
        <v>2.8359999999999999</v>
      </c>
      <c r="AA115">
        <v>2.899</v>
      </c>
      <c r="AB115">
        <v>2.9049999999999998</v>
      </c>
      <c r="AC115">
        <v>2.895</v>
      </c>
      <c r="AD115">
        <v>2.8479999999999999</v>
      </c>
      <c r="AE115">
        <v>2.8889999999999998</v>
      </c>
      <c r="AF115">
        <v>2.9420000000000002</v>
      </c>
      <c r="AG115">
        <v>3</v>
      </c>
      <c r="AH115">
        <v>3.0449999999999999</v>
      </c>
      <c r="AI115">
        <v>3.11</v>
      </c>
      <c r="AJ115">
        <v>3.2370000000000001</v>
      </c>
      <c r="AK115">
        <v>3.3279999999999998</v>
      </c>
      <c r="AL115">
        <v>3.423</v>
      </c>
      <c r="AM115">
        <v>3.5129999999999999</v>
      </c>
      <c r="AN115">
        <v>3.6509999999999998</v>
      </c>
      <c r="AO115">
        <v>3.726</v>
      </c>
      <c r="AP115">
        <v>3.738</v>
      </c>
      <c r="AQ115">
        <v>3.7320000000000002</v>
      </c>
      <c r="AR115">
        <v>3.82</v>
      </c>
      <c r="AS115">
        <v>3.863</v>
      </c>
      <c r="AT115">
        <v>4.01</v>
      </c>
      <c r="AU115">
        <v>4.0709999999999997</v>
      </c>
      <c r="AV115">
        <v>4.1470000000000002</v>
      </c>
      <c r="AW115">
        <v>4.0910000000000002</v>
      </c>
      <c r="AX115">
        <v>4.085</v>
      </c>
      <c r="AY115">
        <v>4.1269999999999998</v>
      </c>
      <c r="AZ115">
        <v>4.149</v>
      </c>
      <c r="BA115">
        <v>4.2460000000000004</v>
      </c>
      <c r="BB115">
        <v>4.2809999999999997</v>
      </c>
      <c r="BC115">
        <v>4.2270000000000003</v>
      </c>
      <c r="BD115">
        <v>4.3280000000000003</v>
      </c>
      <c r="BE115">
        <v>4.3479999999999999</v>
      </c>
      <c r="BF115">
        <v>4.3600000000000003</v>
      </c>
      <c r="BG115">
        <v>4.415</v>
      </c>
      <c r="BH115">
        <v>4.5819999999999999</v>
      </c>
      <c r="BI115">
        <v>4.7110000000000003</v>
      </c>
      <c r="BJ115">
        <v>4.8849999999999998</v>
      </c>
      <c r="BK115">
        <v>4.9880000000000004</v>
      </c>
      <c r="BL115">
        <v>5.05</v>
      </c>
    </row>
    <row r="116" spans="1:64" x14ac:dyDescent="0.25">
      <c r="A116">
        <v>3.6219999999999999</v>
      </c>
      <c r="B116">
        <v>3.5830000000000002</v>
      </c>
      <c r="C116">
        <v>3.5939999999999999</v>
      </c>
      <c r="D116">
        <v>3.573</v>
      </c>
      <c r="E116">
        <v>3.5059999999999998</v>
      </c>
      <c r="F116">
        <v>3.5710000000000002</v>
      </c>
      <c r="G116">
        <v>3.625</v>
      </c>
      <c r="H116">
        <v>3.5920000000000001</v>
      </c>
      <c r="I116">
        <v>3.5390000000000001</v>
      </c>
      <c r="J116">
        <v>3.5489999999999999</v>
      </c>
      <c r="K116">
        <v>3.5030000000000001</v>
      </c>
      <c r="L116">
        <v>3.387</v>
      </c>
      <c r="M116">
        <v>3.3410000000000002</v>
      </c>
      <c r="N116">
        <v>3.294</v>
      </c>
      <c r="O116">
        <v>3.157</v>
      </c>
      <c r="P116">
        <v>3.1779999999999999</v>
      </c>
      <c r="Q116">
        <v>3.1</v>
      </c>
      <c r="R116">
        <v>3.077</v>
      </c>
      <c r="S116">
        <v>2.948</v>
      </c>
      <c r="T116">
        <v>2.9980000000000002</v>
      </c>
      <c r="U116">
        <v>3.0430000000000001</v>
      </c>
      <c r="V116">
        <v>2.9329999999999998</v>
      </c>
      <c r="W116">
        <v>2.9119999999999999</v>
      </c>
      <c r="X116">
        <v>2.9239999999999999</v>
      </c>
      <c r="Y116">
        <v>2.911</v>
      </c>
      <c r="Z116">
        <v>2.9990000000000001</v>
      </c>
      <c r="AA116">
        <v>2.9809999999999999</v>
      </c>
      <c r="AB116">
        <v>3.0219999999999998</v>
      </c>
      <c r="AC116">
        <v>2.9590000000000001</v>
      </c>
      <c r="AD116">
        <v>2.9329999999999998</v>
      </c>
      <c r="AE116">
        <v>2.9129999999999998</v>
      </c>
      <c r="AF116">
        <v>3.0449999999999999</v>
      </c>
      <c r="AG116">
        <v>3.0270000000000001</v>
      </c>
      <c r="AH116">
        <v>3.1629999999999998</v>
      </c>
      <c r="AI116">
        <v>3.2250000000000001</v>
      </c>
      <c r="AJ116">
        <v>3.302</v>
      </c>
      <c r="AK116">
        <v>3.363</v>
      </c>
      <c r="AL116">
        <v>3.548</v>
      </c>
      <c r="AM116">
        <v>3.6040000000000001</v>
      </c>
      <c r="AN116">
        <v>3.722</v>
      </c>
      <c r="AO116">
        <v>3.79</v>
      </c>
      <c r="AP116">
        <v>3.863</v>
      </c>
      <c r="AQ116">
        <v>3.8479999999999999</v>
      </c>
      <c r="AR116">
        <v>3.883</v>
      </c>
      <c r="AS116">
        <v>3.9809999999999999</v>
      </c>
      <c r="AT116">
        <v>4.093</v>
      </c>
      <c r="AU116">
        <v>4.1500000000000004</v>
      </c>
      <c r="AV116">
        <v>4.2279999999999998</v>
      </c>
      <c r="AW116">
        <v>4.2679999999999998</v>
      </c>
      <c r="AX116">
        <v>4.2770000000000001</v>
      </c>
      <c r="AY116">
        <v>4.2610000000000001</v>
      </c>
      <c r="AZ116">
        <v>4.2960000000000003</v>
      </c>
      <c r="BA116">
        <v>4.33</v>
      </c>
      <c r="BB116">
        <v>4.3029999999999999</v>
      </c>
      <c r="BC116">
        <v>4.2830000000000004</v>
      </c>
      <c r="BD116">
        <v>4.3090000000000002</v>
      </c>
      <c r="BE116">
        <v>4.4260000000000002</v>
      </c>
      <c r="BF116">
        <v>4.4770000000000003</v>
      </c>
      <c r="BG116">
        <v>4.5190000000000001</v>
      </c>
      <c r="BH116">
        <v>4.5460000000000003</v>
      </c>
      <c r="BI116">
        <v>4.6619999999999999</v>
      </c>
      <c r="BJ116">
        <v>4.8170000000000002</v>
      </c>
      <c r="BK116">
        <v>5.0049999999999999</v>
      </c>
      <c r="BL116">
        <v>5.093</v>
      </c>
    </row>
    <row r="117" spans="1:64" x14ac:dyDescent="0.25">
      <c r="A117">
        <v>3.6389999999999998</v>
      </c>
      <c r="B117">
        <v>3.6640000000000001</v>
      </c>
      <c r="C117">
        <v>3.6520000000000001</v>
      </c>
      <c r="D117">
        <v>3.6659999999999999</v>
      </c>
      <c r="E117">
        <v>3.6259999999999999</v>
      </c>
      <c r="F117">
        <v>3.69</v>
      </c>
      <c r="G117">
        <v>3.7130000000000001</v>
      </c>
      <c r="H117">
        <v>3.6720000000000002</v>
      </c>
      <c r="I117">
        <v>3.613</v>
      </c>
      <c r="J117">
        <v>3.617</v>
      </c>
      <c r="K117">
        <v>3.609</v>
      </c>
      <c r="L117">
        <v>3.508</v>
      </c>
      <c r="M117">
        <v>3.3919999999999999</v>
      </c>
      <c r="N117">
        <v>3.379</v>
      </c>
      <c r="O117">
        <v>3.347</v>
      </c>
      <c r="P117">
        <v>3.2749999999999999</v>
      </c>
      <c r="Q117">
        <v>3.274</v>
      </c>
      <c r="R117">
        <v>3.2</v>
      </c>
      <c r="S117">
        <v>3.1389999999999998</v>
      </c>
      <c r="T117">
        <v>3.073</v>
      </c>
      <c r="U117">
        <v>3.0390000000000001</v>
      </c>
      <c r="V117">
        <v>3.0430000000000001</v>
      </c>
      <c r="W117">
        <v>3.0880000000000001</v>
      </c>
      <c r="X117">
        <v>3.0630000000000002</v>
      </c>
      <c r="Y117">
        <v>3.0779999999999998</v>
      </c>
      <c r="Z117">
        <v>3.0939999999999999</v>
      </c>
      <c r="AA117">
        <v>3.0339999999999998</v>
      </c>
      <c r="AB117">
        <v>3.0779999999999998</v>
      </c>
      <c r="AC117">
        <v>3.0459999999999998</v>
      </c>
      <c r="AD117">
        <v>3.052</v>
      </c>
      <c r="AE117">
        <v>3.1160000000000001</v>
      </c>
      <c r="AF117">
        <v>3.15</v>
      </c>
      <c r="AG117">
        <v>3.1930000000000001</v>
      </c>
      <c r="AH117">
        <v>3.2519999999999998</v>
      </c>
      <c r="AI117">
        <v>3.3479999999999999</v>
      </c>
      <c r="AJ117">
        <v>3.4580000000000002</v>
      </c>
      <c r="AK117">
        <v>3.5110000000000001</v>
      </c>
      <c r="AL117">
        <v>3.613</v>
      </c>
      <c r="AM117">
        <v>3.6560000000000001</v>
      </c>
      <c r="AN117">
        <v>3.7240000000000002</v>
      </c>
      <c r="AO117">
        <v>3.8039999999999998</v>
      </c>
      <c r="AP117">
        <v>3.9220000000000002</v>
      </c>
      <c r="AQ117">
        <v>3.9140000000000001</v>
      </c>
      <c r="AR117">
        <v>4.008</v>
      </c>
      <c r="AS117">
        <v>4.101</v>
      </c>
      <c r="AT117">
        <v>4.1609999999999996</v>
      </c>
      <c r="AU117">
        <v>4.2779999999999996</v>
      </c>
      <c r="AV117">
        <v>4.2830000000000004</v>
      </c>
      <c r="AW117">
        <v>4.3659999999999997</v>
      </c>
      <c r="AX117">
        <v>4.32</v>
      </c>
      <c r="AY117">
        <v>4.33</v>
      </c>
      <c r="AZ117">
        <v>4.3710000000000004</v>
      </c>
      <c r="BA117">
        <v>4.3890000000000002</v>
      </c>
      <c r="BB117">
        <v>4.3630000000000004</v>
      </c>
      <c r="BC117">
        <v>4.3849999999999998</v>
      </c>
      <c r="BD117">
        <v>4.375</v>
      </c>
      <c r="BE117">
        <v>4.4829999999999997</v>
      </c>
      <c r="BF117">
        <v>4.5010000000000003</v>
      </c>
      <c r="BG117">
        <v>4.5940000000000003</v>
      </c>
      <c r="BH117">
        <v>4.6070000000000002</v>
      </c>
      <c r="BI117">
        <v>4.6689999999999996</v>
      </c>
      <c r="BJ117">
        <v>4.8739999999999997</v>
      </c>
      <c r="BK117">
        <v>4.9669999999999996</v>
      </c>
      <c r="BL117">
        <v>5.0970000000000004</v>
      </c>
    </row>
    <row r="118" spans="1:64" x14ac:dyDescent="0.25">
      <c r="A118">
        <v>3.6779999999999999</v>
      </c>
      <c r="B118">
        <v>3.7730000000000001</v>
      </c>
      <c r="C118">
        <v>3.754</v>
      </c>
      <c r="D118">
        <v>3.766</v>
      </c>
      <c r="E118">
        <v>3.657</v>
      </c>
      <c r="F118">
        <v>3.758</v>
      </c>
      <c r="G118">
        <v>3.806</v>
      </c>
      <c r="H118">
        <v>3.786</v>
      </c>
      <c r="I118">
        <v>3.7970000000000002</v>
      </c>
      <c r="J118">
        <v>3.6579999999999999</v>
      </c>
      <c r="K118">
        <v>3.6179999999999999</v>
      </c>
      <c r="L118">
        <v>3.5270000000000001</v>
      </c>
      <c r="M118">
        <v>3.4550000000000001</v>
      </c>
      <c r="N118">
        <v>3.4580000000000002</v>
      </c>
      <c r="O118">
        <v>3.5009999999999999</v>
      </c>
      <c r="P118">
        <v>3.46</v>
      </c>
      <c r="Q118">
        <v>3.4239999999999999</v>
      </c>
      <c r="R118">
        <v>3.367</v>
      </c>
      <c r="S118">
        <v>3.2650000000000001</v>
      </c>
      <c r="T118">
        <v>3.145</v>
      </c>
      <c r="U118">
        <v>3.085</v>
      </c>
      <c r="V118">
        <v>3.1480000000000001</v>
      </c>
      <c r="W118">
        <v>3.1869999999999998</v>
      </c>
      <c r="X118">
        <v>3.2090000000000001</v>
      </c>
      <c r="Y118">
        <v>3.202</v>
      </c>
      <c r="Z118">
        <v>3.1259999999999999</v>
      </c>
      <c r="AA118">
        <v>3.0960000000000001</v>
      </c>
      <c r="AB118">
        <v>3.1349999999999998</v>
      </c>
      <c r="AC118">
        <v>3.1190000000000002</v>
      </c>
      <c r="AD118">
        <v>3.2050000000000001</v>
      </c>
      <c r="AE118">
        <v>3.23</v>
      </c>
      <c r="AF118">
        <v>3.2349999999999999</v>
      </c>
      <c r="AG118">
        <v>3.2959999999999998</v>
      </c>
      <c r="AH118">
        <v>3.375</v>
      </c>
      <c r="AI118">
        <v>3.4279999999999999</v>
      </c>
      <c r="AJ118">
        <v>3.5019999999999998</v>
      </c>
      <c r="AK118">
        <v>3.6349999999999998</v>
      </c>
      <c r="AL118">
        <v>3.6840000000000002</v>
      </c>
      <c r="AM118">
        <v>3.67</v>
      </c>
      <c r="AN118">
        <v>3.758</v>
      </c>
      <c r="AO118">
        <v>3.871</v>
      </c>
      <c r="AP118">
        <v>4.0049999999999999</v>
      </c>
      <c r="AQ118">
        <v>4.0270000000000001</v>
      </c>
      <c r="AR118">
        <v>4.1820000000000004</v>
      </c>
      <c r="AS118">
        <v>4.3140000000000001</v>
      </c>
      <c r="AT118">
        <v>4.2610000000000001</v>
      </c>
      <c r="AU118">
        <v>4.3419999999999996</v>
      </c>
      <c r="AV118">
        <v>4.3520000000000003</v>
      </c>
      <c r="AW118">
        <v>4.3979999999999997</v>
      </c>
      <c r="AX118">
        <v>4.3479999999999999</v>
      </c>
      <c r="AY118">
        <v>4.3449999999999998</v>
      </c>
      <c r="AZ118">
        <v>4.4029999999999996</v>
      </c>
      <c r="BA118">
        <v>4.5119999999999996</v>
      </c>
      <c r="BB118">
        <v>4.5179999999999998</v>
      </c>
      <c r="BC118">
        <v>4.5019999999999998</v>
      </c>
      <c r="BD118">
        <v>4.4589999999999996</v>
      </c>
      <c r="BE118">
        <v>4.4409999999999998</v>
      </c>
      <c r="BF118">
        <v>4.4859999999999998</v>
      </c>
      <c r="BG118">
        <v>4.5599999999999996</v>
      </c>
      <c r="BH118">
        <v>4.6769999999999996</v>
      </c>
      <c r="BI118">
        <v>4.7119999999999997</v>
      </c>
      <c r="BJ118">
        <v>4.8529999999999998</v>
      </c>
      <c r="BK118">
        <v>4.9909999999999997</v>
      </c>
      <c r="BL118">
        <v>5.1180000000000003</v>
      </c>
    </row>
    <row r="119" spans="1:64" x14ac:dyDescent="0.25">
      <c r="A119">
        <v>3.8490000000000002</v>
      </c>
      <c r="B119">
        <v>3.8479999999999999</v>
      </c>
      <c r="C119">
        <v>3.794</v>
      </c>
      <c r="D119">
        <v>3.8180000000000001</v>
      </c>
      <c r="E119">
        <v>3.7509999999999999</v>
      </c>
      <c r="F119">
        <v>3.8140000000000001</v>
      </c>
      <c r="G119">
        <v>3.7970000000000002</v>
      </c>
      <c r="H119">
        <v>3.823</v>
      </c>
      <c r="I119">
        <v>3.7440000000000002</v>
      </c>
      <c r="J119">
        <v>3.7349999999999999</v>
      </c>
      <c r="K119">
        <v>3.673</v>
      </c>
      <c r="L119">
        <v>3.5619999999999998</v>
      </c>
      <c r="M119">
        <v>3.5569999999999999</v>
      </c>
      <c r="N119">
        <v>3.4940000000000002</v>
      </c>
      <c r="O119">
        <v>3.5190000000000001</v>
      </c>
      <c r="P119">
        <v>3.508</v>
      </c>
      <c r="Q119">
        <v>3.4769999999999999</v>
      </c>
      <c r="R119">
        <v>3.41</v>
      </c>
      <c r="S119">
        <v>3.39</v>
      </c>
      <c r="T119">
        <v>3.3450000000000002</v>
      </c>
      <c r="U119">
        <v>3.2829999999999999</v>
      </c>
      <c r="V119">
        <v>3.367</v>
      </c>
      <c r="W119">
        <v>3.3580000000000001</v>
      </c>
      <c r="X119">
        <v>3.3450000000000002</v>
      </c>
      <c r="Y119">
        <v>3.298</v>
      </c>
      <c r="Z119">
        <v>3.2709999999999999</v>
      </c>
      <c r="AA119">
        <v>3.2839999999999998</v>
      </c>
      <c r="AB119">
        <v>3.2250000000000001</v>
      </c>
      <c r="AC119">
        <v>3.2770000000000001</v>
      </c>
      <c r="AD119">
        <v>3.2930000000000001</v>
      </c>
      <c r="AE119">
        <v>3.3079999999999998</v>
      </c>
      <c r="AF119">
        <v>3.3820000000000001</v>
      </c>
      <c r="AG119">
        <v>3.4540000000000002</v>
      </c>
      <c r="AH119">
        <v>3.4950000000000001</v>
      </c>
      <c r="AI119">
        <v>3.5910000000000002</v>
      </c>
      <c r="AJ119">
        <v>3.6589999999999998</v>
      </c>
      <c r="AK119">
        <v>3.742</v>
      </c>
      <c r="AL119">
        <v>3.7469999999999999</v>
      </c>
      <c r="AM119">
        <v>3.7440000000000002</v>
      </c>
      <c r="AN119">
        <v>3.8290000000000002</v>
      </c>
      <c r="AO119">
        <v>3.9780000000000002</v>
      </c>
      <c r="AP119">
        <v>4.048</v>
      </c>
      <c r="AQ119">
        <v>4.117</v>
      </c>
      <c r="AR119">
        <v>4.2439999999999998</v>
      </c>
      <c r="AS119">
        <v>4.282</v>
      </c>
      <c r="AT119">
        <v>4.3639999999999999</v>
      </c>
      <c r="AU119">
        <v>4.4210000000000003</v>
      </c>
      <c r="AV119">
        <v>4.4530000000000003</v>
      </c>
      <c r="AW119">
        <v>4.4669999999999996</v>
      </c>
      <c r="AX119">
        <v>4.4020000000000001</v>
      </c>
      <c r="AY119">
        <v>4.4340000000000002</v>
      </c>
      <c r="AZ119">
        <v>4.5199999999999996</v>
      </c>
      <c r="BA119">
        <v>4.5620000000000003</v>
      </c>
      <c r="BB119">
        <v>4.5510000000000002</v>
      </c>
      <c r="BC119">
        <v>4.5650000000000004</v>
      </c>
      <c r="BD119">
        <v>4.5229999999999997</v>
      </c>
      <c r="BE119">
        <v>4.54</v>
      </c>
      <c r="BF119">
        <v>4.4930000000000003</v>
      </c>
      <c r="BG119">
        <v>4.6139999999999999</v>
      </c>
      <c r="BH119">
        <v>4.6479999999999997</v>
      </c>
      <c r="BI119">
        <v>4.7539999999999996</v>
      </c>
      <c r="BJ119">
        <v>4.867</v>
      </c>
      <c r="BK119">
        <v>5.0220000000000002</v>
      </c>
      <c r="BL119">
        <v>5.1150000000000002</v>
      </c>
    </row>
    <row r="120" spans="1:64" x14ac:dyDescent="0.25">
      <c r="A120">
        <v>3.9689999999999999</v>
      </c>
      <c r="B120">
        <v>3.9319999999999999</v>
      </c>
      <c r="C120">
        <v>3.8260000000000001</v>
      </c>
      <c r="D120">
        <v>3.863</v>
      </c>
      <c r="E120">
        <v>3.875</v>
      </c>
      <c r="F120">
        <v>3.843</v>
      </c>
      <c r="G120">
        <v>3.76</v>
      </c>
      <c r="H120">
        <v>3.7549999999999999</v>
      </c>
      <c r="I120">
        <v>3.7570000000000001</v>
      </c>
      <c r="J120">
        <v>3.7010000000000001</v>
      </c>
      <c r="K120">
        <v>3.718</v>
      </c>
      <c r="L120">
        <v>3.6459999999999999</v>
      </c>
      <c r="M120">
        <v>3.577</v>
      </c>
      <c r="N120">
        <v>3.5630000000000002</v>
      </c>
      <c r="O120">
        <v>3.637</v>
      </c>
      <c r="P120">
        <v>3.5670000000000002</v>
      </c>
      <c r="Q120">
        <v>3.5510000000000002</v>
      </c>
      <c r="R120">
        <v>3.5190000000000001</v>
      </c>
      <c r="S120">
        <v>3.4990000000000001</v>
      </c>
      <c r="T120">
        <v>3.4950000000000001</v>
      </c>
      <c r="U120">
        <v>3.5209999999999999</v>
      </c>
      <c r="V120">
        <v>3.5049999999999999</v>
      </c>
      <c r="W120">
        <v>3.5150000000000001</v>
      </c>
      <c r="X120">
        <v>3.508</v>
      </c>
      <c r="Y120">
        <v>3.4180000000000001</v>
      </c>
      <c r="Z120">
        <v>3.4039999999999999</v>
      </c>
      <c r="AA120">
        <v>3.371</v>
      </c>
      <c r="AB120">
        <v>3.375</v>
      </c>
      <c r="AC120">
        <v>3.456</v>
      </c>
      <c r="AD120">
        <v>3.4660000000000002</v>
      </c>
      <c r="AE120">
        <v>3.496</v>
      </c>
      <c r="AF120">
        <v>3.5329999999999999</v>
      </c>
      <c r="AG120">
        <v>3.5990000000000002</v>
      </c>
      <c r="AH120">
        <v>3.6539999999999999</v>
      </c>
      <c r="AI120">
        <v>3.6709999999999998</v>
      </c>
      <c r="AJ120">
        <v>3.7709999999999999</v>
      </c>
      <c r="AK120">
        <v>3.8340000000000001</v>
      </c>
      <c r="AL120">
        <v>3.859</v>
      </c>
      <c r="AM120">
        <v>3.8319999999999999</v>
      </c>
      <c r="AN120">
        <v>3.9159999999999999</v>
      </c>
      <c r="AO120">
        <v>4.0650000000000004</v>
      </c>
      <c r="AP120">
        <v>4.1710000000000003</v>
      </c>
      <c r="AQ120">
        <v>4.202</v>
      </c>
      <c r="AR120">
        <v>4.3109999999999999</v>
      </c>
      <c r="AS120">
        <v>4.3630000000000004</v>
      </c>
      <c r="AT120">
        <v>4.3470000000000004</v>
      </c>
      <c r="AU120">
        <v>4.42</v>
      </c>
      <c r="AV120">
        <v>4.4429999999999996</v>
      </c>
      <c r="AW120">
        <v>4.4649999999999999</v>
      </c>
      <c r="AX120">
        <v>4.4809999999999999</v>
      </c>
      <c r="AY120">
        <v>4.4829999999999997</v>
      </c>
      <c r="AZ120">
        <v>4.5430000000000001</v>
      </c>
      <c r="BA120">
        <v>4.6159999999999997</v>
      </c>
      <c r="BB120">
        <v>4.5890000000000004</v>
      </c>
      <c r="BC120">
        <v>4.5389999999999997</v>
      </c>
      <c r="BD120">
        <v>4.5629999999999997</v>
      </c>
      <c r="BE120">
        <v>4.5410000000000004</v>
      </c>
      <c r="BF120">
        <v>4.5720000000000001</v>
      </c>
      <c r="BG120">
        <v>4.5720000000000001</v>
      </c>
      <c r="BH120">
        <v>4.7770000000000001</v>
      </c>
      <c r="BI120">
        <v>4.8949999999999996</v>
      </c>
      <c r="BJ120">
        <v>4.9470000000000001</v>
      </c>
      <c r="BK120">
        <v>5.0309999999999997</v>
      </c>
      <c r="BL120">
        <v>5.125</v>
      </c>
    </row>
    <row r="121" spans="1:64" x14ac:dyDescent="0.25">
      <c r="A121">
        <v>4.101</v>
      </c>
      <c r="B121">
        <v>4.0090000000000003</v>
      </c>
      <c r="C121">
        <v>3.9340000000000002</v>
      </c>
      <c r="D121">
        <v>3.9470000000000001</v>
      </c>
      <c r="E121">
        <v>3.92</v>
      </c>
      <c r="F121">
        <v>3.8380000000000001</v>
      </c>
      <c r="G121">
        <v>3.8439999999999999</v>
      </c>
      <c r="H121">
        <v>3.8130000000000002</v>
      </c>
      <c r="I121">
        <v>3.839</v>
      </c>
      <c r="J121">
        <v>3.7709999999999999</v>
      </c>
      <c r="K121">
        <v>3.7090000000000001</v>
      </c>
      <c r="L121">
        <v>3.6469999999999998</v>
      </c>
      <c r="M121">
        <v>3.649</v>
      </c>
      <c r="N121">
        <v>3.6419999999999999</v>
      </c>
      <c r="O121">
        <v>3.67</v>
      </c>
      <c r="P121">
        <v>3.6909999999999998</v>
      </c>
      <c r="Q121">
        <v>3.6030000000000002</v>
      </c>
      <c r="R121">
        <v>3.593</v>
      </c>
      <c r="S121">
        <v>3.5979999999999999</v>
      </c>
      <c r="T121">
        <v>3.6360000000000001</v>
      </c>
      <c r="U121">
        <v>3.6440000000000001</v>
      </c>
      <c r="V121">
        <v>3.6059999999999999</v>
      </c>
      <c r="W121">
        <v>3.61</v>
      </c>
      <c r="X121">
        <v>3.6640000000000001</v>
      </c>
      <c r="Y121">
        <v>3.593</v>
      </c>
      <c r="Z121">
        <v>3.56</v>
      </c>
      <c r="AA121">
        <v>3.5339999999999998</v>
      </c>
      <c r="AB121">
        <v>3.492</v>
      </c>
      <c r="AC121">
        <v>3.4870000000000001</v>
      </c>
      <c r="AD121">
        <v>3.577</v>
      </c>
      <c r="AE121">
        <v>3.6269999999999998</v>
      </c>
      <c r="AF121">
        <v>3.6930000000000001</v>
      </c>
      <c r="AG121">
        <v>3.7970000000000002</v>
      </c>
      <c r="AH121">
        <v>3.758</v>
      </c>
      <c r="AI121">
        <v>3.8130000000000002</v>
      </c>
      <c r="AJ121">
        <v>3.8260000000000001</v>
      </c>
      <c r="AK121">
        <v>3.8679999999999999</v>
      </c>
      <c r="AL121">
        <v>3.984</v>
      </c>
      <c r="AM121">
        <v>3.9889999999999999</v>
      </c>
      <c r="AN121">
        <v>4.0439999999999996</v>
      </c>
      <c r="AO121">
        <v>4.1230000000000002</v>
      </c>
      <c r="AP121">
        <v>4.2329999999999997</v>
      </c>
      <c r="AQ121">
        <v>4.3230000000000004</v>
      </c>
      <c r="AR121">
        <v>4.37</v>
      </c>
      <c r="AS121">
        <v>4.3479999999999999</v>
      </c>
      <c r="AT121">
        <v>4.3639999999999999</v>
      </c>
      <c r="AU121">
        <v>4.4870000000000001</v>
      </c>
      <c r="AV121">
        <v>4.5129999999999999</v>
      </c>
      <c r="AW121">
        <v>4.5540000000000003</v>
      </c>
      <c r="AX121">
        <v>4.4930000000000003</v>
      </c>
      <c r="AY121">
        <v>4.4729999999999999</v>
      </c>
      <c r="AZ121">
        <v>4.5570000000000004</v>
      </c>
      <c r="BA121">
        <v>4.5449999999999999</v>
      </c>
      <c r="BB121">
        <v>4.5549999999999997</v>
      </c>
      <c r="BC121">
        <v>4.5890000000000004</v>
      </c>
      <c r="BD121">
        <v>4.569</v>
      </c>
      <c r="BE121">
        <v>4.5869999999999997</v>
      </c>
      <c r="BF121">
        <v>4.633</v>
      </c>
      <c r="BG121">
        <v>4.6310000000000002</v>
      </c>
      <c r="BH121">
        <v>4.8010000000000002</v>
      </c>
      <c r="BI121">
        <v>4.8689999999999998</v>
      </c>
      <c r="BJ121">
        <v>5</v>
      </c>
      <c r="BK121">
        <v>5.0890000000000004</v>
      </c>
      <c r="BL121">
        <v>5.1020000000000003</v>
      </c>
    </row>
    <row r="122" spans="1:64" x14ac:dyDescent="0.25">
      <c r="A122">
        <v>4.2050000000000001</v>
      </c>
      <c r="B122">
        <v>4.0709999999999997</v>
      </c>
      <c r="C122">
        <v>4.0069999999999997</v>
      </c>
      <c r="D122">
        <v>3.9430000000000001</v>
      </c>
      <c r="E122">
        <v>4</v>
      </c>
      <c r="F122">
        <v>3.9209999999999998</v>
      </c>
      <c r="G122">
        <v>3.8730000000000002</v>
      </c>
      <c r="H122">
        <v>3.8319999999999999</v>
      </c>
      <c r="I122">
        <v>3.887</v>
      </c>
      <c r="J122">
        <v>3.7749999999999999</v>
      </c>
      <c r="K122">
        <v>3.6680000000000001</v>
      </c>
      <c r="L122">
        <v>3.641</v>
      </c>
      <c r="M122">
        <v>3.6549999999999998</v>
      </c>
      <c r="N122">
        <v>3.6589999999999998</v>
      </c>
      <c r="O122">
        <v>3.74</v>
      </c>
      <c r="P122">
        <v>3.6880000000000002</v>
      </c>
      <c r="Q122">
        <v>3.7690000000000001</v>
      </c>
      <c r="R122">
        <v>3.7389999999999999</v>
      </c>
      <c r="S122">
        <v>3.6520000000000001</v>
      </c>
      <c r="T122">
        <v>3.7290000000000001</v>
      </c>
      <c r="U122">
        <v>3.7029999999999998</v>
      </c>
      <c r="V122">
        <v>3.76</v>
      </c>
      <c r="W122">
        <v>3.7970000000000002</v>
      </c>
      <c r="X122">
        <v>3.8039999999999998</v>
      </c>
      <c r="Y122">
        <v>3.762</v>
      </c>
      <c r="Z122">
        <v>3.65</v>
      </c>
      <c r="AA122">
        <v>3.5630000000000002</v>
      </c>
      <c r="AB122">
        <v>3.6059999999999999</v>
      </c>
      <c r="AC122">
        <v>3.6110000000000002</v>
      </c>
      <c r="AD122">
        <v>3.7570000000000001</v>
      </c>
      <c r="AE122">
        <v>3.855</v>
      </c>
      <c r="AF122">
        <v>3.871</v>
      </c>
      <c r="AG122">
        <v>3.9590000000000001</v>
      </c>
      <c r="AH122">
        <v>3.863</v>
      </c>
      <c r="AI122">
        <v>3.83</v>
      </c>
      <c r="AJ122">
        <v>3.887</v>
      </c>
      <c r="AK122">
        <v>3.9220000000000002</v>
      </c>
      <c r="AL122">
        <v>4.0659999999999998</v>
      </c>
      <c r="AM122">
        <v>4.173</v>
      </c>
      <c r="AN122">
        <v>4.18</v>
      </c>
      <c r="AO122">
        <v>4.2770000000000001</v>
      </c>
      <c r="AP122">
        <v>4.3460000000000001</v>
      </c>
      <c r="AQ122">
        <v>4.3899999999999997</v>
      </c>
      <c r="AR122">
        <v>4.38</v>
      </c>
      <c r="AS122">
        <v>4.3330000000000002</v>
      </c>
      <c r="AT122">
        <v>4.452</v>
      </c>
      <c r="AU122">
        <v>4.4960000000000004</v>
      </c>
      <c r="AV122">
        <v>4.5529999999999999</v>
      </c>
      <c r="AW122">
        <v>4.6269999999999998</v>
      </c>
      <c r="AX122">
        <v>4.5049999999999999</v>
      </c>
      <c r="AY122">
        <v>4.4669999999999996</v>
      </c>
      <c r="AZ122">
        <v>4.5590000000000002</v>
      </c>
      <c r="BA122">
        <v>4.5650000000000004</v>
      </c>
      <c r="BB122">
        <v>4.5199999999999996</v>
      </c>
      <c r="BC122">
        <v>4.5060000000000002</v>
      </c>
      <c r="BD122">
        <v>4.5869999999999997</v>
      </c>
      <c r="BE122">
        <v>4.6120000000000001</v>
      </c>
      <c r="BF122">
        <v>4.6689999999999996</v>
      </c>
      <c r="BG122">
        <v>4.6980000000000004</v>
      </c>
      <c r="BH122">
        <v>4.7919999999999998</v>
      </c>
      <c r="BI122">
        <v>4.91</v>
      </c>
      <c r="BJ122">
        <v>5.0030000000000001</v>
      </c>
      <c r="BK122">
        <v>5.0510000000000002</v>
      </c>
      <c r="BL122">
        <v>5.1779999999999999</v>
      </c>
    </row>
    <row r="123" spans="1:64" x14ac:dyDescent="0.25">
      <c r="A123">
        <v>4.0579999999999998</v>
      </c>
      <c r="B123">
        <v>4.069</v>
      </c>
      <c r="C123">
        <v>4.032</v>
      </c>
      <c r="D123">
        <v>3.9980000000000002</v>
      </c>
      <c r="E123">
        <v>4.0220000000000002</v>
      </c>
      <c r="F123">
        <v>3.9369999999999998</v>
      </c>
      <c r="G123">
        <v>3.8860000000000001</v>
      </c>
      <c r="H123">
        <v>3.88</v>
      </c>
      <c r="I123">
        <v>3.79</v>
      </c>
      <c r="J123">
        <v>3.7730000000000001</v>
      </c>
      <c r="K123">
        <v>3.7440000000000002</v>
      </c>
      <c r="L123">
        <v>3.6819999999999999</v>
      </c>
      <c r="M123">
        <v>3.706</v>
      </c>
      <c r="N123">
        <v>3.7250000000000001</v>
      </c>
      <c r="O123">
        <v>3.77</v>
      </c>
      <c r="P123">
        <v>3.742</v>
      </c>
      <c r="Q123">
        <v>3.7429999999999999</v>
      </c>
      <c r="R123">
        <v>3.8010000000000002</v>
      </c>
      <c r="S123">
        <v>3.7829999999999999</v>
      </c>
      <c r="T123">
        <v>3.786</v>
      </c>
      <c r="U123">
        <v>3.794</v>
      </c>
      <c r="V123">
        <v>3.8140000000000001</v>
      </c>
      <c r="W123">
        <v>3.8879999999999999</v>
      </c>
      <c r="X123">
        <v>3.8849999999999998</v>
      </c>
      <c r="Y123">
        <v>3.8969999999999998</v>
      </c>
      <c r="Z123">
        <v>3.8450000000000002</v>
      </c>
      <c r="AA123">
        <v>3.7189999999999999</v>
      </c>
      <c r="AB123">
        <v>3.782</v>
      </c>
      <c r="AC123">
        <v>3.851</v>
      </c>
      <c r="AD123">
        <v>3.88</v>
      </c>
      <c r="AE123">
        <v>3.9089999999999998</v>
      </c>
      <c r="AF123">
        <v>3.9820000000000002</v>
      </c>
      <c r="AG123">
        <v>4.0220000000000002</v>
      </c>
      <c r="AH123">
        <v>3.9969999999999999</v>
      </c>
      <c r="AI123">
        <v>3.944</v>
      </c>
      <c r="AJ123">
        <v>4.0259999999999998</v>
      </c>
      <c r="AK123">
        <v>3.9929999999999999</v>
      </c>
      <c r="AL123">
        <v>4.093</v>
      </c>
      <c r="AM123">
        <v>4.22</v>
      </c>
      <c r="AN123">
        <v>4.2409999999999997</v>
      </c>
      <c r="AO123">
        <v>4.3339999999999996</v>
      </c>
      <c r="AP123">
        <v>4.3879999999999999</v>
      </c>
      <c r="AQ123">
        <v>4.3730000000000002</v>
      </c>
      <c r="AR123">
        <v>4.3780000000000001</v>
      </c>
      <c r="AS123">
        <v>4.4160000000000004</v>
      </c>
      <c r="AT123">
        <v>4.51</v>
      </c>
      <c r="AU123">
        <v>4.5140000000000002</v>
      </c>
      <c r="AV123">
        <v>4.5430000000000001</v>
      </c>
      <c r="AW123">
        <v>4.5990000000000002</v>
      </c>
      <c r="AX123">
        <v>4.5670000000000002</v>
      </c>
      <c r="AY123">
        <v>4.5830000000000002</v>
      </c>
      <c r="AZ123">
        <v>4.5739999999999998</v>
      </c>
      <c r="BA123">
        <v>4.5960000000000001</v>
      </c>
      <c r="BB123">
        <v>4.6390000000000002</v>
      </c>
      <c r="BC123">
        <v>4.6369999999999996</v>
      </c>
      <c r="BD123">
        <v>4.5789999999999997</v>
      </c>
      <c r="BE123">
        <v>4.6619999999999999</v>
      </c>
      <c r="BF123">
        <v>4.7300000000000004</v>
      </c>
      <c r="BG123">
        <v>4.7869999999999999</v>
      </c>
      <c r="BH123">
        <v>4.9130000000000003</v>
      </c>
      <c r="BI123">
        <v>5.048</v>
      </c>
      <c r="BJ123">
        <v>5.1319999999999997</v>
      </c>
      <c r="BK123">
        <v>5.2359999999999998</v>
      </c>
      <c r="BL123">
        <v>5.2939999999999996</v>
      </c>
    </row>
    <row r="124" spans="1:64" x14ac:dyDescent="0.25">
      <c r="A124">
        <v>4.0119999999999996</v>
      </c>
      <c r="B124">
        <v>4.0220000000000002</v>
      </c>
      <c r="C124">
        <v>4.0650000000000004</v>
      </c>
      <c r="D124">
        <v>4.0339999999999998</v>
      </c>
      <c r="E124">
        <v>4.0170000000000003</v>
      </c>
      <c r="F124">
        <v>3.9049999999999998</v>
      </c>
      <c r="G124">
        <v>3.8559999999999999</v>
      </c>
      <c r="H124">
        <v>3.8540000000000001</v>
      </c>
      <c r="I124">
        <v>3.7839999999999998</v>
      </c>
      <c r="J124">
        <v>3.7839999999999998</v>
      </c>
      <c r="K124">
        <v>3.7410000000000001</v>
      </c>
      <c r="L124">
        <v>3.6819999999999999</v>
      </c>
      <c r="M124">
        <v>3.6779999999999999</v>
      </c>
      <c r="N124">
        <v>3.6909999999999998</v>
      </c>
      <c r="O124">
        <v>3.6970000000000001</v>
      </c>
      <c r="P124">
        <v>3.7360000000000002</v>
      </c>
      <c r="Q124">
        <v>3.8</v>
      </c>
      <c r="R124">
        <v>3.8839999999999999</v>
      </c>
      <c r="S124">
        <v>3.9169999999999998</v>
      </c>
      <c r="T124">
        <v>3.847</v>
      </c>
      <c r="U124">
        <v>3.8410000000000002</v>
      </c>
      <c r="V124">
        <v>3.8690000000000002</v>
      </c>
      <c r="W124">
        <v>4.0019999999999998</v>
      </c>
      <c r="X124">
        <v>4.0060000000000002</v>
      </c>
      <c r="Y124">
        <v>4.0069999999999997</v>
      </c>
      <c r="Z124">
        <v>3.9009999999999998</v>
      </c>
      <c r="AA124">
        <v>3.8650000000000002</v>
      </c>
      <c r="AB124">
        <v>3.9180000000000001</v>
      </c>
      <c r="AC124">
        <v>3.988</v>
      </c>
      <c r="AD124">
        <v>3.972</v>
      </c>
      <c r="AE124">
        <v>4.0209999999999999</v>
      </c>
      <c r="AF124">
        <v>4.05</v>
      </c>
      <c r="AG124">
        <v>4.0880000000000001</v>
      </c>
      <c r="AH124">
        <v>4.0590000000000002</v>
      </c>
      <c r="AI124">
        <v>4.1159999999999997</v>
      </c>
      <c r="AJ124">
        <v>4.1379999999999999</v>
      </c>
      <c r="AK124">
        <v>4.1230000000000002</v>
      </c>
      <c r="AL124">
        <v>4.1349999999999998</v>
      </c>
      <c r="AM124">
        <v>4.2910000000000004</v>
      </c>
      <c r="AN124">
        <v>4.2720000000000002</v>
      </c>
      <c r="AO124">
        <v>4.407</v>
      </c>
      <c r="AP124">
        <v>4.4130000000000003</v>
      </c>
      <c r="AQ124">
        <v>4.4160000000000004</v>
      </c>
      <c r="AR124">
        <v>4.484</v>
      </c>
      <c r="AS124">
        <v>4.5309999999999997</v>
      </c>
      <c r="AT124">
        <v>4.5830000000000002</v>
      </c>
      <c r="AU124">
        <v>4.5679999999999996</v>
      </c>
      <c r="AV124">
        <v>4.5199999999999996</v>
      </c>
      <c r="AW124">
        <v>4.5519999999999996</v>
      </c>
      <c r="AX124">
        <v>4.5839999999999996</v>
      </c>
      <c r="AY124">
        <v>4.5819999999999999</v>
      </c>
      <c r="AZ124">
        <v>4.6769999999999996</v>
      </c>
      <c r="BA124">
        <v>4.7240000000000002</v>
      </c>
      <c r="BB124">
        <v>4.7119999999999997</v>
      </c>
      <c r="BC124">
        <v>4.6760000000000002</v>
      </c>
      <c r="BD124">
        <v>4.6449999999999996</v>
      </c>
      <c r="BE124">
        <v>4.6509999999999998</v>
      </c>
      <c r="BF124">
        <v>4.7380000000000004</v>
      </c>
      <c r="BG124">
        <v>4.9260000000000002</v>
      </c>
      <c r="BH124">
        <v>4.9619999999999997</v>
      </c>
      <c r="BI124">
        <v>5.0960000000000001</v>
      </c>
      <c r="BJ124">
        <v>5.2270000000000003</v>
      </c>
      <c r="BK124">
        <v>5.3029999999999999</v>
      </c>
      <c r="BL124">
        <v>5.4329999999999998</v>
      </c>
    </row>
    <row r="125" spans="1:64" x14ac:dyDescent="0.25">
      <c r="A125">
        <v>4.0330000000000004</v>
      </c>
      <c r="B125">
        <v>4.0350000000000001</v>
      </c>
      <c r="C125">
        <v>4.024</v>
      </c>
      <c r="D125">
        <v>3.9889999999999999</v>
      </c>
      <c r="E125">
        <v>3.992</v>
      </c>
      <c r="F125">
        <v>3.88</v>
      </c>
      <c r="G125">
        <v>3.8889999999999998</v>
      </c>
      <c r="H125">
        <v>3.827</v>
      </c>
      <c r="I125">
        <v>3.88</v>
      </c>
      <c r="J125">
        <v>3.82</v>
      </c>
      <c r="K125">
        <v>3.7839999999999998</v>
      </c>
      <c r="L125">
        <v>3.7749999999999999</v>
      </c>
      <c r="M125">
        <v>3.8050000000000002</v>
      </c>
      <c r="N125">
        <v>3.7440000000000002</v>
      </c>
      <c r="O125">
        <v>3.8050000000000002</v>
      </c>
      <c r="P125">
        <v>3.798</v>
      </c>
      <c r="Q125">
        <v>3.8860000000000001</v>
      </c>
      <c r="R125">
        <v>3.8860000000000001</v>
      </c>
      <c r="S125">
        <v>3.9049999999999998</v>
      </c>
      <c r="T125">
        <v>3.9340000000000002</v>
      </c>
      <c r="U125">
        <v>3.9369999999999998</v>
      </c>
      <c r="V125">
        <v>3.9670000000000001</v>
      </c>
      <c r="W125">
        <v>3.9929999999999999</v>
      </c>
      <c r="X125">
        <v>4.0389999999999997</v>
      </c>
      <c r="Y125">
        <v>4.0369999999999999</v>
      </c>
      <c r="Z125">
        <v>4.0430000000000001</v>
      </c>
      <c r="AA125">
        <v>3.9540000000000002</v>
      </c>
      <c r="AB125">
        <v>3.9609999999999999</v>
      </c>
      <c r="AC125">
        <v>4.0019999999999998</v>
      </c>
      <c r="AD125">
        <v>4.0750000000000002</v>
      </c>
      <c r="AE125">
        <v>4.0720000000000001</v>
      </c>
      <c r="AF125">
        <v>4.1280000000000001</v>
      </c>
      <c r="AG125">
        <v>4.1829999999999998</v>
      </c>
      <c r="AH125">
        <v>4.173</v>
      </c>
      <c r="AI125">
        <v>4.1020000000000003</v>
      </c>
      <c r="AJ125">
        <v>4.1340000000000003</v>
      </c>
      <c r="AK125">
        <v>4.2160000000000002</v>
      </c>
      <c r="AL125">
        <v>4.1959999999999997</v>
      </c>
      <c r="AM125">
        <v>4.2699999999999996</v>
      </c>
      <c r="AN125">
        <v>4.3259999999999996</v>
      </c>
      <c r="AO125">
        <v>4.4450000000000003</v>
      </c>
      <c r="AP125">
        <v>4.4000000000000004</v>
      </c>
      <c r="AQ125">
        <v>4.4930000000000003</v>
      </c>
      <c r="AR125">
        <v>4.5179999999999998</v>
      </c>
      <c r="AS125">
        <v>4.5430000000000001</v>
      </c>
      <c r="AT125">
        <v>4.5570000000000004</v>
      </c>
      <c r="AU125">
        <v>4.5279999999999996</v>
      </c>
      <c r="AV125">
        <v>4.5380000000000003</v>
      </c>
      <c r="AW125">
        <v>4.593</v>
      </c>
      <c r="AX125">
        <v>4.5759999999999996</v>
      </c>
      <c r="AY125">
        <v>4.6349999999999998</v>
      </c>
      <c r="AZ125">
        <v>4.7300000000000004</v>
      </c>
      <c r="BA125">
        <v>4.7530000000000001</v>
      </c>
      <c r="BB125">
        <v>4.7220000000000004</v>
      </c>
      <c r="BC125">
        <v>4.7160000000000002</v>
      </c>
      <c r="BD125">
        <v>4.6749999999999998</v>
      </c>
      <c r="BE125">
        <v>4.7359999999999998</v>
      </c>
      <c r="BF125">
        <v>4.827</v>
      </c>
      <c r="BG125">
        <v>4.9139999999999997</v>
      </c>
      <c r="BH125">
        <v>4.9909999999999997</v>
      </c>
      <c r="BI125">
        <v>5.08</v>
      </c>
      <c r="BJ125">
        <v>5.2359999999999998</v>
      </c>
      <c r="BK125">
        <v>5.4009999999999998</v>
      </c>
      <c r="BL125">
        <v>5.5369999999999999</v>
      </c>
    </row>
    <row r="126" spans="1:64" x14ac:dyDescent="0.25">
      <c r="A126">
        <v>4.0670000000000002</v>
      </c>
      <c r="B126">
        <v>3.9790000000000001</v>
      </c>
      <c r="C126">
        <v>3.956</v>
      </c>
      <c r="D126">
        <v>3.9239999999999999</v>
      </c>
      <c r="E126">
        <v>3.891</v>
      </c>
      <c r="F126">
        <v>3.9249999999999998</v>
      </c>
      <c r="G126">
        <v>3.907</v>
      </c>
      <c r="H126">
        <v>3.883</v>
      </c>
      <c r="I126">
        <v>3.9340000000000002</v>
      </c>
      <c r="J126">
        <v>3.823</v>
      </c>
      <c r="K126">
        <v>3.89</v>
      </c>
      <c r="L126">
        <v>3.7959999999999998</v>
      </c>
      <c r="M126">
        <v>3.859</v>
      </c>
      <c r="N126">
        <v>3.8279999999999998</v>
      </c>
      <c r="O126">
        <v>3.8149999999999999</v>
      </c>
      <c r="P126">
        <v>3.8940000000000001</v>
      </c>
      <c r="Q126">
        <v>3.883</v>
      </c>
      <c r="R126">
        <v>3.91</v>
      </c>
      <c r="S126">
        <v>3.9449999999999998</v>
      </c>
      <c r="T126">
        <v>3.9990000000000001</v>
      </c>
      <c r="U126">
        <v>4.0419999999999998</v>
      </c>
      <c r="V126">
        <v>4.0629999999999997</v>
      </c>
      <c r="W126">
        <v>4.1379999999999999</v>
      </c>
      <c r="X126">
        <v>4.125</v>
      </c>
      <c r="Y126">
        <v>4.141</v>
      </c>
      <c r="Z126">
        <v>4.0670000000000002</v>
      </c>
      <c r="AA126">
        <v>3.9870000000000001</v>
      </c>
      <c r="AB126">
        <v>4.0330000000000004</v>
      </c>
      <c r="AC126">
        <v>4.1420000000000003</v>
      </c>
      <c r="AD126">
        <v>4.1399999999999997</v>
      </c>
      <c r="AE126">
        <v>4.2050000000000001</v>
      </c>
      <c r="AF126">
        <v>4.2039999999999997</v>
      </c>
      <c r="AG126">
        <v>4.2560000000000002</v>
      </c>
      <c r="AH126">
        <v>4.2240000000000002</v>
      </c>
      <c r="AI126">
        <v>4.181</v>
      </c>
      <c r="AJ126">
        <v>4.2060000000000004</v>
      </c>
      <c r="AK126">
        <v>4.2320000000000002</v>
      </c>
      <c r="AL126">
        <v>4.2880000000000003</v>
      </c>
      <c r="AM126">
        <v>4.2770000000000001</v>
      </c>
      <c r="AN126">
        <v>4.4189999999999996</v>
      </c>
      <c r="AO126">
        <v>4.4950000000000001</v>
      </c>
      <c r="AP126">
        <v>4.4569999999999999</v>
      </c>
      <c r="AQ126">
        <v>4.4539999999999997</v>
      </c>
      <c r="AR126">
        <v>4.5519999999999996</v>
      </c>
      <c r="AS126">
        <v>4.4859999999999998</v>
      </c>
      <c r="AT126">
        <v>4.5679999999999996</v>
      </c>
      <c r="AU126">
        <v>4.5970000000000004</v>
      </c>
      <c r="AV126">
        <v>4.5579999999999998</v>
      </c>
      <c r="AW126">
        <v>4.5910000000000002</v>
      </c>
      <c r="AX126">
        <v>4.62</v>
      </c>
      <c r="AY126">
        <v>4.7119999999999997</v>
      </c>
      <c r="AZ126">
        <v>4.7759999999999998</v>
      </c>
      <c r="BA126">
        <v>4.7990000000000004</v>
      </c>
      <c r="BB126">
        <v>4.8029999999999999</v>
      </c>
      <c r="BC126">
        <v>4.7640000000000002</v>
      </c>
      <c r="BD126">
        <v>4.7279999999999998</v>
      </c>
      <c r="BE126">
        <v>4.7750000000000004</v>
      </c>
      <c r="BF126">
        <v>4.851</v>
      </c>
      <c r="BG126">
        <v>4.9379999999999997</v>
      </c>
      <c r="BH126">
        <v>5.0289999999999999</v>
      </c>
      <c r="BI126">
        <v>5.0780000000000003</v>
      </c>
      <c r="BJ126">
        <v>5.2469999999999999</v>
      </c>
      <c r="BK126">
        <v>5.4649999999999999</v>
      </c>
      <c r="BL126">
        <v>5.6070000000000002</v>
      </c>
    </row>
    <row r="127" spans="1:64" x14ac:dyDescent="0.25">
      <c r="A127">
        <v>4.0369999999999999</v>
      </c>
      <c r="B127">
        <v>4.0419999999999998</v>
      </c>
      <c r="C127">
        <v>4.0129999999999999</v>
      </c>
      <c r="D127">
        <v>3.9159999999999999</v>
      </c>
      <c r="E127">
        <v>3.9060000000000001</v>
      </c>
      <c r="F127">
        <v>3.8719999999999999</v>
      </c>
      <c r="G127">
        <v>3.83</v>
      </c>
      <c r="H127">
        <v>3.8069999999999999</v>
      </c>
      <c r="I127">
        <v>3.8</v>
      </c>
      <c r="J127">
        <v>3.78</v>
      </c>
      <c r="K127">
        <v>3.746</v>
      </c>
      <c r="L127">
        <v>3.766</v>
      </c>
      <c r="M127">
        <v>3.7949999999999999</v>
      </c>
      <c r="N127">
        <v>3.8580000000000001</v>
      </c>
      <c r="O127">
        <v>3.8410000000000002</v>
      </c>
      <c r="P127">
        <v>3.903</v>
      </c>
      <c r="Q127">
        <v>3.8959999999999999</v>
      </c>
      <c r="R127">
        <v>3.9329999999999998</v>
      </c>
      <c r="S127">
        <v>3.923</v>
      </c>
      <c r="T127">
        <v>4.01</v>
      </c>
      <c r="U127">
        <v>4.0449999999999999</v>
      </c>
      <c r="V127">
        <v>4.12</v>
      </c>
      <c r="W127">
        <v>4.1219999999999999</v>
      </c>
      <c r="X127">
        <v>4.141</v>
      </c>
      <c r="Y127">
        <v>4.1529999999999996</v>
      </c>
      <c r="Z127">
        <v>4.1749999999999998</v>
      </c>
      <c r="AA127">
        <v>4.1760000000000002</v>
      </c>
      <c r="AB127">
        <v>4.1740000000000004</v>
      </c>
      <c r="AC127">
        <v>4.2460000000000004</v>
      </c>
      <c r="AD127">
        <v>4.2489999999999997</v>
      </c>
      <c r="AE127">
        <v>4.3140000000000001</v>
      </c>
      <c r="AF127">
        <v>4.306</v>
      </c>
      <c r="AG127">
        <v>4.282</v>
      </c>
      <c r="AH127">
        <v>4.3319999999999999</v>
      </c>
      <c r="AI127">
        <v>4.3470000000000004</v>
      </c>
      <c r="AJ127">
        <v>4.3339999999999996</v>
      </c>
      <c r="AK127">
        <v>4.3070000000000004</v>
      </c>
      <c r="AL127">
        <v>4.3890000000000002</v>
      </c>
      <c r="AM127">
        <v>4.3849999999999998</v>
      </c>
      <c r="AN127">
        <v>4.3869999999999996</v>
      </c>
      <c r="AO127">
        <v>4.4249999999999998</v>
      </c>
      <c r="AP127">
        <v>4.5149999999999997</v>
      </c>
      <c r="AQ127">
        <v>4.5609999999999999</v>
      </c>
      <c r="AR127">
        <v>4.556</v>
      </c>
      <c r="AS127">
        <v>4.5810000000000004</v>
      </c>
      <c r="AT127">
        <v>4.5810000000000004</v>
      </c>
      <c r="AU127">
        <v>4.5739999999999998</v>
      </c>
      <c r="AV127">
        <v>4.6539999999999999</v>
      </c>
      <c r="AW127">
        <v>4.6920000000000002</v>
      </c>
      <c r="AX127">
        <v>4.7229999999999999</v>
      </c>
      <c r="AY127">
        <v>4.7649999999999997</v>
      </c>
      <c r="AZ127">
        <v>4.7949999999999999</v>
      </c>
      <c r="BA127">
        <v>4.7859999999999996</v>
      </c>
      <c r="BB127">
        <v>4.8019999999999996</v>
      </c>
      <c r="BC127">
        <v>4.8</v>
      </c>
      <c r="BD127">
        <v>4.8609999999999998</v>
      </c>
      <c r="BE127">
        <v>4.851</v>
      </c>
      <c r="BF127">
        <v>4.9770000000000003</v>
      </c>
      <c r="BG127">
        <v>5.0629999999999997</v>
      </c>
      <c r="BH127">
        <v>5.0780000000000003</v>
      </c>
      <c r="BI127">
        <v>5.1970000000000001</v>
      </c>
      <c r="BJ127">
        <v>5.3369999999999997</v>
      </c>
      <c r="BK127">
        <v>5.4459999999999997</v>
      </c>
      <c r="BL127">
        <v>5.625</v>
      </c>
    </row>
    <row r="128" spans="1:64" x14ac:dyDescent="0.25">
      <c r="A128">
        <v>3.9489999999999998</v>
      </c>
      <c r="B128">
        <v>4.0209999999999999</v>
      </c>
      <c r="C128">
        <v>4.0060000000000002</v>
      </c>
      <c r="D128">
        <v>3.8340000000000001</v>
      </c>
      <c r="E128">
        <v>3.7570000000000001</v>
      </c>
      <c r="F128">
        <v>3.7679999999999998</v>
      </c>
      <c r="G128">
        <v>3.762</v>
      </c>
      <c r="H128">
        <v>3.6970000000000001</v>
      </c>
      <c r="I128">
        <v>3.7559999999999998</v>
      </c>
      <c r="J128">
        <v>3.72</v>
      </c>
      <c r="K128">
        <v>3.7360000000000002</v>
      </c>
      <c r="L128">
        <v>3.758</v>
      </c>
      <c r="M128">
        <v>3.7719999999999998</v>
      </c>
      <c r="N128">
        <v>3.7589999999999999</v>
      </c>
      <c r="O128">
        <v>3.85</v>
      </c>
      <c r="P128">
        <v>3.8159999999999998</v>
      </c>
      <c r="Q128">
        <v>3.8929999999999998</v>
      </c>
      <c r="R128">
        <v>3.9239999999999999</v>
      </c>
      <c r="S128">
        <v>3.9089999999999998</v>
      </c>
      <c r="T128">
        <v>3.9580000000000002</v>
      </c>
      <c r="U128">
        <v>4.0970000000000004</v>
      </c>
      <c r="V128">
        <v>4.149</v>
      </c>
      <c r="W128">
        <v>4.133</v>
      </c>
      <c r="X128">
        <v>4.1970000000000001</v>
      </c>
      <c r="Y128">
        <v>4.3010000000000002</v>
      </c>
      <c r="Z128">
        <v>4.26</v>
      </c>
      <c r="AA128">
        <v>4.1859999999999999</v>
      </c>
      <c r="AB128">
        <v>4.2759999999999998</v>
      </c>
      <c r="AC128">
        <v>4.3449999999999998</v>
      </c>
      <c r="AD128">
        <v>4.3380000000000001</v>
      </c>
      <c r="AE128">
        <v>4.33</v>
      </c>
      <c r="AF128">
        <v>4.3129999999999997</v>
      </c>
      <c r="AG128">
        <v>4.3739999999999997</v>
      </c>
      <c r="AH128">
        <v>4.4219999999999997</v>
      </c>
      <c r="AI128">
        <v>4.3739999999999997</v>
      </c>
      <c r="AJ128">
        <v>4.415</v>
      </c>
      <c r="AK128">
        <v>4.4139999999999997</v>
      </c>
      <c r="AL128">
        <v>4.4169999999999998</v>
      </c>
      <c r="AM128">
        <v>4.4539999999999997</v>
      </c>
      <c r="AN128">
        <v>4.4109999999999996</v>
      </c>
      <c r="AO128">
        <v>4.4329999999999998</v>
      </c>
      <c r="AP128">
        <v>4.49</v>
      </c>
      <c r="AQ128">
        <v>4.5999999999999996</v>
      </c>
      <c r="AR128">
        <v>4.5750000000000002</v>
      </c>
      <c r="AS128">
        <v>4.625</v>
      </c>
      <c r="AT128">
        <v>4.6399999999999997</v>
      </c>
      <c r="AU128">
        <v>4.5810000000000004</v>
      </c>
      <c r="AV128">
        <v>4.6310000000000002</v>
      </c>
      <c r="AW128">
        <v>4.6619999999999999</v>
      </c>
      <c r="AX128">
        <v>4.7290000000000001</v>
      </c>
      <c r="AY128">
        <v>4.7450000000000001</v>
      </c>
      <c r="AZ128">
        <v>4.7789999999999999</v>
      </c>
      <c r="BA128">
        <v>4.7910000000000004</v>
      </c>
      <c r="BB128">
        <v>4.8470000000000004</v>
      </c>
      <c r="BC128">
        <v>4.9539999999999997</v>
      </c>
      <c r="BD128">
        <v>4.9420000000000002</v>
      </c>
      <c r="BE128">
        <v>4.9740000000000002</v>
      </c>
      <c r="BF128">
        <v>5.0279999999999996</v>
      </c>
      <c r="BG128">
        <v>5.157</v>
      </c>
      <c r="BH128">
        <v>5.27</v>
      </c>
      <c r="BI128">
        <v>5.3019999999999996</v>
      </c>
      <c r="BJ128">
        <v>5.3840000000000003</v>
      </c>
      <c r="BK128">
        <v>5.4930000000000003</v>
      </c>
      <c r="BL128">
        <v>5.6609999999999996</v>
      </c>
    </row>
    <row r="129" spans="1:64" x14ac:dyDescent="0.25">
      <c r="A129">
        <v>3.952</v>
      </c>
      <c r="B129">
        <v>3.9809999999999999</v>
      </c>
      <c r="C129">
        <v>3.8719999999999999</v>
      </c>
      <c r="D129">
        <v>3.82</v>
      </c>
      <c r="E129">
        <v>3.7869999999999999</v>
      </c>
      <c r="F129">
        <v>3.7629999999999999</v>
      </c>
      <c r="G129">
        <v>3.7120000000000002</v>
      </c>
      <c r="H129">
        <v>3.625</v>
      </c>
      <c r="I129">
        <v>3.6080000000000001</v>
      </c>
      <c r="J129">
        <v>3.6659999999999999</v>
      </c>
      <c r="K129">
        <v>3.6520000000000001</v>
      </c>
      <c r="L129">
        <v>3.7149999999999999</v>
      </c>
      <c r="M129">
        <v>3.7610000000000001</v>
      </c>
      <c r="N129">
        <v>3.7250000000000001</v>
      </c>
      <c r="O129">
        <v>3.7149999999999999</v>
      </c>
      <c r="P129">
        <v>3.7749999999999999</v>
      </c>
      <c r="Q129">
        <v>3.794</v>
      </c>
      <c r="R129">
        <v>3.8460000000000001</v>
      </c>
      <c r="S129">
        <v>3.8929999999999998</v>
      </c>
      <c r="T129">
        <v>3.988</v>
      </c>
      <c r="U129">
        <v>4.056</v>
      </c>
      <c r="V129">
        <v>4.117</v>
      </c>
      <c r="W129">
        <v>4.2050000000000001</v>
      </c>
      <c r="X129">
        <v>4.2549999999999999</v>
      </c>
      <c r="Y129">
        <v>4.28</v>
      </c>
      <c r="Z129">
        <v>4.2729999999999997</v>
      </c>
      <c r="AA129">
        <v>4.2770000000000001</v>
      </c>
      <c r="AB129">
        <v>4.2699999999999996</v>
      </c>
      <c r="AC129">
        <v>4.3840000000000003</v>
      </c>
      <c r="AD129">
        <v>4.4279999999999999</v>
      </c>
      <c r="AE129">
        <v>4.4219999999999997</v>
      </c>
      <c r="AF129">
        <v>4.4290000000000003</v>
      </c>
      <c r="AG129">
        <v>4.49</v>
      </c>
      <c r="AH129">
        <v>4.42</v>
      </c>
      <c r="AI129">
        <v>4.4580000000000002</v>
      </c>
      <c r="AJ129">
        <v>4.4450000000000003</v>
      </c>
      <c r="AK129">
        <v>4.4329999999999998</v>
      </c>
      <c r="AL129">
        <v>4.4390000000000001</v>
      </c>
      <c r="AM129">
        <v>4.4029999999999996</v>
      </c>
      <c r="AN129">
        <v>4.4610000000000003</v>
      </c>
      <c r="AO129">
        <v>4.4859999999999998</v>
      </c>
      <c r="AP129">
        <v>4.5449999999999999</v>
      </c>
      <c r="AQ129">
        <v>4.5970000000000004</v>
      </c>
      <c r="AR129">
        <v>4.5590000000000002</v>
      </c>
      <c r="AS129">
        <v>4.5720000000000001</v>
      </c>
      <c r="AT129">
        <v>4.6139999999999999</v>
      </c>
      <c r="AU129">
        <v>4.625</v>
      </c>
      <c r="AV129">
        <v>4.681</v>
      </c>
      <c r="AW129">
        <v>4.7350000000000003</v>
      </c>
      <c r="AX129">
        <v>4.681</v>
      </c>
      <c r="AY129">
        <v>4.7869999999999999</v>
      </c>
      <c r="AZ129">
        <v>4.7960000000000003</v>
      </c>
      <c r="BA129">
        <v>4.843</v>
      </c>
      <c r="BB129">
        <v>4.9130000000000003</v>
      </c>
      <c r="BC129">
        <v>4.9619999999999997</v>
      </c>
      <c r="BD129">
        <v>5.0019999999999998</v>
      </c>
      <c r="BE129">
        <v>5.0389999999999997</v>
      </c>
      <c r="BF129">
        <v>5.1920000000000002</v>
      </c>
      <c r="BG129">
        <v>5.23</v>
      </c>
      <c r="BH129">
        <v>5.3659999999999997</v>
      </c>
      <c r="BI129">
        <v>5.4160000000000004</v>
      </c>
      <c r="BJ129">
        <v>5.5129999999999999</v>
      </c>
      <c r="BK129">
        <v>5.548</v>
      </c>
      <c r="BL129">
        <v>5.673</v>
      </c>
    </row>
    <row r="131" spans="1:64" x14ac:dyDescent="0.25">
      <c r="A131">
        <v>50</v>
      </c>
      <c r="B131">
        <v>50</v>
      </c>
      <c r="C131">
        <v>50</v>
      </c>
      <c r="D131">
        <v>50</v>
      </c>
      <c r="E131">
        <v>50</v>
      </c>
      <c r="F131">
        <v>50</v>
      </c>
      <c r="G131">
        <v>50</v>
      </c>
      <c r="H131">
        <v>50</v>
      </c>
      <c r="I131">
        <v>50</v>
      </c>
      <c r="J131">
        <v>50</v>
      </c>
      <c r="K131">
        <v>50</v>
      </c>
      <c r="L131">
        <v>50</v>
      </c>
      <c r="M131">
        <v>50</v>
      </c>
      <c r="N131">
        <v>50</v>
      </c>
      <c r="O131">
        <v>50</v>
      </c>
      <c r="P131">
        <v>50</v>
      </c>
      <c r="Q131">
        <v>50</v>
      </c>
      <c r="R131">
        <v>50</v>
      </c>
      <c r="S131">
        <v>50</v>
      </c>
      <c r="T131">
        <v>50</v>
      </c>
      <c r="U131">
        <v>50</v>
      </c>
      <c r="V131">
        <v>50</v>
      </c>
      <c r="W131">
        <v>50</v>
      </c>
      <c r="X131">
        <v>50</v>
      </c>
      <c r="Y131">
        <v>50</v>
      </c>
      <c r="Z131">
        <v>50</v>
      </c>
      <c r="AA131">
        <v>50</v>
      </c>
      <c r="AB131">
        <v>50</v>
      </c>
      <c r="AC131">
        <v>50</v>
      </c>
      <c r="AD131">
        <v>50</v>
      </c>
      <c r="AE131">
        <v>50</v>
      </c>
      <c r="AF131">
        <v>50</v>
      </c>
      <c r="AG131">
        <v>50</v>
      </c>
      <c r="AH131">
        <v>50</v>
      </c>
      <c r="AI131">
        <v>50</v>
      </c>
      <c r="AJ131">
        <v>50</v>
      </c>
      <c r="AK131">
        <v>50</v>
      </c>
      <c r="AL131">
        <v>50</v>
      </c>
      <c r="AM131">
        <v>50</v>
      </c>
      <c r="AN131">
        <v>50</v>
      </c>
      <c r="AO131">
        <v>50</v>
      </c>
      <c r="AP131">
        <v>50</v>
      </c>
      <c r="AQ131">
        <v>50</v>
      </c>
      <c r="AR131">
        <v>50</v>
      </c>
      <c r="AS131">
        <v>50</v>
      </c>
      <c r="AT131">
        <v>50</v>
      </c>
      <c r="AU131">
        <v>50</v>
      </c>
      <c r="AV131">
        <v>50</v>
      </c>
      <c r="AW131">
        <v>50</v>
      </c>
      <c r="AX131">
        <v>50</v>
      </c>
      <c r="AY131">
        <v>50</v>
      </c>
      <c r="AZ131">
        <v>50</v>
      </c>
      <c r="BA131">
        <v>50</v>
      </c>
      <c r="BB131">
        <v>50</v>
      </c>
      <c r="BC131">
        <v>50</v>
      </c>
      <c r="BD131">
        <v>50</v>
      </c>
      <c r="BE131">
        <v>50</v>
      </c>
      <c r="BF131">
        <v>50</v>
      </c>
      <c r="BG131">
        <v>50</v>
      </c>
      <c r="BH131">
        <v>50</v>
      </c>
      <c r="BI131">
        <v>50</v>
      </c>
      <c r="BJ131">
        <v>50</v>
      </c>
      <c r="BK131">
        <v>50</v>
      </c>
      <c r="BL131">
        <v>50</v>
      </c>
    </row>
    <row r="132" spans="1:64" x14ac:dyDescent="0.25">
      <c r="A132">
        <v>49.902000000000001</v>
      </c>
      <c r="B132">
        <v>49.902000000000001</v>
      </c>
      <c r="C132">
        <v>49.902000000000001</v>
      </c>
      <c r="D132">
        <v>49.902000000000001</v>
      </c>
      <c r="E132">
        <v>49.902000000000001</v>
      </c>
      <c r="F132">
        <v>49.902000000000001</v>
      </c>
      <c r="G132">
        <v>49.902000000000001</v>
      </c>
      <c r="H132">
        <v>49.902000000000001</v>
      </c>
      <c r="I132">
        <v>49.902000000000001</v>
      </c>
      <c r="J132">
        <v>49.902000000000001</v>
      </c>
      <c r="K132">
        <v>49.902000000000001</v>
      </c>
      <c r="L132">
        <v>49.902000000000001</v>
      </c>
      <c r="M132">
        <v>49.902000000000001</v>
      </c>
      <c r="N132">
        <v>49.902000000000001</v>
      </c>
      <c r="O132">
        <v>49.902000000000001</v>
      </c>
      <c r="P132">
        <v>49.902000000000001</v>
      </c>
      <c r="Q132">
        <v>49.902000000000001</v>
      </c>
      <c r="R132">
        <v>49.902000000000001</v>
      </c>
      <c r="S132">
        <v>49.902000000000001</v>
      </c>
      <c r="T132">
        <v>49.902000000000001</v>
      </c>
      <c r="U132">
        <v>49.902000000000001</v>
      </c>
      <c r="V132">
        <v>49.902000000000001</v>
      </c>
      <c r="W132">
        <v>49.902000000000001</v>
      </c>
      <c r="X132">
        <v>49.902000000000001</v>
      </c>
      <c r="Y132">
        <v>49.902000000000001</v>
      </c>
      <c r="Z132">
        <v>49.902000000000001</v>
      </c>
      <c r="AA132">
        <v>49.902000000000001</v>
      </c>
      <c r="AB132">
        <v>49.902000000000001</v>
      </c>
      <c r="AC132">
        <v>49.902000000000001</v>
      </c>
      <c r="AD132">
        <v>49.902000000000001</v>
      </c>
      <c r="AE132">
        <v>49.902000000000001</v>
      </c>
      <c r="AF132">
        <v>49.902000000000001</v>
      </c>
      <c r="AG132">
        <v>49.902000000000001</v>
      </c>
      <c r="AH132">
        <v>49.902000000000001</v>
      </c>
      <c r="AI132">
        <v>49.902000000000001</v>
      </c>
      <c r="AJ132">
        <v>49.902000000000001</v>
      </c>
      <c r="AK132">
        <v>49.902000000000001</v>
      </c>
      <c r="AL132">
        <v>49.902000000000001</v>
      </c>
      <c r="AM132">
        <v>49.902000000000001</v>
      </c>
      <c r="AN132">
        <v>49.902000000000001</v>
      </c>
      <c r="AO132">
        <v>49.902000000000001</v>
      </c>
      <c r="AP132">
        <v>49.902000000000001</v>
      </c>
      <c r="AQ132">
        <v>49.902000000000001</v>
      </c>
      <c r="AR132">
        <v>49.902000000000001</v>
      </c>
      <c r="AS132">
        <v>49.902000000000001</v>
      </c>
      <c r="AT132">
        <v>49.902000000000001</v>
      </c>
      <c r="AU132">
        <v>49.902000000000001</v>
      </c>
      <c r="AV132">
        <v>49.902000000000001</v>
      </c>
      <c r="AW132">
        <v>49.902000000000001</v>
      </c>
      <c r="AX132">
        <v>49.902000000000001</v>
      </c>
      <c r="AY132">
        <v>49.902000000000001</v>
      </c>
      <c r="AZ132">
        <v>49.902000000000001</v>
      </c>
      <c r="BA132">
        <v>49.902000000000001</v>
      </c>
      <c r="BB132">
        <v>49.902000000000001</v>
      </c>
      <c r="BC132">
        <v>49.902000000000001</v>
      </c>
      <c r="BD132">
        <v>49.902000000000001</v>
      </c>
      <c r="BE132">
        <v>49.902000000000001</v>
      </c>
      <c r="BF132">
        <v>49.902000000000001</v>
      </c>
      <c r="BG132">
        <v>49.902000000000001</v>
      </c>
      <c r="BH132">
        <v>49.902000000000001</v>
      </c>
      <c r="BI132">
        <v>49.902000000000001</v>
      </c>
      <c r="BJ132">
        <v>49.902000000000001</v>
      </c>
      <c r="BK132">
        <v>49.902000000000001</v>
      </c>
      <c r="BL132">
        <v>49.902000000000001</v>
      </c>
    </row>
    <row r="133" spans="1:64" x14ac:dyDescent="0.25">
      <c r="A133">
        <v>49.805</v>
      </c>
      <c r="B133">
        <v>49.805</v>
      </c>
      <c r="C133">
        <v>49.805</v>
      </c>
      <c r="D133">
        <v>49.805</v>
      </c>
      <c r="E133">
        <v>49.805</v>
      </c>
      <c r="F133">
        <v>49.805</v>
      </c>
      <c r="G133">
        <v>49.805</v>
      </c>
      <c r="H133">
        <v>49.805</v>
      </c>
      <c r="I133">
        <v>49.805</v>
      </c>
      <c r="J133">
        <v>49.805</v>
      </c>
      <c r="K133">
        <v>49.805</v>
      </c>
      <c r="L133">
        <v>49.805</v>
      </c>
      <c r="M133">
        <v>49.805</v>
      </c>
      <c r="N133">
        <v>49.805</v>
      </c>
      <c r="O133">
        <v>49.805</v>
      </c>
      <c r="P133">
        <v>49.805</v>
      </c>
      <c r="Q133">
        <v>49.805</v>
      </c>
      <c r="R133">
        <v>49.805</v>
      </c>
      <c r="S133">
        <v>49.805</v>
      </c>
      <c r="T133">
        <v>49.805</v>
      </c>
      <c r="U133">
        <v>49.805</v>
      </c>
      <c r="V133">
        <v>49.805</v>
      </c>
      <c r="W133">
        <v>49.805</v>
      </c>
      <c r="X133">
        <v>49.805</v>
      </c>
      <c r="Y133">
        <v>49.805</v>
      </c>
      <c r="Z133">
        <v>49.805</v>
      </c>
      <c r="AA133">
        <v>49.805</v>
      </c>
      <c r="AB133">
        <v>49.805</v>
      </c>
      <c r="AC133">
        <v>49.805</v>
      </c>
      <c r="AD133">
        <v>49.805</v>
      </c>
      <c r="AE133">
        <v>49.805</v>
      </c>
      <c r="AF133">
        <v>49.805</v>
      </c>
      <c r="AG133">
        <v>49.805</v>
      </c>
      <c r="AH133">
        <v>49.805</v>
      </c>
      <c r="AI133">
        <v>49.805</v>
      </c>
      <c r="AJ133">
        <v>49.805</v>
      </c>
      <c r="AK133">
        <v>49.805</v>
      </c>
      <c r="AL133">
        <v>49.805</v>
      </c>
      <c r="AM133">
        <v>49.805</v>
      </c>
      <c r="AN133">
        <v>49.805</v>
      </c>
      <c r="AO133">
        <v>49.805</v>
      </c>
      <c r="AP133">
        <v>49.805</v>
      </c>
      <c r="AQ133">
        <v>49.805</v>
      </c>
      <c r="AR133">
        <v>49.805</v>
      </c>
      <c r="AS133">
        <v>49.805</v>
      </c>
      <c r="AT133">
        <v>49.805</v>
      </c>
      <c r="AU133">
        <v>49.805</v>
      </c>
      <c r="AV133">
        <v>49.805</v>
      </c>
      <c r="AW133">
        <v>49.805</v>
      </c>
      <c r="AX133">
        <v>49.805</v>
      </c>
      <c r="AY133">
        <v>49.805</v>
      </c>
      <c r="AZ133">
        <v>49.805</v>
      </c>
      <c r="BA133">
        <v>49.805</v>
      </c>
      <c r="BB133">
        <v>49.805</v>
      </c>
      <c r="BC133">
        <v>49.805</v>
      </c>
      <c r="BD133">
        <v>49.805</v>
      </c>
      <c r="BE133">
        <v>49.805</v>
      </c>
      <c r="BF133">
        <v>49.805</v>
      </c>
      <c r="BG133">
        <v>49.805</v>
      </c>
      <c r="BH133">
        <v>49.805</v>
      </c>
      <c r="BI133">
        <v>49.805</v>
      </c>
      <c r="BJ133">
        <v>49.805</v>
      </c>
      <c r="BK133">
        <v>49.805</v>
      </c>
      <c r="BL133">
        <v>49.805</v>
      </c>
    </row>
    <row r="134" spans="1:64" x14ac:dyDescent="0.25">
      <c r="A134">
        <v>49.707000000000001</v>
      </c>
      <c r="B134">
        <v>49.707000000000001</v>
      </c>
      <c r="C134">
        <v>49.707000000000001</v>
      </c>
      <c r="D134">
        <v>49.707000000000001</v>
      </c>
      <c r="E134">
        <v>49.707000000000001</v>
      </c>
      <c r="F134">
        <v>49.707000000000001</v>
      </c>
      <c r="G134">
        <v>49.707000000000001</v>
      </c>
      <c r="H134">
        <v>49.707000000000001</v>
      </c>
      <c r="I134">
        <v>49.707000000000001</v>
      </c>
      <c r="J134">
        <v>49.707000000000001</v>
      </c>
      <c r="K134">
        <v>49.707000000000001</v>
      </c>
      <c r="L134">
        <v>49.707000000000001</v>
      </c>
      <c r="M134">
        <v>49.707000000000001</v>
      </c>
      <c r="N134">
        <v>49.707000000000001</v>
      </c>
      <c r="O134">
        <v>49.707000000000001</v>
      </c>
      <c r="P134">
        <v>49.707000000000001</v>
      </c>
      <c r="Q134">
        <v>49.707000000000001</v>
      </c>
      <c r="R134">
        <v>49.707000000000001</v>
      </c>
      <c r="S134">
        <v>49.707000000000001</v>
      </c>
      <c r="T134">
        <v>49.707000000000001</v>
      </c>
      <c r="U134">
        <v>49.707000000000001</v>
      </c>
      <c r="V134">
        <v>49.707000000000001</v>
      </c>
      <c r="W134">
        <v>49.707000000000001</v>
      </c>
      <c r="X134">
        <v>49.707000000000001</v>
      </c>
      <c r="Y134">
        <v>49.707000000000001</v>
      </c>
      <c r="Z134">
        <v>49.707000000000001</v>
      </c>
      <c r="AA134">
        <v>49.707000000000001</v>
      </c>
      <c r="AB134">
        <v>49.707000000000001</v>
      </c>
      <c r="AC134">
        <v>49.707000000000001</v>
      </c>
      <c r="AD134">
        <v>49.707000000000001</v>
      </c>
      <c r="AE134">
        <v>49.707000000000001</v>
      </c>
      <c r="AF134">
        <v>49.707000000000001</v>
      </c>
      <c r="AG134">
        <v>49.707000000000001</v>
      </c>
      <c r="AH134">
        <v>49.707000000000001</v>
      </c>
      <c r="AI134">
        <v>49.707000000000001</v>
      </c>
      <c r="AJ134">
        <v>49.707000000000001</v>
      </c>
      <c r="AK134">
        <v>49.707000000000001</v>
      </c>
      <c r="AL134">
        <v>49.707000000000001</v>
      </c>
      <c r="AM134">
        <v>49.707000000000001</v>
      </c>
      <c r="AN134">
        <v>49.707000000000001</v>
      </c>
      <c r="AO134">
        <v>49.707000000000001</v>
      </c>
      <c r="AP134">
        <v>49.707000000000001</v>
      </c>
      <c r="AQ134">
        <v>49.707000000000001</v>
      </c>
      <c r="AR134">
        <v>49.707000000000001</v>
      </c>
      <c r="AS134">
        <v>49.707000000000001</v>
      </c>
      <c r="AT134">
        <v>49.707000000000001</v>
      </c>
      <c r="AU134">
        <v>49.707000000000001</v>
      </c>
      <c r="AV134">
        <v>49.707000000000001</v>
      </c>
      <c r="AW134">
        <v>49.707000000000001</v>
      </c>
      <c r="AX134">
        <v>49.707000000000001</v>
      </c>
      <c r="AY134">
        <v>49.707000000000001</v>
      </c>
      <c r="AZ134">
        <v>49.707000000000001</v>
      </c>
      <c r="BA134">
        <v>49.707000000000001</v>
      </c>
      <c r="BB134">
        <v>49.707000000000001</v>
      </c>
      <c r="BC134">
        <v>49.707000000000001</v>
      </c>
      <c r="BD134">
        <v>49.707000000000001</v>
      </c>
      <c r="BE134">
        <v>49.707000000000001</v>
      </c>
      <c r="BF134">
        <v>49.707000000000001</v>
      </c>
      <c r="BG134">
        <v>49.707000000000001</v>
      </c>
      <c r="BH134">
        <v>49.707000000000001</v>
      </c>
      <c r="BI134">
        <v>49.707000000000001</v>
      </c>
      <c r="BJ134">
        <v>49.707000000000001</v>
      </c>
      <c r="BK134">
        <v>49.707000000000001</v>
      </c>
      <c r="BL134">
        <v>49.707000000000001</v>
      </c>
    </row>
    <row r="135" spans="1:64" x14ac:dyDescent="0.25">
      <c r="A135">
        <v>49.609000000000002</v>
      </c>
      <c r="B135">
        <v>49.609000000000002</v>
      </c>
      <c r="C135">
        <v>49.609000000000002</v>
      </c>
      <c r="D135">
        <v>49.609000000000002</v>
      </c>
      <c r="E135">
        <v>49.609000000000002</v>
      </c>
      <c r="F135">
        <v>49.609000000000002</v>
      </c>
      <c r="G135">
        <v>49.609000000000002</v>
      </c>
      <c r="H135">
        <v>49.609000000000002</v>
      </c>
      <c r="I135">
        <v>49.609000000000002</v>
      </c>
      <c r="J135">
        <v>49.609000000000002</v>
      </c>
      <c r="K135">
        <v>49.609000000000002</v>
      </c>
      <c r="L135">
        <v>49.609000000000002</v>
      </c>
      <c r="M135">
        <v>49.609000000000002</v>
      </c>
      <c r="N135">
        <v>49.609000000000002</v>
      </c>
      <c r="O135">
        <v>49.609000000000002</v>
      </c>
      <c r="P135">
        <v>49.609000000000002</v>
      </c>
      <c r="Q135">
        <v>49.609000000000002</v>
      </c>
      <c r="R135">
        <v>49.609000000000002</v>
      </c>
      <c r="S135">
        <v>49.609000000000002</v>
      </c>
      <c r="T135">
        <v>49.609000000000002</v>
      </c>
      <c r="U135">
        <v>49.609000000000002</v>
      </c>
      <c r="V135">
        <v>49.609000000000002</v>
      </c>
      <c r="W135">
        <v>49.609000000000002</v>
      </c>
      <c r="X135">
        <v>49.609000000000002</v>
      </c>
      <c r="Y135">
        <v>49.609000000000002</v>
      </c>
      <c r="Z135">
        <v>49.609000000000002</v>
      </c>
      <c r="AA135">
        <v>49.609000000000002</v>
      </c>
      <c r="AB135">
        <v>49.609000000000002</v>
      </c>
      <c r="AC135">
        <v>49.609000000000002</v>
      </c>
      <c r="AD135">
        <v>49.609000000000002</v>
      </c>
      <c r="AE135">
        <v>49.609000000000002</v>
      </c>
      <c r="AF135">
        <v>49.609000000000002</v>
      </c>
      <c r="AG135">
        <v>49.609000000000002</v>
      </c>
      <c r="AH135">
        <v>49.609000000000002</v>
      </c>
      <c r="AI135">
        <v>49.609000000000002</v>
      </c>
      <c r="AJ135">
        <v>49.609000000000002</v>
      </c>
      <c r="AK135">
        <v>49.609000000000002</v>
      </c>
      <c r="AL135">
        <v>49.609000000000002</v>
      </c>
      <c r="AM135">
        <v>49.609000000000002</v>
      </c>
      <c r="AN135">
        <v>49.609000000000002</v>
      </c>
      <c r="AO135">
        <v>49.609000000000002</v>
      </c>
      <c r="AP135">
        <v>49.609000000000002</v>
      </c>
      <c r="AQ135">
        <v>49.609000000000002</v>
      </c>
      <c r="AR135">
        <v>49.609000000000002</v>
      </c>
      <c r="AS135">
        <v>49.609000000000002</v>
      </c>
      <c r="AT135">
        <v>49.609000000000002</v>
      </c>
      <c r="AU135">
        <v>49.609000000000002</v>
      </c>
      <c r="AV135">
        <v>49.609000000000002</v>
      </c>
      <c r="AW135">
        <v>49.609000000000002</v>
      </c>
      <c r="AX135">
        <v>49.609000000000002</v>
      </c>
      <c r="AY135">
        <v>49.609000000000002</v>
      </c>
      <c r="AZ135">
        <v>49.609000000000002</v>
      </c>
      <c r="BA135">
        <v>49.609000000000002</v>
      </c>
      <c r="BB135">
        <v>49.609000000000002</v>
      </c>
      <c r="BC135">
        <v>49.609000000000002</v>
      </c>
      <c r="BD135">
        <v>49.609000000000002</v>
      </c>
      <c r="BE135">
        <v>49.609000000000002</v>
      </c>
      <c r="BF135">
        <v>49.609000000000002</v>
      </c>
      <c r="BG135">
        <v>49.609000000000002</v>
      </c>
      <c r="BH135">
        <v>49.609000000000002</v>
      </c>
      <c r="BI135">
        <v>49.609000000000002</v>
      </c>
      <c r="BJ135">
        <v>49.609000000000002</v>
      </c>
      <c r="BK135">
        <v>49.609000000000002</v>
      </c>
      <c r="BL135">
        <v>49.609000000000002</v>
      </c>
    </row>
    <row r="136" spans="1:64" x14ac:dyDescent="0.25">
      <c r="A136">
        <v>49.512</v>
      </c>
      <c r="B136">
        <v>49.512</v>
      </c>
      <c r="C136">
        <v>49.512</v>
      </c>
      <c r="D136">
        <v>49.512</v>
      </c>
      <c r="E136">
        <v>49.512</v>
      </c>
      <c r="F136">
        <v>49.512</v>
      </c>
      <c r="G136">
        <v>49.512</v>
      </c>
      <c r="H136">
        <v>49.512</v>
      </c>
      <c r="I136">
        <v>49.512</v>
      </c>
      <c r="J136">
        <v>49.512</v>
      </c>
      <c r="K136">
        <v>49.512</v>
      </c>
      <c r="L136">
        <v>49.512</v>
      </c>
      <c r="M136">
        <v>49.512</v>
      </c>
      <c r="N136">
        <v>49.512</v>
      </c>
      <c r="O136">
        <v>49.512</v>
      </c>
      <c r="P136">
        <v>49.512</v>
      </c>
      <c r="Q136">
        <v>49.512</v>
      </c>
      <c r="R136">
        <v>49.512</v>
      </c>
      <c r="S136">
        <v>49.512</v>
      </c>
      <c r="T136">
        <v>49.512</v>
      </c>
      <c r="U136">
        <v>49.512</v>
      </c>
      <c r="V136">
        <v>49.512</v>
      </c>
      <c r="W136">
        <v>49.512</v>
      </c>
      <c r="X136">
        <v>49.512</v>
      </c>
      <c r="Y136">
        <v>49.512</v>
      </c>
      <c r="Z136">
        <v>49.512</v>
      </c>
      <c r="AA136">
        <v>49.512</v>
      </c>
      <c r="AB136">
        <v>49.512</v>
      </c>
      <c r="AC136">
        <v>49.512</v>
      </c>
      <c r="AD136">
        <v>49.512</v>
      </c>
      <c r="AE136">
        <v>49.512</v>
      </c>
      <c r="AF136">
        <v>49.512</v>
      </c>
      <c r="AG136">
        <v>49.512</v>
      </c>
      <c r="AH136">
        <v>49.512</v>
      </c>
      <c r="AI136">
        <v>49.512</v>
      </c>
      <c r="AJ136">
        <v>49.512</v>
      </c>
      <c r="AK136">
        <v>49.512</v>
      </c>
      <c r="AL136">
        <v>49.512</v>
      </c>
      <c r="AM136">
        <v>49.512</v>
      </c>
      <c r="AN136">
        <v>49.512</v>
      </c>
      <c r="AO136">
        <v>49.512</v>
      </c>
      <c r="AP136">
        <v>49.512</v>
      </c>
      <c r="AQ136">
        <v>49.512</v>
      </c>
      <c r="AR136">
        <v>49.512</v>
      </c>
      <c r="AS136">
        <v>49.512</v>
      </c>
      <c r="AT136">
        <v>49.512</v>
      </c>
      <c r="AU136">
        <v>49.512</v>
      </c>
      <c r="AV136">
        <v>49.512</v>
      </c>
      <c r="AW136">
        <v>49.512</v>
      </c>
      <c r="AX136">
        <v>49.512</v>
      </c>
      <c r="AY136">
        <v>49.512</v>
      </c>
      <c r="AZ136">
        <v>49.512</v>
      </c>
      <c r="BA136">
        <v>49.512</v>
      </c>
      <c r="BB136">
        <v>49.512</v>
      </c>
      <c r="BC136">
        <v>49.512</v>
      </c>
      <c r="BD136">
        <v>49.512</v>
      </c>
      <c r="BE136">
        <v>49.512</v>
      </c>
      <c r="BF136">
        <v>49.512</v>
      </c>
      <c r="BG136">
        <v>49.512</v>
      </c>
      <c r="BH136">
        <v>49.512</v>
      </c>
      <c r="BI136">
        <v>49.512</v>
      </c>
      <c r="BJ136">
        <v>49.512</v>
      </c>
      <c r="BK136">
        <v>49.512</v>
      </c>
      <c r="BL136">
        <v>49.512</v>
      </c>
    </row>
    <row r="137" spans="1:64" x14ac:dyDescent="0.25">
      <c r="A137">
        <v>49.414000000000001</v>
      </c>
      <c r="B137">
        <v>49.414000000000001</v>
      </c>
      <c r="C137">
        <v>49.414000000000001</v>
      </c>
      <c r="D137">
        <v>49.414000000000001</v>
      </c>
      <c r="E137">
        <v>49.414000000000001</v>
      </c>
      <c r="F137">
        <v>49.414000000000001</v>
      </c>
      <c r="G137">
        <v>49.414000000000001</v>
      </c>
      <c r="H137">
        <v>49.414000000000001</v>
      </c>
      <c r="I137">
        <v>49.414000000000001</v>
      </c>
      <c r="J137">
        <v>49.414000000000001</v>
      </c>
      <c r="K137">
        <v>49.414000000000001</v>
      </c>
      <c r="L137">
        <v>49.414000000000001</v>
      </c>
      <c r="M137">
        <v>49.414000000000001</v>
      </c>
      <c r="N137">
        <v>49.414000000000001</v>
      </c>
      <c r="O137">
        <v>49.414000000000001</v>
      </c>
      <c r="P137">
        <v>49.414000000000001</v>
      </c>
      <c r="Q137">
        <v>49.414000000000001</v>
      </c>
      <c r="R137">
        <v>49.414000000000001</v>
      </c>
      <c r="S137">
        <v>49.414000000000001</v>
      </c>
      <c r="T137">
        <v>49.414000000000001</v>
      </c>
      <c r="U137">
        <v>49.414000000000001</v>
      </c>
      <c r="V137">
        <v>49.414000000000001</v>
      </c>
      <c r="W137">
        <v>49.414000000000001</v>
      </c>
      <c r="X137">
        <v>49.414000000000001</v>
      </c>
      <c r="Y137">
        <v>49.414000000000001</v>
      </c>
      <c r="Z137">
        <v>49.414000000000001</v>
      </c>
      <c r="AA137">
        <v>49.414000000000001</v>
      </c>
      <c r="AB137">
        <v>49.414000000000001</v>
      </c>
      <c r="AC137">
        <v>49.414000000000001</v>
      </c>
      <c r="AD137">
        <v>49.414000000000001</v>
      </c>
      <c r="AE137">
        <v>49.414000000000001</v>
      </c>
      <c r="AF137">
        <v>49.414000000000001</v>
      </c>
      <c r="AG137">
        <v>49.414000000000001</v>
      </c>
      <c r="AH137">
        <v>49.414000000000001</v>
      </c>
      <c r="AI137">
        <v>49.414000000000001</v>
      </c>
      <c r="AJ137">
        <v>49.414000000000001</v>
      </c>
      <c r="AK137">
        <v>49.414000000000001</v>
      </c>
      <c r="AL137">
        <v>49.414000000000001</v>
      </c>
      <c r="AM137">
        <v>49.414000000000001</v>
      </c>
      <c r="AN137">
        <v>49.414000000000001</v>
      </c>
      <c r="AO137">
        <v>49.414000000000001</v>
      </c>
      <c r="AP137">
        <v>49.414000000000001</v>
      </c>
      <c r="AQ137">
        <v>49.414000000000001</v>
      </c>
      <c r="AR137">
        <v>49.414000000000001</v>
      </c>
      <c r="AS137">
        <v>49.414000000000001</v>
      </c>
      <c r="AT137">
        <v>49.414000000000001</v>
      </c>
      <c r="AU137">
        <v>49.414000000000001</v>
      </c>
      <c r="AV137">
        <v>49.414000000000001</v>
      </c>
      <c r="AW137">
        <v>49.414000000000001</v>
      </c>
      <c r="AX137">
        <v>49.414000000000001</v>
      </c>
      <c r="AY137">
        <v>49.414000000000001</v>
      </c>
      <c r="AZ137">
        <v>49.414000000000001</v>
      </c>
      <c r="BA137">
        <v>49.414000000000001</v>
      </c>
      <c r="BB137">
        <v>49.414000000000001</v>
      </c>
      <c r="BC137">
        <v>49.414000000000001</v>
      </c>
      <c r="BD137">
        <v>49.414000000000001</v>
      </c>
      <c r="BE137">
        <v>49.414000000000001</v>
      </c>
      <c r="BF137">
        <v>49.414000000000001</v>
      </c>
      <c r="BG137">
        <v>49.414000000000001</v>
      </c>
      <c r="BH137">
        <v>49.414000000000001</v>
      </c>
      <c r="BI137">
        <v>49.414000000000001</v>
      </c>
      <c r="BJ137">
        <v>49.414000000000001</v>
      </c>
      <c r="BK137">
        <v>49.414000000000001</v>
      </c>
      <c r="BL137">
        <v>49.414000000000001</v>
      </c>
    </row>
    <row r="138" spans="1:64" x14ac:dyDescent="0.25">
      <c r="A138">
        <v>49.316000000000003</v>
      </c>
      <c r="B138">
        <v>49.316000000000003</v>
      </c>
      <c r="C138">
        <v>49.316000000000003</v>
      </c>
      <c r="D138">
        <v>49.316000000000003</v>
      </c>
      <c r="E138">
        <v>49.316000000000003</v>
      </c>
      <c r="F138">
        <v>49.316000000000003</v>
      </c>
      <c r="G138">
        <v>49.316000000000003</v>
      </c>
      <c r="H138">
        <v>49.316000000000003</v>
      </c>
      <c r="I138">
        <v>49.316000000000003</v>
      </c>
      <c r="J138">
        <v>49.316000000000003</v>
      </c>
      <c r="K138">
        <v>49.316000000000003</v>
      </c>
      <c r="L138">
        <v>49.316000000000003</v>
      </c>
      <c r="M138">
        <v>49.316000000000003</v>
      </c>
      <c r="N138">
        <v>49.316000000000003</v>
      </c>
      <c r="O138">
        <v>49.316000000000003</v>
      </c>
      <c r="P138">
        <v>49.316000000000003</v>
      </c>
      <c r="Q138">
        <v>49.316000000000003</v>
      </c>
      <c r="R138">
        <v>49.316000000000003</v>
      </c>
      <c r="S138">
        <v>49.316000000000003</v>
      </c>
      <c r="T138">
        <v>49.316000000000003</v>
      </c>
      <c r="U138">
        <v>49.316000000000003</v>
      </c>
      <c r="V138">
        <v>49.316000000000003</v>
      </c>
      <c r="W138">
        <v>49.316000000000003</v>
      </c>
      <c r="X138">
        <v>49.316000000000003</v>
      </c>
      <c r="Y138">
        <v>49.316000000000003</v>
      </c>
      <c r="Z138">
        <v>49.316000000000003</v>
      </c>
      <c r="AA138">
        <v>49.316000000000003</v>
      </c>
      <c r="AB138">
        <v>49.316000000000003</v>
      </c>
      <c r="AC138">
        <v>49.316000000000003</v>
      </c>
      <c r="AD138">
        <v>49.316000000000003</v>
      </c>
      <c r="AE138">
        <v>49.316000000000003</v>
      </c>
      <c r="AF138">
        <v>49.316000000000003</v>
      </c>
      <c r="AG138">
        <v>49.316000000000003</v>
      </c>
      <c r="AH138">
        <v>49.316000000000003</v>
      </c>
      <c r="AI138">
        <v>49.316000000000003</v>
      </c>
      <c r="AJ138">
        <v>49.316000000000003</v>
      </c>
      <c r="AK138">
        <v>49.316000000000003</v>
      </c>
      <c r="AL138">
        <v>49.316000000000003</v>
      </c>
      <c r="AM138">
        <v>49.316000000000003</v>
      </c>
      <c r="AN138">
        <v>49.316000000000003</v>
      </c>
      <c r="AO138">
        <v>49.316000000000003</v>
      </c>
      <c r="AP138">
        <v>49.316000000000003</v>
      </c>
      <c r="AQ138">
        <v>49.316000000000003</v>
      </c>
      <c r="AR138">
        <v>49.316000000000003</v>
      </c>
      <c r="AS138">
        <v>49.316000000000003</v>
      </c>
      <c r="AT138">
        <v>49.316000000000003</v>
      </c>
      <c r="AU138">
        <v>49.316000000000003</v>
      </c>
      <c r="AV138">
        <v>49.316000000000003</v>
      </c>
      <c r="AW138">
        <v>49.316000000000003</v>
      </c>
      <c r="AX138">
        <v>49.316000000000003</v>
      </c>
      <c r="AY138">
        <v>49.316000000000003</v>
      </c>
      <c r="AZ138">
        <v>49.316000000000003</v>
      </c>
      <c r="BA138">
        <v>49.316000000000003</v>
      </c>
      <c r="BB138">
        <v>49.316000000000003</v>
      </c>
      <c r="BC138">
        <v>49.316000000000003</v>
      </c>
      <c r="BD138">
        <v>49.316000000000003</v>
      </c>
      <c r="BE138">
        <v>49.316000000000003</v>
      </c>
      <c r="BF138">
        <v>49.316000000000003</v>
      </c>
      <c r="BG138">
        <v>49.316000000000003</v>
      </c>
      <c r="BH138">
        <v>49.316000000000003</v>
      </c>
      <c r="BI138">
        <v>49.316000000000003</v>
      </c>
      <c r="BJ138">
        <v>49.316000000000003</v>
      </c>
      <c r="BK138">
        <v>49.316000000000003</v>
      </c>
      <c r="BL138">
        <v>49.316000000000003</v>
      </c>
    </row>
    <row r="139" spans="1:64" x14ac:dyDescent="0.25">
      <c r="A139">
        <v>49.219000000000001</v>
      </c>
      <c r="B139">
        <v>49.219000000000001</v>
      </c>
      <c r="C139">
        <v>49.219000000000001</v>
      </c>
      <c r="D139">
        <v>49.219000000000001</v>
      </c>
      <c r="E139">
        <v>49.219000000000001</v>
      </c>
      <c r="F139">
        <v>49.219000000000001</v>
      </c>
      <c r="G139">
        <v>49.219000000000001</v>
      </c>
      <c r="H139">
        <v>49.219000000000001</v>
      </c>
      <c r="I139">
        <v>49.219000000000001</v>
      </c>
      <c r="J139">
        <v>49.219000000000001</v>
      </c>
      <c r="K139">
        <v>49.219000000000001</v>
      </c>
      <c r="L139">
        <v>49.219000000000001</v>
      </c>
      <c r="M139">
        <v>49.219000000000001</v>
      </c>
      <c r="N139">
        <v>49.219000000000001</v>
      </c>
      <c r="O139">
        <v>49.219000000000001</v>
      </c>
      <c r="P139">
        <v>49.219000000000001</v>
      </c>
      <c r="Q139">
        <v>49.219000000000001</v>
      </c>
      <c r="R139">
        <v>49.219000000000001</v>
      </c>
      <c r="S139">
        <v>49.219000000000001</v>
      </c>
      <c r="T139">
        <v>49.219000000000001</v>
      </c>
      <c r="U139">
        <v>49.219000000000001</v>
      </c>
      <c r="V139">
        <v>49.219000000000001</v>
      </c>
      <c r="W139">
        <v>49.219000000000001</v>
      </c>
      <c r="X139">
        <v>49.219000000000001</v>
      </c>
      <c r="Y139">
        <v>49.219000000000001</v>
      </c>
      <c r="Z139">
        <v>49.219000000000001</v>
      </c>
      <c r="AA139">
        <v>49.219000000000001</v>
      </c>
      <c r="AB139">
        <v>49.219000000000001</v>
      </c>
      <c r="AC139">
        <v>49.219000000000001</v>
      </c>
      <c r="AD139">
        <v>49.219000000000001</v>
      </c>
      <c r="AE139">
        <v>49.219000000000001</v>
      </c>
      <c r="AF139">
        <v>49.219000000000001</v>
      </c>
      <c r="AG139">
        <v>49.219000000000001</v>
      </c>
      <c r="AH139">
        <v>49.219000000000001</v>
      </c>
      <c r="AI139">
        <v>49.219000000000001</v>
      </c>
      <c r="AJ139">
        <v>49.219000000000001</v>
      </c>
      <c r="AK139">
        <v>49.219000000000001</v>
      </c>
      <c r="AL139">
        <v>49.219000000000001</v>
      </c>
      <c r="AM139">
        <v>49.219000000000001</v>
      </c>
      <c r="AN139">
        <v>49.219000000000001</v>
      </c>
      <c r="AO139">
        <v>49.219000000000001</v>
      </c>
      <c r="AP139">
        <v>49.219000000000001</v>
      </c>
      <c r="AQ139">
        <v>49.219000000000001</v>
      </c>
      <c r="AR139">
        <v>49.219000000000001</v>
      </c>
      <c r="AS139">
        <v>49.219000000000001</v>
      </c>
      <c r="AT139">
        <v>49.219000000000001</v>
      </c>
      <c r="AU139">
        <v>49.219000000000001</v>
      </c>
      <c r="AV139">
        <v>49.219000000000001</v>
      </c>
      <c r="AW139">
        <v>49.219000000000001</v>
      </c>
      <c r="AX139">
        <v>49.219000000000001</v>
      </c>
      <c r="AY139">
        <v>49.219000000000001</v>
      </c>
      <c r="AZ139">
        <v>49.219000000000001</v>
      </c>
      <c r="BA139">
        <v>49.219000000000001</v>
      </c>
      <c r="BB139">
        <v>49.219000000000001</v>
      </c>
      <c r="BC139">
        <v>49.219000000000001</v>
      </c>
      <c r="BD139">
        <v>49.219000000000001</v>
      </c>
      <c r="BE139">
        <v>49.219000000000001</v>
      </c>
      <c r="BF139">
        <v>49.219000000000001</v>
      </c>
      <c r="BG139">
        <v>49.219000000000001</v>
      </c>
      <c r="BH139">
        <v>49.219000000000001</v>
      </c>
      <c r="BI139">
        <v>49.219000000000001</v>
      </c>
      <c r="BJ139">
        <v>49.219000000000001</v>
      </c>
      <c r="BK139">
        <v>49.219000000000001</v>
      </c>
      <c r="BL139">
        <v>49.219000000000001</v>
      </c>
    </row>
    <row r="140" spans="1:64" x14ac:dyDescent="0.25">
      <c r="A140">
        <v>49.121000000000002</v>
      </c>
      <c r="B140">
        <v>49.121000000000002</v>
      </c>
      <c r="C140">
        <v>49.121000000000002</v>
      </c>
      <c r="D140">
        <v>49.121000000000002</v>
      </c>
      <c r="E140">
        <v>49.121000000000002</v>
      </c>
      <c r="F140">
        <v>49.121000000000002</v>
      </c>
      <c r="G140">
        <v>49.121000000000002</v>
      </c>
      <c r="H140">
        <v>49.121000000000002</v>
      </c>
      <c r="I140">
        <v>49.121000000000002</v>
      </c>
      <c r="J140">
        <v>49.121000000000002</v>
      </c>
      <c r="K140">
        <v>49.121000000000002</v>
      </c>
      <c r="L140">
        <v>49.121000000000002</v>
      </c>
      <c r="M140">
        <v>49.121000000000002</v>
      </c>
      <c r="N140">
        <v>49.121000000000002</v>
      </c>
      <c r="O140">
        <v>49.121000000000002</v>
      </c>
      <c r="P140">
        <v>49.121000000000002</v>
      </c>
      <c r="Q140">
        <v>49.121000000000002</v>
      </c>
      <c r="R140">
        <v>49.121000000000002</v>
      </c>
      <c r="S140">
        <v>49.121000000000002</v>
      </c>
      <c r="T140">
        <v>49.121000000000002</v>
      </c>
      <c r="U140">
        <v>49.121000000000002</v>
      </c>
      <c r="V140">
        <v>49.121000000000002</v>
      </c>
      <c r="W140">
        <v>49.121000000000002</v>
      </c>
      <c r="X140">
        <v>49.121000000000002</v>
      </c>
      <c r="Y140">
        <v>49.121000000000002</v>
      </c>
      <c r="Z140">
        <v>49.121000000000002</v>
      </c>
      <c r="AA140">
        <v>49.121000000000002</v>
      </c>
      <c r="AB140">
        <v>49.121000000000002</v>
      </c>
      <c r="AC140">
        <v>49.121000000000002</v>
      </c>
      <c r="AD140">
        <v>49.121000000000002</v>
      </c>
      <c r="AE140">
        <v>49.121000000000002</v>
      </c>
      <c r="AF140">
        <v>49.121000000000002</v>
      </c>
      <c r="AG140">
        <v>49.121000000000002</v>
      </c>
      <c r="AH140">
        <v>49.121000000000002</v>
      </c>
      <c r="AI140">
        <v>49.121000000000002</v>
      </c>
      <c r="AJ140">
        <v>49.121000000000002</v>
      </c>
      <c r="AK140">
        <v>49.121000000000002</v>
      </c>
      <c r="AL140">
        <v>49.121000000000002</v>
      </c>
      <c r="AM140">
        <v>49.121000000000002</v>
      </c>
      <c r="AN140">
        <v>49.121000000000002</v>
      </c>
      <c r="AO140">
        <v>49.121000000000002</v>
      </c>
      <c r="AP140">
        <v>49.121000000000002</v>
      </c>
      <c r="AQ140">
        <v>49.121000000000002</v>
      </c>
      <c r="AR140">
        <v>49.121000000000002</v>
      </c>
      <c r="AS140">
        <v>49.121000000000002</v>
      </c>
      <c r="AT140">
        <v>49.121000000000002</v>
      </c>
      <c r="AU140">
        <v>49.121000000000002</v>
      </c>
      <c r="AV140">
        <v>49.121000000000002</v>
      </c>
      <c r="AW140">
        <v>49.121000000000002</v>
      </c>
      <c r="AX140">
        <v>49.121000000000002</v>
      </c>
      <c r="AY140">
        <v>49.121000000000002</v>
      </c>
      <c r="AZ140">
        <v>49.121000000000002</v>
      </c>
      <c r="BA140">
        <v>49.121000000000002</v>
      </c>
      <c r="BB140">
        <v>49.121000000000002</v>
      </c>
      <c r="BC140">
        <v>49.121000000000002</v>
      </c>
      <c r="BD140">
        <v>49.121000000000002</v>
      </c>
      <c r="BE140">
        <v>49.121000000000002</v>
      </c>
      <c r="BF140">
        <v>49.121000000000002</v>
      </c>
      <c r="BG140">
        <v>49.121000000000002</v>
      </c>
      <c r="BH140">
        <v>49.121000000000002</v>
      </c>
      <c r="BI140">
        <v>49.121000000000002</v>
      </c>
      <c r="BJ140">
        <v>49.121000000000002</v>
      </c>
      <c r="BK140">
        <v>49.121000000000002</v>
      </c>
      <c r="BL140">
        <v>49.121000000000002</v>
      </c>
    </row>
    <row r="141" spans="1:64" x14ac:dyDescent="0.25">
      <c r="A141">
        <v>49.023000000000003</v>
      </c>
      <c r="B141">
        <v>49.023000000000003</v>
      </c>
      <c r="C141">
        <v>49.023000000000003</v>
      </c>
      <c r="D141">
        <v>49.023000000000003</v>
      </c>
      <c r="E141">
        <v>49.023000000000003</v>
      </c>
      <c r="F141">
        <v>49.023000000000003</v>
      </c>
      <c r="G141">
        <v>49.023000000000003</v>
      </c>
      <c r="H141">
        <v>49.023000000000003</v>
      </c>
      <c r="I141">
        <v>49.023000000000003</v>
      </c>
      <c r="J141">
        <v>49.023000000000003</v>
      </c>
      <c r="K141">
        <v>49.023000000000003</v>
      </c>
      <c r="L141">
        <v>49.023000000000003</v>
      </c>
      <c r="M141">
        <v>49.023000000000003</v>
      </c>
      <c r="N141">
        <v>49.023000000000003</v>
      </c>
      <c r="O141">
        <v>49.023000000000003</v>
      </c>
      <c r="P141">
        <v>49.023000000000003</v>
      </c>
      <c r="Q141">
        <v>49.023000000000003</v>
      </c>
      <c r="R141">
        <v>49.023000000000003</v>
      </c>
      <c r="S141">
        <v>49.023000000000003</v>
      </c>
      <c r="T141">
        <v>49.023000000000003</v>
      </c>
      <c r="U141">
        <v>49.023000000000003</v>
      </c>
      <c r="V141">
        <v>49.023000000000003</v>
      </c>
      <c r="W141">
        <v>49.023000000000003</v>
      </c>
      <c r="X141">
        <v>49.023000000000003</v>
      </c>
      <c r="Y141">
        <v>49.023000000000003</v>
      </c>
      <c r="Z141">
        <v>49.023000000000003</v>
      </c>
      <c r="AA141">
        <v>49.023000000000003</v>
      </c>
      <c r="AB141">
        <v>49.023000000000003</v>
      </c>
      <c r="AC141">
        <v>49.023000000000003</v>
      </c>
      <c r="AD141">
        <v>49.023000000000003</v>
      </c>
      <c r="AE141">
        <v>49.023000000000003</v>
      </c>
      <c r="AF141">
        <v>49.023000000000003</v>
      </c>
      <c r="AG141">
        <v>49.023000000000003</v>
      </c>
      <c r="AH141">
        <v>49.023000000000003</v>
      </c>
      <c r="AI141">
        <v>49.023000000000003</v>
      </c>
      <c r="AJ141">
        <v>49.023000000000003</v>
      </c>
      <c r="AK141">
        <v>49.023000000000003</v>
      </c>
      <c r="AL141">
        <v>49.023000000000003</v>
      </c>
      <c r="AM141">
        <v>49.023000000000003</v>
      </c>
      <c r="AN141">
        <v>49.023000000000003</v>
      </c>
      <c r="AO141">
        <v>49.023000000000003</v>
      </c>
      <c r="AP141">
        <v>49.023000000000003</v>
      </c>
      <c r="AQ141">
        <v>49.023000000000003</v>
      </c>
      <c r="AR141">
        <v>49.023000000000003</v>
      </c>
      <c r="AS141">
        <v>49.023000000000003</v>
      </c>
      <c r="AT141">
        <v>49.023000000000003</v>
      </c>
      <c r="AU141">
        <v>49.023000000000003</v>
      </c>
      <c r="AV141">
        <v>49.023000000000003</v>
      </c>
      <c r="AW141">
        <v>49.023000000000003</v>
      </c>
      <c r="AX141">
        <v>49.023000000000003</v>
      </c>
      <c r="AY141">
        <v>49.023000000000003</v>
      </c>
      <c r="AZ141">
        <v>49.023000000000003</v>
      </c>
      <c r="BA141">
        <v>49.023000000000003</v>
      </c>
      <c r="BB141">
        <v>49.023000000000003</v>
      </c>
      <c r="BC141">
        <v>49.023000000000003</v>
      </c>
      <c r="BD141">
        <v>49.023000000000003</v>
      </c>
      <c r="BE141">
        <v>49.023000000000003</v>
      </c>
      <c r="BF141">
        <v>49.023000000000003</v>
      </c>
      <c r="BG141">
        <v>49.023000000000003</v>
      </c>
      <c r="BH141">
        <v>49.023000000000003</v>
      </c>
      <c r="BI141">
        <v>49.023000000000003</v>
      </c>
      <c r="BJ141">
        <v>49.023000000000003</v>
      </c>
      <c r="BK141">
        <v>49.023000000000003</v>
      </c>
      <c r="BL141">
        <v>49.023000000000003</v>
      </c>
    </row>
    <row r="142" spans="1:64" x14ac:dyDescent="0.25">
      <c r="A142">
        <v>48.926000000000002</v>
      </c>
      <c r="B142">
        <v>48.926000000000002</v>
      </c>
      <c r="C142">
        <v>48.926000000000002</v>
      </c>
      <c r="D142">
        <v>48.926000000000002</v>
      </c>
      <c r="E142">
        <v>48.926000000000002</v>
      </c>
      <c r="F142">
        <v>48.926000000000002</v>
      </c>
      <c r="G142">
        <v>48.926000000000002</v>
      </c>
      <c r="H142">
        <v>48.926000000000002</v>
      </c>
      <c r="I142">
        <v>48.926000000000002</v>
      </c>
      <c r="J142">
        <v>48.926000000000002</v>
      </c>
      <c r="K142">
        <v>48.926000000000002</v>
      </c>
      <c r="L142">
        <v>48.926000000000002</v>
      </c>
      <c r="M142">
        <v>48.926000000000002</v>
      </c>
      <c r="N142">
        <v>48.926000000000002</v>
      </c>
      <c r="O142">
        <v>48.926000000000002</v>
      </c>
      <c r="P142">
        <v>48.926000000000002</v>
      </c>
      <c r="Q142">
        <v>48.926000000000002</v>
      </c>
      <c r="R142">
        <v>48.926000000000002</v>
      </c>
      <c r="S142">
        <v>48.926000000000002</v>
      </c>
      <c r="T142">
        <v>48.926000000000002</v>
      </c>
      <c r="U142">
        <v>48.926000000000002</v>
      </c>
      <c r="V142">
        <v>48.926000000000002</v>
      </c>
      <c r="W142">
        <v>48.926000000000002</v>
      </c>
      <c r="X142">
        <v>48.926000000000002</v>
      </c>
      <c r="Y142">
        <v>48.926000000000002</v>
      </c>
      <c r="Z142">
        <v>48.926000000000002</v>
      </c>
      <c r="AA142">
        <v>48.926000000000002</v>
      </c>
      <c r="AB142">
        <v>48.926000000000002</v>
      </c>
      <c r="AC142">
        <v>48.926000000000002</v>
      </c>
      <c r="AD142">
        <v>48.926000000000002</v>
      </c>
      <c r="AE142">
        <v>48.926000000000002</v>
      </c>
      <c r="AF142">
        <v>48.926000000000002</v>
      </c>
      <c r="AG142">
        <v>48.926000000000002</v>
      </c>
      <c r="AH142">
        <v>48.926000000000002</v>
      </c>
      <c r="AI142">
        <v>48.926000000000002</v>
      </c>
      <c r="AJ142">
        <v>48.926000000000002</v>
      </c>
      <c r="AK142">
        <v>48.926000000000002</v>
      </c>
      <c r="AL142">
        <v>48.926000000000002</v>
      </c>
      <c r="AM142">
        <v>48.926000000000002</v>
      </c>
      <c r="AN142">
        <v>48.926000000000002</v>
      </c>
      <c r="AO142">
        <v>48.926000000000002</v>
      </c>
      <c r="AP142">
        <v>48.926000000000002</v>
      </c>
      <c r="AQ142">
        <v>48.926000000000002</v>
      </c>
      <c r="AR142">
        <v>48.926000000000002</v>
      </c>
      <c r="AS142">
        <v>48.926000000000002</v>
      </c>
      <c r="AT142">
        <v>48.926000000000002</v>
      </c>
      <c r="AU142">
        <v>48.926000000000002</v>
      </c>
      <c r="AV142">
        <v>48.926000000000002</v>
      </c>
      <c r="AW142">
        <v>48.926000000000002</v>
      </c>
      <c r="AX142">
        <v>48.926000000000002</v>
      </c>
      <c r="AY142">
        <v>48.926000000000002</v>
      </c>
      <c r="AZ142">
        <v>48.926000000000002</v>
      </c>
      <c r="BA142">
        <v>48.926000000000002</v>
      </c>
      <c r="BB142">
        <v>48.926000000000002</v>
      </c>
      <c r="BC142">
        <v>48.926000000000002</v>
      </c>
      <c r="BD142">
        <v>48.926000000000002</v>
      </c>
      <c r="BE142">
        <v>48.926000000000002</v>
      </c>
      <c r="BF142">
        <v>48.926000000000002</v>
      </c>
      <c r="BG142">
        <v>48.926000000000002</v>
      </c>
      <c r="BH142">
        <v>48.926000000000002</v>
      </c>
      <c r="BI142">
        <v>48.926000000000002</v>
      </c>
      <c r="BJ142">
        <v>48.926000000000002</v>
      </c>
      <c r="BK142">
        <v>48.926000000000002</v>
      </c>
      <c r="BL142">
        <v>48.926000000000002</v>
      </c>
    </row>
    <row r="143" spans="1:64" x14ac:dyDescent="0.25">
      <c r="A143">
        <v>48.828000000000003</v>
      </c>
      <c r="B143">
        <v>48.828000000000003</v>
      </c>
      <c r="C143">
        <v>48.828000000000003</v>
      </c>
      <c r="D143">
        <v>48.828000000000003</v>
      </c>
      <c r="E143">
        <v>48.828000000000003</v>
      </c>
      <c r="F143">
        <v>48.828000000000003</v>
      </c>
      <c r="G143">
        <v>48.828000000000003</v>
      </c>
      <c r="H143">
        <v>48.828000000000003</v>
      </c>
      <c r="I143">
        <v>48.828000000000003</v>
      </c>
      <c r="J143">
        <v>48.828000000000003</v>
      </c>
      <c r="K143">
        <v>48.828000000000003</v>
      </c>
      <c r="L143">
        <v>48.828000000000003</v>
      </c>
      <c r="M143">
        <v>48.828000000000003</v>
      </c>
      <c r="N143">
        <v>48.828000000000003</v>
      </c>
      <c r="O143">
        <v>48.828000000000003</v>
      </c>
      <c r="P143">
        <v>48.828000000000003</v>
      </c>
      <c r="Q143">
        <v>48.828000000000003</v>
      </c>
      <c r="R143">
        <v>48.828000000000003</v>
      </c>
      <c r="S143">
        <v>48.828000000000003</v>
      </c>
      <c r="T143">
        <v>48.828000000000003</v>
      </c>
      <c r="U143">
        <v>48.828000000000003</v>
      </c>
      <c r="V143">
        <v>48.828000000000003</v>
      </c>
      <c r="W143">
        <v>48.828000000000003</v>
      </c>
      <c r="X143">
        <v>48.828000000000003</v>
      </c>
      <c r="Y143">
        <v>48.828000000000003</v>
      </c>
      <c r="Z143">
        <v>48.828000000000003</v>
      </c>
      <c r="AA143">
        <v>48.828000000000003</v>
      </c>
      <c r="AB143">
        <v>48.828000000000003</v>
      </c>
      <c r="AC143">
        <v>48.828000000000003</v>
      </c>
      <c r="AD143">
        <v>48.828000000000003</v>
      </c>
      <c r="AE143">
        <v>48.828000000000003</v>
      </c>
      <c r="AF143">
        <v>48.828000000000003</v>
      </c>
      <c r="AG143">
        <v>48.828000000000003</v>
      </c>
      <c r="AH143">
        <v>48.828000000000003</v>
      </c>
      <c r="AI143">
        <v>48.828000000000003</v>
      </c>
      <c r="AJ143">
        <v>48.828000000000003</v>
      </c>
      <c r="AK143">
        <v>48.828000000000003</v>
      </c>
      <c r="AL143">
        <v>48.828000000000003</v>
      </c>
      <c r="AM143">
        <v>48.828000000000003</v>
      </c>
      <c r="AN143">
        <v>48.828000000000003</v>
      </c>
      <c r="AO143">
        <v>48.828000000000003</v>
      </c>
      <c r="AP143">
        <v>48.828000000000003</v>
      </c>
      <c r="AQ143">
        <v>48.828000000000003</v>
      </c>
      <c r="AR143">
        <v>48.828000000000003</v>
      </c>
      <c r="AS143">
        <v>48.828000000000003</v>
      </c>
      <c r="AT143">
        <v>48.828000000000003</v>
      </c>
      <c r="AU143">
        <v>48.828000000000003</v>
      </c>
      <c r="AV143">
        <v>48.828000000000003</v>
      </c>
      <c r="AW143">
        <v>48.828000000000003</v>
      </c>
      <c r="AX143">
        <v>48.828000000000003</v>
      </c>
      <c r="AY143">
        <v>48.828000000000003</v>
      </c>
      <c r="AZ143">
        <v>48.828000000000003</v>
      </c>
      <c r="BA143">
        <v>48.828000000000003</v>
      </c>
      <c r="BB143">
        <v>48.828000000000003</v>
      </c>
      <c r="BC143">
        <v>48.828000000000003</v>
      </c>
      <c r="BD143">
        <v>48.828000000000003</v>
      </c>
      <c r="BE143">
        <v>48.828000000000003</v>
      </c>
      <c r="BF143">
        <v>48.828000000000003</v>
      </c>
      <c r="BG143">
        <v>48.828000000000003</v>
      </c>
      <c r="BH143">
        <v>48.828000000000003</v>
      </c>
      <c r="BI143">
        <v>48.828000000000003</v>
      </c>
      <c r="BJ143">
        <v>48.828000000000003</v>
      </c>
      <c r="BK143">
        <v>48.828000000000003</v>
      </c>
      <c r="BL143">
        <v>48.828000000000003</v>
      </c>
    </row>
    <row r="144" spans="1:64" x14ac:dyDescent="0.25">
      <c r="A144">
        <v>48.73</v>
      </c>
      <c r="B144">
        <v>48.73</v>
      </c>
      <c r="C144">
        <v>48.73</v>
      </c>
      <c r="D144">
        <v>48.73</v>
      </c>
      <c r="E144">
        <v>48.73</v>
      </c>
      <c r="F144">
        <v>48.73</v>
      </c>
      <c r="G144">
        <v>48.73</v>
      </c>
      <c r="H144">
        <v>48.73</v>
      </c>
      <c r="I144">
        <v>48.73</v>
      </c>
      <c r="J144">
        <v>48.73</v>
      </c>
      <c r="K144">
        <v>48.73</v>
      </c>
      <c r="L144">
        <v>48.73</v>
      </c>
      <c r="M144">
        <v>48.73</v>
      </c>
      <c r="N144">
        <v>48.73</v>
      </c>
      <c r="O144">
        <v>48.73</v>
      </c>
      <c r="P144">
        <v>48.73</v>
      </c>
      <c r="Q144">
        <v>48.73</v>
      </c>
      <c r="R144">
        <v>48.73</v>
      </c>
      <c r="S144">
        <v>48.73</v>
      </c>
      <c r="T144">
        <v>48.73</v>
      </c>
      <c r="U144">
        <v>48.73</v>
      </c>
      <c r="V144">
        <v>48.73</v>
      </c>
      <c r="W144">
        <v>48.73</v>
      </c>
      <c r="X144">
        <v>48.73</v>
      </c>
      <c r="Y144">
        <v>48.73</v>
      </c>
      <c r="Z144">
        <v>48.73</v>
      </c>
      <c r="AA144">
        <v>48.73</v>
      </c>
      <c r="AB144">
        <v>48.73</v>
      </c>
      <c r="AC144">
        <v>48.73</v>
      </c>
      <c r="AD144">
        <v>48.73</v>
      </c>
      <c r="AE144">
        <v>48.73</v>
      </c>
      <c r="AF144">
        <v>48.73</v>
      </c>
      <c r="AG144">
        <v>48.73</v>
      </c>
      <c r="AH144">
        <v>48.73</v>
      </c>
      <c r="AI144">
        <v>48.73</v>
      </c>
      <c r="AJ144">
        <v>48.73</v>
      </c>
      <c r="AK144">
        <v>48.73</v>
      </c>
      <c r="AL144">
        <v>48.73</v>
      </c>
      <c r="AM144">
        <v>48.73</v>
      </c>
      <c r="AN144">
        <v>48.73</v>
      </c>
      <c r="AO144">
        <v>48.73</v>
      </c>
      <c r="AP144">
        <v>48.73</v>
      </c>
      <c r="AQ144">
        <v>48.73</v>
      </c>
      <c r="AR144">
        <v>48.73</v>
      </c>
      <c r="AS144">
        <v>48.73</v>
      </c>
      <c r="AT144">
        <v>48.73</v>
      </c>
      <c r="AU144">
        <v>48.73</v>
      </c>
      <c r="AV144">
        <v>48.73</v>
      </c>
      <c r="AW144">
        <v>48.73</v>
      </c>
      <c r="AX144">
        <v>48.73</v>
      </c>
      <c r="AY144">
        <v>48.73</v>
      </c>
      <c r="AZ144">
        <v>48.73</v>
      </c>
      <c r="BA144">
        <v>48.73</v>
      </c>
      <c r="BB144">
        <v>48.73</v>
      </c>
      <c r="BC144">
        <v>48.73</v>
      </c>
      <c r="BD144">
        <v>48.73</v>
      </c>
      <c r="BE144">
        <v>48.73</v>
      </c>
      <c r="BF144">
        <v>48.73</v>
      </c>
      <c r="BG144">
        <v>48.73</v>
      </c>
      <c r="BH144">
        <v>48.73</v>
      </c>
      <c r="BI144">
        <v>48.73</v>
      </c>
      <c r="BJ144">
        <v>48.73</v>
      </c>
      <c r="BK144">
        <v>48.73</v>
      </c>
      <c r="BL144">
        <v>48.73</v>
      </c>
    </row>
    <row r="145" spans="1:64" x14ac:dyDescent="0.25">
      <c r="A145">
        <v>48.633000000000003</v>
      </c>
      <c r="B145">
        <v>48.633000000000003</v>
      </c>
      <c r="C145">
        <v>48.633000000000003</v>
      </c>
      <c r="D145">
        <v>48.633000000000003</v>
      </c>
      <c r="E145">
        <v>48.633000000000003</v>
      </c>
      <c r="F145">
        <v>48.633000000000003</v>
      </c>
      <c r="G145">
        <v>48.633000000000003</v>
      </c>
      <c r="H145">
        <v>48.633000000000003</v>
      </c>
      <c r="I145">
        <v>48.633000000000003</v>
      </c>
      <c r="J145">
        <v>48.633000000000003</v>
      </c>
      <c r="K145">
        <v>48.633000000000003</v>
      </c>
      <c r="L145">
        <v>48.633000000000003</v>
      </c>
      <c r="M145">
        <v>48.633000000000003</v>
      </c>
      <c r="N145">
        <v>48.633000000000003</v>
      </c>
      <c r="O145">
        <v>48.633000000000003</v>
      </c>
      <c r="P145">
        <v>48.633000000000003</v>
      </c>
      <c r="Q145">
        <v>48.633000000000003</v>
      </c>
      <c r="R145">
        <v>48.633000000000003</v>
      </c>
      <c r="S145">
        <v>48.633000000000003</v>
      </c>
      <c r="T145">
        <v>48.633000000000003</v>
      </c>
      <c r="U145">
        <v>48.633000000000003</v>
      </c>
      <c r="V145">
        <v>48.633000000000003</v>
      </c>
      <c r="W145">
        <v>48.633000000000003</v>
      </c>
      <c r="X145">
        <v>48.633000000000003</v>
      </c>
      <c r="Y145">
        <v>48.633000000000003</v>
      </c>
      <c r="Z145">
        <v>48.633000000000003</v>
      </c>
      <c r="AA145">
        <v>48.633000000000003</v>
      </c>
      <c r="AB145">
        <v>48.633000000000003</v>
      </c>
      <c r="AC145">
        <v>48.633000000000003</v>
      </c>
      <c r="AD145">
        <v>48.633000000000003</v>
      </c>
      <c r="AE145">
        <v>48.633000000000003</v>
      </c>
      <c r="AF145">
        <v>48.633000000000003</v>
      </c>
      <c r="AG145">
        <v>48.633000000000003</v>
      </c>
      <c r="AH145">
        <v>48.633000000000003</v>
      </c>
      <c r="AI145">
        <v>48.633000000000003</v>
      </c>
      <c r="AJ145">
        <v>48.633000000000003</v>
      </c>
      <c r="AK145">
        <v>48.633000000000003</v>
      </c>
      <c r="AL145">
        <v>48.633000000000003</v>
      </c>
      <c r="AM145">
        <v>48.633000000000003</v>
      </c>
      <c r="AN145">
        <v>48.633000000000003</v>
      </c>
      <c r="AO145">
        <v>48.633000000000003</v>
      </c>
      <c r="AP145">
        <v>48.633000000000003</v>
      </c>
      <c r="AQ145">
        <v>48.633000000000003</v>
      </c>
      <c r="AR145">
        <v>48.633000000000003</v>
      </c>
      <c r="AS145">
        <v>48.633000000000003</v>
      </c>
      <c r="AT145">
        <v>48.633000000000003</v>
      </c>
      <c r="AU145">
        <v>48.633000000000003</v>
      </c>
      <c r="AV145">
        <v>48.633000000000003</v>
      </c>
      <c r="AW145">
        <v>48.633000000000003</v>
      </c>
      <c r="AX145">
        <v>48.633000000000003</v>
      </c>
      <c r="AY145">
        <v>48.633000000000003</v>
      </c>
      <c r="AZ145">
        <v>48.633000000000003</v>
      </c>
      <c r="BA145">
        <v>48.633000000000003</v>
      </c>
      <c r="BB145">
        <v>48.633000000000003</v>
      </c>
      <c r="BC145">
        <v>48.633000000000003</v>
      </c>
      <c r="BD145">
        <v>48.633000000000003</v>
      </c>
      <c r="BE145">
        <v>48.633000000000003</v>
      </c>
      <c r="BF145">
        <v>48.633000000000003</v>
      </c>
      <c r="BG145">
        <v>48.633000000000003</v>
      </c>
      <c r="BH145">
        <v>48.633000000000003</v>
      </c>
      <c r="BI145">
        <v>48.633000000000003</v>
      </c>
      <c r="BJ145">
        <v>48.633000000000003</v>
      </c>
      <c r="BK145">
        <v>48.633000000000003</v>
      </c>
      <c r="BL145">
        <v>48.633000000000003</v>
      </c>
    </row>
    <row r="146" spans="1:64" x14ac:dyDescent="0.25">
      <c r="A146">
        <v>48.534999999999997</v>
      </c>
      <c r="B146">
        <v>48.534999999999997</v>
      </c>
      <c r="C146">
        <v>48.534999999999997</v>
      </c>
      <c r="D146">
        <v>48.534999999999997</v>
      </c>
      <c r="E146">
        <v>48.534999999999997</v>
      </c>
      <c r="F146">
        <v>48.534999999999997</v>
      </c>
      <c r="G146">
        <v>48.534999999999997</v>
      </c>
      <c r="H146">
        <v>48.534999999999997</v>
      </c>
      <c r="I146">
        <v>48.534999999999997</v>
      </c>
      <c r="J146">
        <v>48.534999999999997</v>
      </c>
      <c r="K146">
        <v>48.534999999999997</v>
      </c>
      <c r="L146">
        <v>48.534999999999997</v>
      </c>
      <c r="M146">
        <v>48.534999999999997</v>
      </c>
      <c r="N146">
        <v>48.534999999999997</v>
      </c>
      <c r="O146">
        <v>48.534999999999997</v>
      </c>
      <c r="P146">
        <v>48.534999999999997</v>
      </c>
      <c r="Q146">
        <v>48.534999999999997</v>
      </c>
      <c r="R146">
        <v>48.534999999999997</v>
      </c>
      <c r="S146">
        <v>48.534999999999997</v>
      </c>
      <c r="T146">
        <v>48.534999999999997</v>
      </c>
      <c r="U146">
        <v>48.534999999999997</v>
      </c>
      <c r="V146">
        <v>48.534999999999997</v>
      </c>
      <c r="W146">
        <v>48.534999999999997</v>
      </c>
      <c r="X146">
        <v>48.534999999999997</v>
      </c>
      <c r="Y146">
        <v>48.534999999999997</v>
      </c>
      <c r="Z146">
        <v>48.534999999999997</v>
      </c>
      <c r="AA146">
        <v>48.534999999999997</v>
      </c>
      <c r="AB146">
        <v>48.534999999999997</v>
      </c>
      <c r="AC146">
        <v>48.534999999999997</v>
      </c>
      <c r="AD146">
        <v>48.534999999999997</v>
      </c>
      <c r="AE146">
        <v>48.534999999999997</v>
      </c>
      <c r="AF146">
        <v>48.534999999999997</v>
      </c>
      <c r="AG146">
        <v>48.534999999999997</v>
      </c>
      <c r="AH146">
        <v>48.534999999999997</v>
      </c>
      <c r="AI146">
        <v>48.534999999999997</v>
      </c>
      <c r="AJ146">
        <v>48.534999999999997</v>
      </c>
      <c r="AK146">
        <v>48.534999999999997</v>
      </c>
      <c r="AL146">
        <v>48.534999999999997</v>
      </c>
      <c r="AM146">
        <v>48.534999999999997</v>
      </c>
      <c r="AN146">
        <v>48.534999999999997</v>
      </c>
      <c r="AO146">
        <v>48.534999999999997</v>
      </c>
      <c r="AP146">
        <v>48.534999999999997</v>
      </c>
      <c r="AQ146">
        <v>48.534999999999997</v>
      </c>
      <c r="AR146">
        <v>48.534999999999997</v>
      </c>
      <c r="AS146">
        <v>48.534999999999997</v>
      </c>
      <c r="AT146">
        <v>48.534999999999997</v>
      </c>
      <c r="AU146">
        <v>48.534999999999997</v>
      </c>
      <c r="AV146">
        <v>48.534999999999997</v>
      </c>
      <c r="AW146">
        <v>48.534999999999997</v>
      </c>
      <c r="AX146">
        <v>48.534999999999997</v>
      </c>
      <c r="AY146">
        <v>48.534999999999997</v>
      </c>
      <c r="AZ146">
        <v>48.534999999999997</v>
      </c>
      <c r="BA146">
        <v>48.534999999999997</v>
      </c>
      <c r="BB146">
        <v>48.534999999999997</v>
      </c>
      <c r="BC146">
        <v>48.534999999999997</v>
      </c>
      <c r="BD146">
        <v>48.534999999999997</v>
      </c>
      <c r="BE146">
        <v>48.534999999999997</v>
      </c>
      <c r="BF146">
        <v>48.534999999999997</v>
      </c>
      <c r="BG146">
        <v>48.534999999999997</v>
      </c>
      <c r="BH146">
        <v>48.534999999999997</v>
      </c>
      <c r="BI146">
        <v>48.534999999999997</v>
      </c>
      <c r="BJ146">
        <v>48.534999999999997</v>
      </c>
      <c r="BK146">
        <v>48.534999999999997</v>
      </c>
      <c r="BL146">
        <v>48.534999999999997</v>
      </c>
    </row>
    <row r="147" spans="1:64" x14ac:dyDescent="0.25">
      <c r="A147">
        <v>48.438000000000002</v>
      </c>
      <c r="B147">
        <v>48.438000000000002</v>
      </c>
      <c r="C147">
        <v>48.438000000000002</v>
      </c>
      <c r="D147">
        <v>48.438000000000002</v>
      </c>
      <c r="E147">
        <v>48.438000000000002</v>
      </c>
      <c r="F147">
        <v>48.438000000000002</v>
      </c>
      <c r="G147">
        <v>48.438000000000002</v>
      </c>
      <c r="H147">
        <v>48.438000000000002</v>
      </c>
      <c r="I147">
        <v>48.438000000000002</v>
      </c>
      <c r="J147">
        <v>48.438000000000002</v>
      </c>
      <c r="K147">
        <v>48.438000000000002</v>
      </c>
      <c r="L147">
        <v>48.438000000000002</v>
      </c>
      <c r="M147">
        <v>48.438000000000002</v>
      </c>
      <c r="N147">
        <v>48.438000000000002</v>
      </c>
      <c r="O147">
        <v>48.438000000000002</v>
      </c>
      <c r="P147">
        <v>48.438000000000002</v>
      </c>
      <c r="Q147">
        <v>48.438000000000002</v>
      </c>
      <c r="R147">
        <v>48.438000000000002</v>
      </c>
      <c r="S147">
        <v>48.438000000000002</v>
      </c>
      <c r="T147">
        <v>48.438000000000002</v>
      </c>
      <c r="U147">
        <v>48.438000000000002</v>
      </c>
      <c r="V147">
        <v>48.438000000000002</v>
      </c>
      <c r="W147">
        <v>48.438000000000002</v>
      </c>
      <c r="X147">
        <v>48.438000000000002</v>
      </c>
      <c r="Y147">
        <v>48.438000000000002</v>
      </c>
      <c r="Z147">
        <v>48.438000000000002</v>
      </c>
      <c r="AA147">
        <v>48.438000000000002</v>
      </c>
      <c r="AB147">
        <v>48.438000000000002</v>
      </c>
      <c r="AC147">
        <v>48.438000000000002</v>
      </c>
      <c r="AD147">
        <v>48.438000000000002</v>
      </c>
      <c r="AE147">
        <v>48.438000000000002</v>
      </c>
      <c r="AF147">
        <v>48.438000000000002</v>
      </c>
      <c r="AG147">
        <v>48.438000000000002</v>
      </c>
      <c r="AH147">
        <v>48.438000000000002</v>
      </c>
      <c r="AI147">
        <v>48.438000000000002</v>
      </c>
      <c r="AJ147">
        <v>48.438000000000002</v>
      </c>
      <c r="AK147">
        <v>48.438000000000002</v>
      </c>
      <c r="AL147">
        <v>48.438000000000002</v>
      </c>
      <c r="AM147">
        <v>48.438000000000002</v>
      </c>
      <c r="AN147">
        <v>48.438000000000002</v>
      </c>
      <c r="AO147">
        <v>48.438000000000002</v>
      </c>
      <c r="AP147">
        <v>48.438000000000002</v>
      </c>
      <c r="AQ147">
        <v>48.438000000000002</v>
      </c>
      <c r="AR147">
        <v>48.438000000000002</v>
      </c>
      <c r="AS147">
        <v>48.438000000000002</v>
      </c>
      <c r="AT147">
        <v>48.438000000000002</v>
      </c>
      <c r="AU147">
        <v>48.438000000000002</v>
      </c>
      <c r="AV147">
        <v>48.438000000000002</v>
      </c>
      <c r="AW147">
        <v>48.438000000000002</v>
      </c>
      <c r="AX147">
        <v>48.438000000000002</v>
      </c>
      <c r="AY147">
        <v>48.438000000000002</v>
      </c>
      <c r="AZ147">
        <v>48.438000000000002</v>
      </c>
      <c r="BA147">
        <v>48.438000000000002</v>
      </c>
      <c r="BB147">
        <v>48.438000000000002</v>
      </c>
      <c r="BC147">
        <v>48.438000000000002</v>
      </c>
      <c r="BD147">
        <v>48.438000000000002</v>
      </c>
      <c r="BE147">
        <v>48.438000000000002</v>
      </c>
      <c r="BF147">
        <v>48.438000000000002</v>
      </c>
      <c r="BG147">
        <v>48.438000000000002</v>
      </c>
      <c r="BH147">
        <v>48.438000000000002</v>
      </c>
      <c r="BI147">
        <v>48.438000000000002</v>
      </c>
      <c r="BJ147">
        <v>48.438000000000002</v>
      </c>
      <c r="BK147">
        <v>48.438000000000002</v>
      </c>
      <c r="BL147">
        <v>48.438000000000002</v>
      </c>
    </row>
    <row r="148" spans="1:64" x14ac:dyDescent="0.25">
      <c r="A148">
        <v>48.34</v>
      </c>
      <c r="B148">
        <v>48.34</v>
      </c>
      <c r="C148">
        <v>48.34</v>
      </c>
      <c r="D148">
        <v>48.34</v>
      </c>
      <c r="E148">
        <v>48.34</v>
      </c>
      <c r="F148">
        <v>48.34</v>
      </c>
      <c r="G148">
        <v>48.34</v>
      </c>
      <c r="H148">
        <v>48.34</v>
      </c>
      <c r="I148">
        <v>48.34</v>
      </c>
      <c r="J148">
        <v>48.34</v>
      </c>
      <c r="K148">
        <v>48.34</v>
      </c>
      <c r="L148">
        <v>48.34</v>
      </c>
      <c r="M148">
        <v>48.34</v>
      </c>
      <c r="N148">
        <v>48.34</v>
      </c>
      <c r="O148">
        <v>48.34</v>
      </c>
      <c r="P148">
        <v>48.34</v>
      </c>
      <c r="Q148">
        <v>48.34</v>
      </c>
      <c r="R148">
        <v>48.34</v>
      </c>
      <c r="S148">
        <v>48.34</v>
      </c>
      <c r="T148">
        <v>48.34</v>
      </c>
      <c r="U148">
        <v>48.34</v>
      </c>
      <c r="V148">
        <v>48.34</v>
      </c>
      <c r="W148">
        <v>48.34</v>
      </c>
      <c r="X148">
        <v>48.34</v>
      </c>
      <c r="Y148">
        <v>48.34</v>
      </c>
      <c r="Z148">
        <v>48.34</v>
      </c>
      <c r="AA148">
        <v>48.34</v>
      </c>
      <c r="AB148">
        <v>48.34</v>
      </c>
      <c r="AC148">
        <v>48.34</v>
      </c>
      <c r="AD148">
        <v>48.34</v>
      </c>
      <c r="AE148">
        <v>48.34</v>
      </c>
      <c r="AF148">
        <v>48.34</v>
      </c>
      <c r="AG148">
        <v>48.34</v>
      </c>
      <c r="AH148">
        <v>48.34</v>
      </c>
      <c r="AI148">
        <v>48.34</v>
      </c>
      <c r="AJ148">
        <v>48.34</v>
      </c>
      <c r="AK148">
        <v>48.34</v>
      </c>
      <c r="AL148">
        <v>48.34</v>
      </c>
      <c r="AM148">
        <v>48.34</v>
      </c>
      <c r="AN148">
        <v>48.34</v>
      </c>
      <c r="AO148">
        <v>48.34</v>
      </c>
      <c r="AP148">
        <v>48.34</v>
      </c>
      <c r="AQ148">
        <v>48.34</v>
      </c>
      <c r="AR148">
        <v>48.34</v>
      </c>
      <c r="AS148">
        <v>48.34</v>
      </c>
      <c r="AT148">
        <v>48.34</v>
      </c>
      <c r="AU148">
        <v>48.34</v>
      </c>
      <c r="AV148">
        <v>48.34</v>
      </c>
      <c r="AW148">
        <v>48.34</v>
      </c>
      <c r="AX148">
        <v>48.34</v>
      </c>
      <c r="AY148">
        <v>48.34</v>
      </c>
      <c r="AZ148">
        <v>48.34</v>
      </c>
      <c r="BA148">
        <v>48.34</v>
      </c>
      <c r="BB148">
        <v>48.34</v>
      </c>
      <c r="BC148">
        <v>48.34</v>
      </c>
      <c r="BD148">
        <v>48.34</v>
      </c>
      <c r="BE148">
        <v>48.34</v>
      </c>
      <c r="BF148">
        <v>48.34</v>
      </c>
      <c r="BG148">
        <v>48.34</v>
      </c>
      <c r="BH148">
        <v>48.34</v>
      </c>
      <c r="BI148">
        <v>48.34</v>
      </c>
      <c r="BJ148">
        <v>48.34</v>
      </c>
      <c r="BK148">
        <v>48.34</v>
      </c>
      <c r="BL148">
        <v>48.34</v>
      </c>
    </row>
    <row r="149" spans="1:64" x14ac:dyDescent="0.25">
      <c r="A149">
        <v>48.241999999999997</v>
      </c>
      <c r="B149">
        <v>48.241999999999997</v>
      </c>
      <c r="C149">
        <v>48.241999999999997</v>
      </c>
      <c r="D149">
        <v>48.241999999999997</v>
      </c>
      <c r="E149">
        <v>48.241999999999997</v>
      </c>
      <c r="F149">
        <v>48.241999999999997</v>
      </c>
      <c r="G149">
        <v>48.241999999999997</v>
      </c>
      <c r="H149">
        <v>48.241999999999997</v>
      </c>
      <c r="I149">
        <v>48.241999999999997</v>
      </c>
      <c r="J149">
        <v>48.241999999999997</v>
      </c>
      <c r="K149">
        <v>48.241999999999997</v>
      </c>
      <c r="L149">
        <v>48.241999999999997</v>
      </c>
      <c r="M149">
        <v>48.241999999999997</v>
      </c>
      <c r="N149">
        <v>48.241999999999997</v>
      </c>
      <c r="O149">
        <v>48.241999999999997</v>
      </c>
      <c r="P149">
        <v>48.241999999999997</v>
      </c>
      <c r="Q149">
        <v>48.241999999999997</v>
      </c>
      <c r="R149">
        <v>48.241999999999997</v>
      </c>
      <c r="S149">
        <v>48.241999999999997</v>
      </c>
      <c r="T149">
        <v>48.241999999999997</v>
      </c>
      <c r="U149">
        <v>48.241999999999997</v>
      </c>
      <c r="V149">
        <v>48.241999999999997</v>
      </c>
      <c r="W149">
        <v>48.241999999999997</v>
      </c>
      <c r="X149">
        <v>48.241999999999997</v>
      </c>
      <c r="Y149">
        <v>48.241999999999997</v>
      </c>
      <c r="Z149">
        <v>48.241999999999997</v>
      </c>
      <c r="AA149">
        <v>48.241999999999997</v>
      </c>
      <c r="AB149">
        <v>48.241999999999997</v>
      </c>
      <c r="AC149">
        <v>48.241999999999997</v>
      </c>
      <c r="AD149">
        <v>48.241999999999997</v>
      </c>
      <c r="AE149">
        <v>48.241999999999997</v>
      </c>
      <c r="AF149">
        <v>48.241999999999997</v>
      </c>
      <c r="AG149">
        <v>48.241999999999997</v>
      </c>
      <c r="AH149">
        <v>48.241999999999997</v>
      </c>
      <c r="AI149">
        <v>48.241999999999997</v>
      </c>
      <c r="AJ149">
        <v>48.241999999999997</v>
      </c>
      <c r="AK149">
        <v>48.241999999999997</v>
      </c>
      <c r="AL149">
        <v>48.241999999999997</v>
      </c>
      <c r="AM149">
        <v>48.241999999999997</v>
      </c>
      <c r="AN149">
        <v>48.241999999999997</v>
      </c>
      <c r="AO149">
        <v>48.241999999999997</v>
      </c>
      <c r="AP149">
        <v>48.241999999999997</v>
      </c>
      <c r="AQ149">
        <v>48.241999999999997</v>
      </c>
      <c r="AR149">
        <v>48.241999999999997</v>
      </c>
      <c r="AS149">
        <v>48.241999999999997</v>
      </c>
      <c r="AT149">
        <v>48.241999999999997</v>
      </c>
      <c r="AU149">
        <v>48.241999999999997</v>
      </c>
      <c r="AV149">
        <v>48.241999999999997</v>
      </c>
      <c r="AW149">
        <v>48.241999999999997</v>
      </c>
      <c r="AX149">
        <v>48.241999999999997</v>
      </c>
      <c r="AY149">
        <v>48.241999999999997</v>
      </c>
      <c r="AZ149">
        <v>48.241999999999997</v>
      </c>
      <c r="BA149">
        <v>48.241999999999997</v>
      </c>
      <c r="BB149">
        <v>48.241999999999997</v>
      </c>
      <c r="BC149">
        <v>48.241999999999997</v>
      </c>
      <c r="BD149">
        <v>48.241999999999997</v>
      </c>
      <c r="BE149">
        <v>48.241999999999997</v>
      </c>
      <c r="BF149">
        <v>48.241999999999997</v>
      </c>
      <c r="BG149">
        <v>48.241999999999997</v>
      </c>
      <c r="BH149">
        <v>48.241999999999997</v>
      </c>
      <c r="BI149">
        <v>48.241999999999997</v>
      </c>
      <c r="BJ149">
        <v>48.241999999999997</v>
      </c>
      <c r="BK149">
        <v>48.241999999999997</v>
      </c>
      <c r="BL149">
        <v>48.241999999999997</v>
      </c>
    </row>
    <row r="150" spans="1:64" x14ac:dyDescent="0.25">
      <c r="A150">
        <v>48.145000000000003</v>
      </c>
      <c r="B150">
        <v>48.145000000000003</v>
      </c>
      <c r="C150">
        <v>48.145000000000003</v>
      </c>
      <c r="D150">
        <v>48.145000000000003</v>
      </c>
      <c r="E150">
        <v>48.145000000000003</v>
      </c>
      <c r="F150">
        <v>48.145000000000003</v>
      </c>
      <c r="G150">
        <v>48.145000000000003</v>
      </c>
      <c r="H150">
        <v>48.145000000000003</v>
      </c>
      <c r="I150">
        <v>48.145000000000003</v>
      </c>
      <c r="J150">
        <v>48.145000000000003</v>
      </c>
      <c r="K150">
        <v>48.145000000000003</v>
      </c>
      <c r="L150">
        <v>48.145000000000003</v>
      </c>
      <c r="M150">
        <v>48.145000000000003</v>
      </c>
      <c r="N150">
        <v>48.145000000000003</v>
      </c>
      <c r="O150">
        <v>48.145000000000003</v>
      </c>
      <c r="P150">
        <v>48.145000000000003</v>
      </c>
      <c r="Q150">
        <v>48.145000000000003</v>
      </c>
      <c r="R150">
        <v>48.145000000000003</v>
      </c>
      <c r="S150">
        <v>48.145000000000003</v>
      </c>
      <c r="T150">
        <v>48.145000000000003</v>
      </c>
      <c r="U150">
        <v>48.145000000000003</v>
      </c>
      <c r="V150">
        <v>48.145000000000003</v>
      </c>
      <c r="W150">
        <v>48.145000000000003</v>
      </c>
      <c r="X150">
        <v>48.145000000000003</v>
      </c>
      <c r="Y150">
        <v>48.145000000000003</v>
      </c>
      <c r="Z150">
        <v>48.145000000000003</v>
      </c>
      <c r="AA150">
        <v>48.145000000000003</v>
      </c>
      <c r="AB150">
        <v>48.145000000000003</v>
      </c>
      <c r="AC150">
        <v>48.145000000000003</v>
      </c>
      <c r="AD150">
        <v>48.145000000000003</v>
      </c>
      <c r="AE150">
        <v>48.145000000000003</v>
      </c>
      <c r="AF150">
        <v>48.145000000000003</v>
      </c>
      <c r="AG150">
        <v>48.145000000000003</v>
      </c>
      <c r="AH150">
        <v>48.145000000000003</v>
      </c>
      <c r="AI150">
        <v>48.145000000000003</v>
      </c>
      <c r="AJ150">
        <v>48.145000000000003</v>
      </c>
      <c r="AK150">
        <v>48.145000000000003</v>
      </c>
      <c r="AL150">
        <v>48.145000000000003</v>
      </c>
      <c r="AM150">
        <v>48.145000000000003</v>
      </c>
      <c r="AN150">
        <v>48.145000000000003</v>
      </c>
      <c r="AO150">
        <v>48.145000000000003</v>
      </c>
      <c r="AP150">
        <v>48.145000000000003</v>
      </c>
      <c r="AQ150">
        <v>48.145000000000003</v>
      </c>
      <c r="AR150">
        <v>48.145000000000003</v>
      </c>
      <c r="AS150">
        <v>48.145000000000003</v>
      </c>
      <c r="AT150">
        <v>48.145000000000003</v>
      </c>
      <c r="AU150">
        <v>48.145000000000003</v>
      </c>
      <c r="AV150">
        <v>48.145000000000003</v>
      </c>
      <c r="AW150">
        <v>48.145000000000003</v>
      </c>
      <c r="AX150">
        <v>48.145000000000003</v>
      </c>
      <c r="AY150">
        <v>48.145000000000003</v>
      </c>
      <c r="AZ150">
        <v>48.145000000000003</v>
      </c>
      <c r="BA150">
        <v>48.145000000000003</v>
      </c>
      <c r="BB150">
        <v>48.145000000000003</v>
      </c>
      <c r="BC150">
        <v>48.145000000000003</v>
      </c>
      <c r="BD150">
        <v>48.145000000000003</v>
      </c>
      <c r="BE150">
        <v>48.145000000000003</v>
      </c>
      <c r="BF150">
        <v>48.145000000000003</v>
      </c>
      <c r="BG150">
        <v>48.145000000000003</v>
      </c>
      <c r="BH150">
        <v>48.145000000000003</v>
      </c>
      <c r="BI150">
        <v>48.145000000000003</v>
      </c>
      <c r="BJ150">
        <v>48.145000000000003</v>
      </c>
      <c r="BK150">
        <v>48.145000000000003</v>
      </c>
      <c r="BL150">
        <v>48.145000000000003</v>
      </c>
    </row>
    <row r="151" spans="1:64" x14ac:dyDescent="0.25">
      <c r="A151">
        <v>48.046999999999997</v>
      </c>
      <c r="B151">
        <v>48.046999999999997</v>
      </c>
      <c r="C151">
        <v>48.046999999999997</v>
      </c>
      <c r="D151">
        <v>48.046999999999997</v>
      </c>
      <c r="E151">
        <v>48.046999999999997</v>
      </c>
      <c r="F151">
        <v>48.046999999999997</v>
      </c>
      <c r="G151">
        <v>48.046999999999997</v>
      </c>
      <c r="H151">
        <v>48.046999999999997</v>
      </c>
      <c r="I151">
        <v>48.046999999999997</v>
      </c>
      <c r="J151">
        <v>48.046999999999997</v>
      </c>
      <c r="K151">
        <v>48.046999999999997</v>
      </c>
      <c r="L151">
        <v>48.046999999999997</v>
      </c>
      <c r="M151">
        <v>48.046999999999997</v>
      </c>
      <c r="N151">
        <v>48.046999999999997</v>
      </c>
      <c r="O151">
        <v>48.046999999999997</v>
      </c>
      <c r="P151">
        <v>48.046999999999997</v>
      </c>
      <c r="Q151">
        <v>48.046999999999997</v>
      </c>
      <c r="R151">
        <v>48.046999999999997</v>
      </c>
      <c r="S151">
        <v>48.046999999999997</v>
      </c>
      <c r="T151">
        <v>48.046999999999997</v>
      </c>
      <c r="U151">
        <v>48.046999999999997</v>
      </c>
      <c r="V151">
        <v>48.046999999999997</v>
      </c>
      <c r="W151">
        <v>48.046999999999997</v>
      </c>
      <c r="X151">
        <v>48.046999999999997</v>
      </c>
      <c r="Y151">
        <v>48.046999999999997</v>
      </c>
      <c r="Z151">
        <v>48.046999999999997</v>
      </c>
      <c r="AA151">
        <v>48.046999999999997</v>
      </c>
      <c r="AB151">
        <v>48.046999999999997</v>
      </c>
      <c r="AC151">
        <v>48.046999999999997</v>
      </c>
      <c r="AD151">
        <v>48.046999999999997</v>
      </c>
      <c r="AE151">
        <v>48.046999999999997</v>
      </c>
      <c r="AF151">
        <v>48.046999999999997</v>
      </c>
      <c r="AG151">
        <v>48.046999999999997</v>
      </c>
      <c r="AH151">
        <v>48.046999999999997</v>
      </c>
      <c r="AI151">
        <v>48.046999999999997</v>
      </c>
      <c r="AJ151">
        <v>48.046999999999997</v>
      </c>
      <c r="AK151">
        <v>48.046999999999997</v>
      </c>
      <c r="AL151">
        <v>48.046999999999997</v>
      </c>
      <c r="AM151">
        <v>48.046999999999997</v>
      </c>
      <c r="AN151">
        <v>48.046999999999997</v>
      </c>
      <c r="AO151">
        <v>48.046999999999997</v>
      </c>
      <c r="AP151">
        <v>48.046999999999997</v>
      </c>
      <c r="AQ151">
        <v>48.046999999999997</v>
      </c>
      <c r="AR151">
        <v>48.046999999999997</v>
      </c>
      <c r="AS151">
        <v>48.046999999999997</v>
      </c>
      <c r="AT151">
        <v>48.046999999999997</v>
      </c>
      <c r="AU151">
        <v>48.046999999999997</v>
      </c>
      <c r="AV151">
        <v>48.046999999999997</v>
      </c>
      <c r="AW151">
        <v>48.046999999999997</v>
      </c>
      <c r="AX151">
        <v>48.046999999999997</v>
      </c>
      <c r="AY151">
        <v>48.046999999999997</v>
      </c>
      <c r="AZ151">
        <v>48.046999999999997</v>
      </c>
      <c r="BA151">
        <v>48.046999999999997</v>
      </c>
      <c r="BB151">
        <v>48.046999999999997</v>
      </c>
      <c r="BC151">
        <v>48.046999999999997</v>
      </c>
      <c r="BD151">
        <v>48.046999999999997</v>
      </c>
      <c r="BE151">
        <v>48.046999999999997</v>
      </c>
      <c r="BF151">
        <v>48.046999999999997</v>
      </c>
      <c r="BG151">
        <v>48.046999999999997</v>
      </c>
      <c r="BH151">
        <v>48.046999999999997</v>
      </c>
      <c r="BI151">
        <v>48.046999999999997</v>
      </c>
      <c r="BJ151">
        <v>48.046999999999997</v>
      </c>
      <c r="BK151">
        <v>48.046999999999997</v>
      </c>
      <c r="BL151">
        <v>48.046999999999997</v>
      </c>
    </row>
    <row r="152" spans="1:64" x14ac:dyDescent="0.25">
      <c r="A152">
        <v>47.948999999999998</v>
      </c>
      <c r="B152">
        <v>47.948999999999998</v>
      </c>
      <c r="C152">
        <v>47.948999999999998</v>
      </c>
      <c r="D152">
        <v>47.948999999999998</v>
      </c>
      <c r="E152">
        <v>47.948999999999998</v>
      </c>
      <c r="F152">
        <v>47.948999999999998</v>
      </c>
      <c r="G152">
        <v>47.948999999999998</v>
      </c>
      <c r="H152">
        <v>47.948999999999998</v>
      </c>
      <c r="I152">
        <v>47.948999999999998</v>
      </c>
      <c r="J152">
        <v>47.948999999999998</v>
      </c>
      <c r="K152">
        <v>47.948999999999998</v>
      </c>
      <c r="L152">
        <v>47.948999999999998</v>
      </c>
      <c r="M152">
        <v>47.948999999999998</v>
      </c>
      <c r="N152">
        <v>47.948999999999998</v>
      </c>
      <c r="O152">
        <v>47.948999999999998</v>
      </c>
      <c r="P152">
        <v>47.948999999999998</v>
      </c>
      <c r="Q152">
        <v>47.948999999999998</v>
      </c>
      <c r="R152">
        <v>47.948999999999998</v>
      </c>
      <c r="S152">
        <v>47.948999999999998</v>
      </c>
      <c r="T152">
        <v>47.948999999999998</v>
      </c>
      <c r="U152">
        <v>47.948999999999998</v>
      </c>
      <c r="V152">
        <v>47.948999999999998</v>
      </c>
      <c r="W152">
        <v>47.948999999999998</v>
      </c>
      <c r="X152">
        <v>47.948999999999998</v>
      </c>
      <c r="Y152">
        <v>47.948999999999998</v>
      </c>
      <c r="Z152">
        <v>47.948999999999998</v>
      </c>
      <c r="AA152">
        <v>47.948999999999998</v>
      </c>
      <c r="AB152">
        <v>47.948999999999998</v>
      </c>
      <c r="AC152">
        <v>47.948999999999998</v>
      </c>
      <c r="AD152">
        <v>47.948999999999998</v>
      </c>
      <c r="AE152">
        <v>47.948999999999998</v>
      </c>
      <c r="AF152">
        <v>47.948999999999998</v>
      </c>
      <c r="AG152">
        <v>47.948999999999998</v>
      </c>
      <c r="AH152">
        <v>47.948999999999998</v>
      </c>
      <c r="AI152">
        <v>47.948999999999998</v>
      </c>
      <c r="AJ152">
        <v>47.948999999999998</v>
      </c>
      <c r="AK152">
        <v>47.948999999999998</v>
      </c>
      <c r="AL152">
        <v>47.948999999999998</v>
      </c>
      <c r="AM152">
        <v>47.948999999999998</v>
      </c>
      <c r="AN152">
        <v>47.948999999999998</v>
      </c>
      <c r="AO152">
        <v>47.948999999999998</v>
      </c>
      <c r="AP152">
        <v>47.948999999999998</v>
      </c>
      <c r="AQ152">
        <v>47.948999999999998</v>
      </c>
      <c r="AR152">
        <v>47.948999999999998</v>
      </c>
      <c r="AS152">
        <v>47.948999999999998</v>
      </c>
      <c r="AT152">
        <v>47.948999999999998</v>
      </c>
      <c r="AU152">
        <v>47.948999999999998</v>
      </c>
      <c r="AV152">
        <v>47.948999999999998</v>
      </c>
      <c r="AW152">
        <v>47.948999999999998</v>
      </c>
      <c r="AX152">
        <v>47.948999999999998</v>
      </c>
      <c r="AY152">
        <v>47.948999999999998</v>
      </c>
      <c r="AZ152">
        <v>47.948999999999998</v>
      </c>
      <c r="BA152">
        <v>47.948999999999998</v>
      </c>
      <c r="BB152">
        <v>47.948999999999998</v>
      </c>
      <c r="BC152">
        <v>47.948999999999998</v>
      </c>
      <c r="BD152">
        <v>47.948999999999998</v>
      </c>
      <c r="BE152">
        <v>47.948999999999998</v>
      </c>
      <c r="BF152">
        <v>47.948999999999998</v>
      </c>
      <c r="BG152">
        <v>47.948999999999998</v>
      </c>
      <c r="BH152">
        <v>47.948999999999998</v>
      </c>
      <c r="BI152">
        <v>47.948999999999998</v>
      </c>
      <c r="BJ152">
        <v>47.948999999999998</v>
      </c>
      <c r="BK152">
        <v>47.948999999999998</v>
      </c>
      <c r="BL152">
        <v>47.948999999999998</v>
      </c>
    </row>
    <row r="153" spans="1:64" x14ac:dyDescent="0.25">
      <c r="A153">
        <v>47.851999999999997</v>
      </c>
      <c r="B153">
        <v>47.851999999999997</v>
      </c>
      <c r="C153">
        <v>47.851999999999997</v>
      </c>
      <c r="D153">
        <v>47.851999999999997</v>
      </c>
      <c r="E153">
        <v>47.851999999999997</v>
      </c>
      <c r="F153">
        <v>47.851999999999997</v>
      </c>
      <c r="G153">
        <v>47.851999999999997</v>
      </c>
      <c r="H153">
        <v>47.851999999999997</v>
      </c>
      <c r="I153">
        <v>47.851999999999997</v>
      </c>
      <c r="J153">
        <v>47.851999999999997</v>
      </c>
      <c r="K153">
        <v>47.851999999999997</v>
      </c>
      <c r="L153">
        <v>47.851999999999997</v>
      </c>
      <c r="M153">
        <v>47.851999999999997</v>
      </c>
      <c r="N153">
        <v>47.851999999999997</v>
      </c>
      <c r="O153">
        <v>47.851999999999997</v>
      </c>
      <c r="P153">
        <v>47.851999999999997</v>
      </c>
      <c r="Q153">
        <v>47.851999999999997</v>
      </c>
      <c r="R153">
        <v>47.851999999999997</v>
      </c>
      <c r="S153">
        <v>47.851999999999997</v>
      </c>
      <c r="T153">
        <v>47.851999999999997</v>
      </c>
      <c r="U153">
        <v>47.851999999999997</v>
      </c>
      <c r="V153">
        <v>47.851999999999997</v>
      </c>
      <c r="W153">
        <v>47.851999999999997</v>
      </c>
      <c r="X153">
        <v>47.851999999999997</v>
      </c>
      <c r="Y153">
        <v>47.851999999999997</v>
      </c>
      <c r="Z153">
        <v>47.851999999999997</v>
      </c>
      <c r="AA153">
        <v>47.851999999999997</v>
      </c>
      <c r="AB153">
        <v>47.851999999999997</v>
      </c>
      <c r="AC153">
        <v>47.851999999999997</v>
      </c>
      <c r="AD153">
        <v>47.851999999999997</v>
      </c>
      <c r="AE153">
        <v>47.851999999999997</v>
      </c>
      <c r="AF153">
        <v>47.851999999999997</v>
      </c>
      <c r="AG153">
        <v>47.851999999999997</v>
      </c>
      <c r="AH153">
        <v>47.851999999999997</v>
      </c>
      <c r="AI153">
        <v>47.851999999999997</v>
      </c>
      <c r="AJ153">
        <v>47.851999999999997</v>
      </c>
      <c r="AK153">
        <v>47.851999999999997</v>
      </c>
      <c r="AL153">
        <v>47.851999999999997</v>
      </c>
      <c r="AM153">
        <v>47.851999999999997</v>
      </c>
      <c r="AN153">
        <v>47.851999999999997</v>
      </c>
      <c r="AO153">
        <v>47.851999999999997</v>
      </c>
      <c r="AP153">
        <v>47.851999999999997</v>
      </c>
      <c r="AQ153">
        <v>47.851999999999997</v>
      </c>
      <c r="AR153">
        <v>47.851999999999997</v>
      </c>
      <c r="AS153">
        <v>47.851999999999997</v>
      </c>
      <c r="AT153">
        <v>47.851999999999997</v>
      </c>
      <c r="AU153">
        <v>47.851999999999997</v>
      </c>
      <c r="AV153">
        <v>47.851999999999997</v>
      </c>
      <c r="AW153">
        <v>47.851999999999997</v>
      </c>
      <c r="AX153">
        <v>47.851999999999997</v>
      </c>
      <c r="AY153">
        <v>47.851999999999997</v>
      </c>
      <c r="AZ153">
        <v>47.851999999999997</v>
      </c>
      <c r="BA153">
        <v>47.851999999999997</v>
      </c>
      <c r="BB153">
        <v>47.851999999999997</v>
      </c>
      <c r="BC153">
        <v>47.851999999999997</v>
      </c>
      <c r="BD153">
        <v>47.851999999999997</v>
      </c>
      <c r="BE153">
        <v>47.851999999999997</v>
      </c>
      <c r="BF153">
        <v>47.851999999999997</v>
      </c>
      <c r="BG153">
        <v>47.851999999999997</v>
      </c>
      <c r="BH153">
        <v>47.851999999999997</v>
      </c>
      <c r="BI153">
        <v>47.851999999999997</v>
      </c>
      <c r="BJ153">
        <v>47.851999999999997</v>
      </c>
      <c r="BK153">
        <v>47.851999999999997</v>
      </c>
      <c r="BL153">
        <v>47.851999999999997</v>
      </c>
    </row>
    <row r="154" spans="1:64" x14ac:dyDescent="0.25">
      <c r="A154">
        <v>47.753999999999998</v>
      </c>
      <c r="B154">
        <v>47.753999999999998</v>
      </c>
      <c r="C154">
        <v>47.753999999999998</v>
      </c>
      <c r="D154">
        <v>47.753999999999998</v>
      </c>
      <c r="E154">
        <v>47.753999999999998</v>
      </c>
      <c r="F154">
        <v>47.753999999999998</v>
      </c>
      <c r="G154">
        <v>47.753999999999998</v>
      </c>
      <c r="H154">
        <v>47.753999999999998</v>
      </c>
      <c r="I154">
        <v>47.753999999999998</v>
      </c>
      <c r="J154">
        <v>47.753999999999998</v>
      </c>
      <c r="K154">
        <v>47.753999999999998</v>
      </c>
      <c r="L154">
        <v>47.753999999999998</v>
      </c>
      <c r="M154">
        <v>47.753999999999998</v>
      </c>
      <c r="N154">
        <v>47.753999999999998</v>
      </c>
      <c r="O154">
        <v>47.753999999999998</v>
      </c>
      <c r="P154">
        <v>47.753999999999998</v>
      </c>
      <c r="Q154">
        <v>47.753999999999998</v>
      </c>
      <c r="R154">
        <v>47.753999999999998</v>
      </c>
      <c r="S154">
        <v>47.753999999999998</v>
      </c>
      <c r="T154">
        <v>47.753999999999998</v>
      </c>
      <c r="U154">
        <v>47.753999999999998</v>
      </c>
      <c r="V154">
        <v>47.753999999999998</v>
      </c>
      <c r="W154">
        <v>47.753999999999998</v>
      </c>
      <c r="X154">
        <v>47.753999999999998</v>
      </c>
      <c r="Y154">
        <v>47.753999999999998</v>
      </c>
      <c r="Z154">
        <v>47.753999999999998</v>
      </c>
      <c r="AA154">
        <v>47.753999999999998</v>
      </c>
      <c r="AB154">
        <v>47.753999999999998</v>
      </c>
      <c r="AC154">
        <v>47.753999999999998</v>
      </c>
      <c r="AD154">
        <v>47.753999999999998</v>
      </c>
      <c r="AE154">
        <v>47.753999999999998</v>
      </c>
      <c r="AF154">
        <v>47.753999999999998</v>
      </c>
      <c r="AG154">
        <v>47.753999999999998</v>
      </c>
      <c r="AH154">
        <v>47.753999999999998</v>
      </c>
      <c r="AI154">
        <v>47.753999999999998</v>
      </c>
      <c r="AJ154">
        <v>47.753999999999998</v>
      </c>
      <c r="AK154">
        <v>47.753999999999998</v>
      </c>
      <c r="AL154">
        <v>47.753999999999998</v>
      </c>
      <c r="AM154">
        <v>47.753999999999998</v>
      </c>
      <c r="AN154">
        <v>47.753999999999998</v>
      </c>
      <c r="AO154">
        <v>47.753999999999998</v>
      </c>
      <c r="AP154">
        <v>47.753999999999998</v>
      </c>
      <c r="AQ154">
        <v>47.753999999999998</v>
      </c>
      <c r="AR154">
        <v>47.753999999999998</v>
      </c>
      <c r="AS154">
        <v>47.753999999999998</v>
      </c>
      <c r="AT154">
        <v>47.753999999999998</v>
      </c>
      <c r="AU154">
        <v>47.753999999999998</v>
      </c>
      <c r="AV154">
        <v>47.753999999999998</v>
      </c>
      <c r="AW154">
        <v>47.753999999999998</v>
      </c>
      <c r="AX154">
        <v>47.753999999999998</v>
      </c>
      <c r="AY154">
        <v>47.753999999999998</v>
      </c>
      <c r="AZ154">
        <v>47.753999999999998</v>
      </c>
      <c r="BA154">
        <v>47.753999999999998</v>
      </c>
      <c r="BB154">
        <v>47.753999999999998</v>
      </c>
      <c r="BC154">
        <v>47.753999999999998</v>
      </c>
      <c r="BD154">
        <v>47.753999999999998</v>
      </c>
      <c r="BE154">
        <v>47.753999999999998</v>
      </c>
      <c r="BF154">
        <v>47.753999999999998</v>
      </c>
      <c r="BG154">
        <v>47.753999999999998</v>
      </c>
      <c r="BH154">
        <v>47.753999999999998</v>
      </c>
      <c r="BI154">
        <v>47.753999999999998</v>
      </c>
      <c r="BJ154">
        <v>47.753999999999998</v>
      </c>
      <c r="BK154">
        <v>47.753999999999998</v>
      </c>
      <c r="BL154">
        <v>47.753999999999998</v>
      </c>
    </row>
    <row r="155" spans="1:64" x14ac:dyDescent="0.25">
      <c r="A155">
        <v>47.655999999999999</v>
      </c>
      <c r="B155">
        <v>47.655999999999999</v>
      </c>
      <c r="C155">
        <v>47.655999999999999</v>
      </c>
      <c r="D155">
        <v>47.655999999999999</v>
      </c>
      <c r="E155">
        <v>47.655999999999999</v>
      </c>
      <c r="F155">
        <v>47.655999999999999</v>
      </c>
      <c r="G155">
        <v>47.655999999999999</v>
      </c>
      <c r="H155">
        <v>47.655999999999999</v>
      </c>
      <c r="I155">
        <v>47.655999999999999</v>
      </c>
      <c r="J155">
        <v>47.655999999999999</v>
      </c>
      <c r="K155">
        <v>47.655999999999999</v>
      </c>
      <c r="L155">
        <v>47.655999999999999</v>
      </c>
      <c r="M155">
        <v>47.655999999999999</v>
      </c>
      <c r="N155">
        <v>47.655999999999999</v>
      </c>
      <c r="O155">
        <v>47.655999999999999</v>
      </c>
      <c r="P155">
        <v>47.655999999999999</v>
      </c>
      <c r="Q155">
        <v>47.655999999999999</v>
      </c>
      <c r="R155">
        <v>47.655999999999999</v>
      </c>
      <c r="S155">
        <v>47.655999999999999</v>
      </c>
      <c r="T155">
        <v>47.655999999999999</v>
      </c>
      <c r="U155">
        <v>47.655999999999999</v>
      </c>
      <c r="V155">
        <v>47.655999999999999</v>
      </c>
      <c r="W155">
        <v>47.655999999999999</v>
      </c>
      <c r="X155">
        <v>47.655999999999999</v>
      </c>
      <c r="Y155">
        <v>47.655999999999999</v>
      </c>
      <c r="Z155">
        <v>47.655999999999999</v>
      </c>
      <c r="AA155">
        <v>47.655999999999999</v>
      </c>
      <c r="AB155">
        <v>47.655999999999999</v>
      </c>
      <c r="AC155">
        <v>47.655999999999999</v>
      </c>
      <c r="AD155">
        <v>47.655999999999999</v>
      </c>
      <c r="AE155">
        <v>47.655999999999999</v>
      </c>
      <c r="AF155">
        <v>47.655999999999999</v>
      </c>
      <c r="AG155">
        <v>47.655999999999999</v>
      </c>
      <c r="AH155">
        <v>47.655999999999999</v>
      </c>
      <c r="AI155">
        <v>47.655999999999999</v>
      </c>
      <c r="AJ155">
        <v>47.655999999999999</v>
      </c>
      <c r="AK155">
        <v>47.655999999999999</v>
      </c>
      <c r="AL155">
        <v>47.655999999999999</v>
      </c>
      <c r="AM155">
        <v>47.655999999999999</v>
      </c>
      <c r="AN155">
        <v>47.655999999999999</v>
      </c>
      <c r="AO155">
        <v>47.655999999999999</v>
      </c>
      <c r="AP155">
        <v>47.655999999999999</v>
      </c>
      <c r="AQ155">
        <v>47.655999999999999</v>
      </c>
      <c r="AR155">
        <v>47.655999999999999</v>
      </c>
      <c r="AS155">
        <v>47.655999999999999</v>
      </c>
      <c r="AT155">
        <v>47.655999999999999</v>
      </c>
      <c r="AU155">
        <v>47.655999999999999</v>
      </c>
      <c r="AV155">
        <v>47.655999999999999</v>
      </c>
      <c r="AW155">
        <v>47.655999999999999</v>
      </c>
      <c r="AX155">
        <v>47.655999999999999</v>
      </c>
      <c r="AY155">
        <v>47.655999999999999</v>
      </c>
      <c r="AZ155">
        <v>47.655999999999999</v>
      </c>
      <c r="BA155">
        <v>47.655999999999999</v>
      </c>
      <c r="BB155">
        <v>47.655999999999999</v>
      </c>
      <c r="BC155">
        <v>47.655999999999999</v>
      </c>
      <c r="BD155">
        <v>47.655999999999999</v>
      </c>
      <c r="BE155">
        <v>47.655999999999999</v>
      </c>
      <c r="BF155">
        <v>47.655999999999999</v>
      </c>
      <c r="BG155">
        <v>47.655999999999999</v>
      </c>
      <c r="BH155">
        <v>47.655999999999999</v>
      </c>
      <c r="BI155">
        <v>47.655999999999999</v>
      </c>
      <c r="BJ155">
        <v>47.655999999999999</v>
      </c>
      <c r="BK155">
        <v>47.655999999999999</v>
      </c>
      <c r="BL155">
        <v>47.655999999999999</v>
      </c>
    </row>
    <row r="156" spans="1:64" x14ac:dyDescent="0.25">
      <c r="A156">
        <v>47.558999999999997</v>
      </c>
      <c r="B156">
        <v>47.558999999999997</v>
      </c>
      <c r="C156">
        <v>47.558999999999997</v>
      </c>
      <c r="D156">
        <v>47.558999999999997</v>
      </c>
      <c r="E156">
        <v>47.558999999999997</v>
      </c>
      <c r="F156">
        <v>47.558999999999997</v>
      </c>
      <c r="G156">
        <v>47.558999999999997</v>
      </c>
      <c r="H156">
        <v>47.558999999999997</v>
      </c>
      <c r="I156">
        <v>47.558999999999997</v>
      </c>
      <c r="J156">
        <v>47.558999999999997</v>
      </c>
      <c r="K156">
        <v>47.558999999999997</v>
      </c>
      <c r="L156">
        <v>47.558999999999997</v>
      </c>
      <c r="M156">
        <v>47.558999999999997</v>
      </c>
      <c r="N156">
        <v>47.558999999999997</v>
      </c>
      <c r="O156">
        <v>47.558999999999997</v>
      </c>
      <c r="P156">
        <v>47.558999999999997</v>
      </c>
      <c r="Q156">
        <v>47.558999999999997</v>
      </c>
      <c r="R156">
        <v>47.558999999999997</v>
      </c>
      <c r="S156">
        <v>47.558999999999997</v>
      </c>
      <c r="T156">
        <v>47.558999999999997</v>
      </c>
      <c r="U156">
        <v>47.558999999999997</v>
      </c>
      <c r="V156">
        <v>47.558999999999997</v>
      </c>
      <c r="W156">
        <v>47.558999999999997</v>
      </c>
      <c r="X156">
        <v>47.558999999999997</v>
      </c>
      <c r="Y156">
        <v>47.558999999999997</v>
      </c>
      <c r="Z156">
        <v>47.558999999999997</v>
      </c>
      <c r="AA156">
        <v>47.558999999999997</v>
      </c>
      <c r="AB156">
        <v>47.558999999999997</v>
      </c>
      <c r="AC156">
        <v>47.558999999999997</v>
      </c>
      <c r="AD156">
        <v>47.558999999999997</v>
      </c>
      <c r="AE156">
        <v>47.558999999999997</v>
      </c>
      <c r="AF156">
        <v>47.558999999999997</v>
      </c>
      <c r="AG156">
        <v>47.558999999999997</v>
      </c>
      <c r="AH156">
        <v>47.558999999999997</v>
      </c>
      <c r="AI156">
        <v>47.558999999999997</v>
      </c>
      <c r="AJ156">
        <v>47.558999999999997</v>
      </c>
      <c r="AK156">
        <v>47.558999999999997</v>
      </c>
      <c r="AL156">
        <v>47.558999999999997</v>
      </c>
      <c r="AM156">
        <v>47.558999999999997</v>
      </c>
      <c r="AN156">
        <v>47.558999999999997</v>
      </c>
      <c r="AO156">
        <v>47.558999999999997</v>
      </c>
      <c r="AP156">
        <v>47.558999999999997</v>
      </c>
      <c r="AQ156">
        <v>47.558999999999997</v>
      </c>
      <c r="AR156">
        <v>47.558999999999997</v>
      </c>
      <c r="AS156">
        <v>47.558999999999997</v>
      </c>
      <c r="AT156">
        <v>47.558999999999997</v>
      </c>
      <c r="AU156">
        <v>47.558999999999997</v>
      </c>
      <c r="AV156">
        <v>47.558999999999997</v>
      </c>
      <c r="AW156">
        <v>47.558999999999997</v>
      </c>
      <c r="AX156">
        <v>47.558999999999997</v>
      </c>
      <c r="AY156">
        <v>47.558999999999997</v>
      </c>
      <c r="AZ156">
        <v>47.558999999999997</v>
      </c>
      <c r="BA156">
        <v>47.558999999999997</v>
      </c>
      <c r="BB156">
        <v>47.558999999999997</v>
      </c>
      <c r="BC156">
        <v>47.558999999999997</v>
      </c>
      <c r="BD156">
        <v>47.558999999999997</v>
      </c>
      <c r="BE156">
        <v>47.558999999999997</v>
      </c>
      <c r="BF156">
        <v>47.558999999999997</v>
      </c>
      <c r="BG156">
        <v>47.558999999999997</v>
      </c>
      <c r="BH156">
        <v>47.558999999999997</v>
      </c>
      <c r="BI156">
        <v>47.558999999999997</v>
      </c>
      <c r="BJ156">
        <v>47.558999999999997</v>
      </c>
      <c r="BK156">
        <v>47.558999999999997</v>
      </c>
      <c r="BL156">
        <v>47.558999999999997</v>
      </c>
    </row>
    <row r="157" spans="1:64" x14ac:dyDescent="0.25">
      <c r="A157">
        <v>47.460999999999999</v>
      </c>
      <c r="B157">
        <v>47.460999999999999</v>
      </c>
      <c r="C157">
        <v>47.460999999999999</v>
      </c>
      <c r="D157">
        <v>47.460999999999999</v>
      </c>
      <c r="E157">
        <v>47.460999999999999</v>
      </c>
      <c r="F157">
        <v>47.460999999999999</v>
      </c>
      <c r="G157">
        <v>47.460999999999999</v>
      </c>
      <c r="H157">
        <v>47.460999999999999</v>
      </c>
      <c r="I157">
        <v>47.460999999999999</v>
      </c>
      <c r="J157">
        <v>47.460999999999999</v>
      </c>
      <c r="K157">
        <v>47.460999999999999</v>
      </c>
      <c r="L157">
        <v>47.460999999999999</v>
      </c>
      <c r="M157">
        <v>47.460999999999999</v>
      </c>
      <c r="N157">
        <v>47.460999999999999</v>
      </c>
      <c r="O157">
        <v>47.460999999999999</v>
      </c>
      <c r="P157">
        <v>47.460999999999999</v>
      </c>
      <c r="Q157">
        <v>47.460999999999999</v>
      </c>
      <c r="R157">
        <v>47.460999999999999</v>
      </c>
      <c r="S157">
        <v>47.460999999999999</v>
      </c>
      <c r="T157">
        <v>47.460999999999999</v>
      </c>
      <c r="U157">
        <v>47.460999999999999</v>
      </c>
      <c r="V157">
        <v>47.460999999999999</v>
      </c>
      <c r="W157">
        <v>47.460999999999999</v>
      </c>
      <c r="X157">
        <v>47.460999999999999</v>
      </c>
      <c r="Y157">
        <v>47.460999999999999</v>
      </c>
      <c r="Z157">
        <v>47.460999999999999</v>
      </c>
      <c r="AA157">
        <v>47.460999999999999</v>
      </c>
      <c r="AB157">
        <v>47.460999999999999</v>
      </c>
      <c r="AC157">
        <v>47.460999999999999</v>
      </c>
      <c r="AD157">
        <v>47.460999999999999</v>
      </c>
      <c r="AE157">
        <v>47.460999999999999</v>
      </c>
      <c r="AF157">
        <v>47.460999999999999</v>
      </c>
      <c r="AG157">
        <v>47.460999999999999</v>
      </c>
      <c r="AH157">
        <v>47.460999999999999</v>
      </c>
      <c r="AI157">
        <v>47.460999999999999</v>
      </c>
      <c r="AJ157">
        <v>47.460999999999999</v>
      </c>
      <c r="AK157">
        <v>47.460999999999999</v>
      </c>
      <c r="AL157">
        <v>47.460999999999999</v>
      </c>
      <c r="AM157">
        <v>47.460999999999999</v>
      </c>
      <c r="AN157">
        <v>47.460999999999999</v>
      </c>
      <c r="AO157">
        <v>47.460999999999999</v>
      </c>
      <c r="AP157">
        <v>47.460999999999999</v>
      </c>
      <c r="AQ157">
        <v>47.460999999999999</v>
      </c>
      <c r="AR157">
        <v>47.460999999999999</v>
      </c>
      <c r="AS157">
        <v>47.460999999999999</v>
      </c>
      <c r="AT157">
        <v>47.460999999999999</v>
      </c>
      <c r="AU157">
        <v>47.460999999999999</v>
      </c>
      <c r="AV157">
        <v>47.460999999999999</v>
      </c>
      <c r="AW157">
        <v>47.460999999999999</v>
      </c>
      <c r="AX157">
        <v>47.460999999999999</v>
      </c>
      <c r="AY157">
        <v>47.460999999999999</v>
      </c>
      <c r="AZ157">
        <v>47.460999999999999</v>
      </c>
      <c r="BA157">
        <v>47.460999999999999</v>
      </c>
      <c r="BB157">
        <v>47.460999999999999</v>
      </c>
      <c r="BC157">
        <v>47.460999999999999</v>
      </c>
      <c r="BD157">
        <v>47.460999999999999</v>
      </c>
      <c r="BE157">
        <v>47.460999999999999</v>
      </c>
      <c r="BF157">
        <v>47.460999999999999</v>
      </c>
      <c r="BG157">
        <v>47.460999999999999</v>
      </c>
      <c r="BH157">
        <v>47.460999999999999</v>
      </c>
      <c r="BI157">
        <v>47.460999999999999</v>
      </c>
      <c r="BJ157">
        <v>47.460999999999999</v>
      </c>
      <c r="BK157">
        <v>47.460999999999999</v>
      </c>
      <c r="BL157">
        <v>47.460999999999999</v>
      </c>
    </row>
    <row r="158" spans="1:64" x14ac:dyDescent="0.25">
      <c r="A158">
        <v>47.363</v>
      </c>
      <c r="B158">
        <v>47.363</v>
      </c>
      <c r="C158">
        <v>47.363</v>
      </c>
      <c r="D158">
        <v>47.363</v>
      </c>
      <c r="E158">
        <v>47.363</v>
      </c>
      <c r="F158">
        <v>47.363</v>
      </c>
      <c r="G158">
        <v>47.363</v>
      </c>
      <c r="H158">
        <v>47.363</v>
      </c>
      <c r="I158">
        <v>47.363</v>
      </c>
      <c r="J158">
        <v>47.363</v>
      </c>
      <c r="K158">
        <v>47.363</v>
      </c>
      <c r="L158">
        <v>47.363</v>
      </c>
      <c r="M158">
        <v>47.363</v>
      </c>
      <c r="N158">
        <v>47.363</v>
      </c>
      <c r="O158">
        <v>47.363</v>
      </c>
      <c r="P158">
        <v>47.363</v>
      </c>
      <c r="Q158">
        <v>47.363</v>
      </c>
      <c r="R158">
        <v>47.363</v>
      </c>
      <c r="S158">
        <v>47.363</v>
      </c>
      <c r="T158">
        <v>47.363</v>
      </c>
      <c r="U158">
        <v>47.363</v>
      </c>
      <c r="V158">
        <v>47.363</v>
      </c>
      <c r="W158">
        <v>47.363</v>
      </c>
      <c r="X158">
        <v>47.363</v>
      </c>
      <c r="Y158">
        <v>47.363</v>
      </c>
      <c r="Z158">
        <v>47.363</v>
      </c>
      <c r="AA158">
        <v>47.363</v>
      </c>
      <c r="AB158">
        <v>47.363</v>
      </c>
      <c r="AC158">
        <v>47.363</v>
      </c>
      <c r="AD158">
        <v>47.363</v>
      </c>
      <c r="AE158">
        <v>47.363</v>
      </c>
      <c r="AF158">
        <v>47.363</v>
      </c>
      <c r="AG158">
        <v>47.363</v>
      </c>
      <c r="AH158">
        <v>47.363</v>
      </c>
      <c r="AI158">
        <v>47.363</v>
      </c>
      <c r="AJ158">
        <v>47.363</v>
      </c>
      <c r="AK158">
        <v>47.363</v>
      </c>
      <c r="AL158">
        <v>47.363</v>
      </c>
      <c r="AM158">
        <v>47.363</v>
      </c>
      <c r="AN158">
        <v>47.363</v>
      </c>
      <c r="AO158">
        <v>47.363</v>
      </c>
      <c r="AP158">
        <v>47.363</v>
      </c>
      <c r="AQ158">
        <v>47.363</v>
      </c>
      <c r="AR158">
        <v>47.363</v>
      </c>
      <c r="AS158">
        <v>47.363</v>
      </c>
      <c r="AT158">
        <v>47.363</v>
      </c>
      <c r="AU158">
        <v>47.363</v>
      </c>
      <c r="AV158">
        <v>47.363</v>
      </c>
      <c r="AW158">
        <v>47.363</v>
      </c>
      <c r="AX158">
        <v>47.363</v>
      </c>
      <c r="AY158">
        <v>47.363</v>
      </c>
      <c r="AZ158">
        <v>47.363</v>
      </c>
      <c r="BA158">
        <v>47.363</v>
      </c>
      <c r="BB158">
        <v>47.363</v>
      </c>
      <c r="BC158">
        <v>47.363</v>
      </c>
      <c r="BD158">
        <v>47.363</v>
      </c>
      <c r="BE158">
        <v>47.363</v>
      </c>
      <c r="BF158">
        <v>47.363</v>
      </c>
      <c r="BG158">
        <v>47.363</v>
      </c>
      <c r="BH158">
        <v>47.363</v>
      </c>
      <c r="BI158">
        <v>47.363</v>
      </c>
      <c r="BJ158">
        <v>47.363</v>
      </c>
      <c r="BK158">
        <v>47.363</v>
      </c>
      <c r="BL158">
        <v>47.363</v>
      </c>
    </row>
    <row r="159" spans="1:64" x14ac:dyDescent="0.25">
      <c r="A159">
        <v>47.265999999999998</v>
      </c>
      <c r="B159">
        <v>47.265999999999998</v>
      </c>
      <c r="C159">
        <v>47.265999999999998</v>
      </c>
      <c r="D159">
        <v>47.265999999999998</v>
      </c>
      <c r="E159">
        <v>47.265999999999998</v>
      </c>
      <c r="F159">
        <v>47.265999999999998</v>
      </c>
      <c r="G159">
        <v>47.265999999999998</v>
      </c>
      <c r="H159">
        <v>47.265999999999998</v>
      </c>
      <c r="I159">
        <v>47.265999999999998</v>
      </c>
      <c r="J159">
        <v>47.265999999999998</v>
      </c>
      <c r="K159">
        <v>47.265999999999998</v>
      </c>
      <c r="L159">
        <v>47.265999999999998</v>
      </c>
      <c r="M159">
        <v>47.265999999999998</v>
      </c>
      <c r="N159">
        <v>47.265999999999998</v>
      </c>
      <c r="O159">
        <v>47.265999999999998</v>
      </c>
      <c r="P159">
        <v>47.265999999999998</v>
      </c>
      <c r="Q159">
        <v>47.265999999999998</v>
      </c>
      <c r="R159">
        <v>47.265999999999998</v>
      </c>
      <c r="S159">
        <v>47.265999999999998</v>
      </c>
      <c r="T159">
        <v>47.265999999999998</v>
      </c>
      <c r="U159">
        <v>47.265999999999998</v>
      </c>
      <c r="V159">
        <v>47.265999999999998</v>
      </c>
      <c r="W159">
        <v>47.265999999999998</v>
      </c>
      <c r="X159">
        <v>47.265999999999998</v>
      </c>
      <c r="Y159">
        <v>47.265999999999998</v>
      </c>
      <c r="Z159">
        <v>47.265999999999998</v>
      </c>
      <c r="AA159">
        <v>47.265999999999998</v>
      </c>
      <c r="AB159">
        <v>47.265999999999998</v>
      </c>
      <c r="AC159">
        <v>47.265999999999998</v>
      </c>
      <c r="AD159">
        <v>47.265999999999998</v>
      </c>
      <c r="AE159">
        <v>47.265999999999998</v>
      </c>
      <c r="AF159">
        <v>47.265999999999998</v>
      </c>
      <c r="AG159">
        <v>47.265999999999998</v>
      </c>
      <c r="AH159">
        <v>47.265999999999998</v>
      </c>
      <c r="AI159">
        <v>47.265999999999998</v>
      </c>
      <c r="AJ159">
        <v>47.265999999999998</v>
      </c>
      <c r="AK159">
        <v>47.265999999999998</v>
      </c>
      <c r="AL159">
        <v>47.265999999999998</v>
      </c>
      <c r="AM159">
        <v>47.265999999999998</v>
      </c>
      <c r="AN159">
        <v>47.265999999999998</v>
      </c>
      <c r="AO159">
        <v>47.265999999999998</v>
      </c>
      <c r="AP159">
        <v>47.265999999999998</v>
      </c>
      <c r="AQ159">
        <v>47.265999999999998</v>
      </c>
      <c r="AR159">
        <v>47.265999999999998</v>
      </c>
      <c r="AS159">
        <v>47.265999999999998</v>
      </c>
      <c r="AT159">
        <v>47.265999999999998</v>
      </c>
      <c r="AU159">
        <v>47.265999999999998</v>
      </c>
      <c r="AV159">
        <v>47.265999999999998</v>
      </c>
      <c r="AW159">
        <v>47.265999999999998</v>
      </c>
      <c r="AX159">
        <v>47.265999999999998</v>
      </c>
      <c r="AY159">
        <v>47.265999999999998</v>
      </c>
      <c r="AZ159">
        <v>47.265999999999998</v>
      </c>
      <c r="BA159">
        <v>47.265999999999998</v>
      </c>
      <c r="BB159">
        <v>47.265999999999998</v>
      </c>
      <c r="BC159">
        <v>47.265999999999998</v>
      </c>
      <c r="BD159">
        <v>47.265999999999998</v>
      </c>
      <c r="BE159">
        <v>47.265999999999998</v>
      </c>
      <c r="BF159">
        <v>47.265999999999998</v>
      </c>
      <c r="BG159">
        <v>47.265999999999998</v>
      </c>
      <c r="BH159">
        <v>47.265999999999998</v>
      </c>
      <c r="BI159">
        <v>47.265999999999998</v>
      </c>
      <c r="BJ159">
        <v>47.265999999999998</v>
      </c>
      <c r="BK159">
        <v>47.265999999999998</v>
      </c>
      <c r="BL159">
        <v>47.265999999999998</v>
      </c>
    </row>
    <row r="160" spans="1:64" x14ac:dyDescent="0.25">
      <c r="A160">
        <v>47.167999999999999</v>
      </c>
      <c r="B160">
        <v>47.167999999999999</v>
      </c>
      <c r="C160">
        <v>47.167999999999999</v>
      </c>
      <c r="D160">
        <v>47.167999999999999</v>
      </c>
      <c r="E160">
        <v>47.167999999999999</v>
      </c>
      <c r="F160">
        <v>47.167999999999999</v>
      </c>
      <c r="G160">
        <v>47.167999999999999</v>
      </c>
      <c r="H160">
        <v>47.167999999999999</v>
      </c>
      <c r="I160">
        <v>47.167999999999999</v>
      </c>
      <c r="J160">
        <v>47.167999999999999</v>
      </c>
      <c r="K160">
        <v>47.167999999999999</v>
      </c>
      <c r="L160">
        <v>47.167999999999999</v>
      </c>
      <c r="M160">
        <v>47.167999999999999</v>
      </c>
      <c r="N160">
        <v>47.167999999999999</v>
      </c>
      <c r="O160">
        <v>47.167999999999999</v>
      </c>
      <c r="P160">
        <v>47.167999999999999</v>
      </c>
      <c r="Q160">
        <v>47.167999999999999</v>
      </c>
      <c r="R160">
        <v>47.167999999999999</v>
      </c>
      <c r="S160">
        <v>47.167999999999999</v>
      </c>
      <c r="T160">
        <v>47.167999999999999</v>
      </c>
      <c r="U160">
        <v>47.167999999999999</v>
      </c>
      <c r="V160">
        <v>47.167999999999999</v>
      </c>
      <c r="W160">
        <v>47.167999999999999</v>
      </c>
      <c r="X160">
        <v>47.167999999999999</v>
      </c>
      <c r="Y160">
        <v>47.167999999999999</v>
      </c>
      <c r="Z160">
        <v>47.167999999999999</v>
      </c>
      <c r="AA160">
        <v>47.167999999999999</v>
      </c>
      <c r="AB160">
        <v>47.167999999999999</v>
      </c>
      <c r="AC160">
        <v>47.167999999999999</v>
      </c>
      <c r="AD160">
        <v>47.167999999999999</v>
      </c>
      <c r="AE160">
        <v>47.167999999999999</v>
      </c>
      <c r="AF160">
        <v>47.167999999999999</v>
      </c>
      <c r="AG160">
        <v>47.167999999999999</v>
      </c>
      <c r="AH160">
        <v>47.167999999999999</v>
      </c>
      <c r="AI160">
        <v>47.167999999999999</v>
      </c>
      <c r="AJ160">
        <v>47.167999999999999</v>
      </c>
      <c r="AK160">
        <v>47.167999999999999</v>
      </c>
      <c r="AL160">
        <v>47.167999999999999</v>
      </c>
      <c r="AM160">
        <v>47.167999999999999</v>
      </c>
      <c r="AN160">
        <v>47.167999999999999</v>
      </c>
      <c r="AO160">
        <v>47.167999999999999</v>
      </c>
      <c r="AP160">
        <v>47.167999999999999</v>
      </c>
      <c r="AQ160">
        <v>47.167999999999999</v>
      </c>
      <c r="AR160">
        <v>47.167999999999999</v>
      </c>
      <c r="AS160">
        <v>47.167999999999999</v>
      </c>
      <c r="AT160">
        <v>47.167999999999999</v>
      </c>
      <c r="AU160">
        <v>47.167999999999999</v>
      </c>
      <c r="AV160">
        <v>47.167999999999999</v>
      </c>
      <c r="AW160">
        <v>47.167999999999999</v>
      </c>
      <c r="AX160">
        <v>47.167999999999999</v>
      </c>
      <c r="AY160">
        <v>47.167999999999999</v>
      </c>
      <c r="AZ160">
        <v>47.167999999999999</v>
      </c>
      <c r="BA160">
        <v>47.167999999999999</v>
      </c>
      <c r="BB160">
        <v>47.167999999999999</v>
      </c>
      <c r="BC160">
        <v>47.167999999999999</v>
      </c>
      <c r="BD160">
        <v>47.167999999999999</v>
      </c>
      <c r="BE160">
        <v>47.167999999999999</v>
      </c>
      <c r="BF160">
        <v>47.167999999999999</v>
      </c>
      <c r="BG160">
        <v>47.167999999999999</v>
      </c>
      <c r="BH160">
        <v>47.167999999999999</v>
      </c>
      <c r="BI160">
        <v>47.167999999999999</v>
      </c>
      <c r="BJ160">
        <v>47.167999999999999</v>
      </c>
      <c r="BK160">
        <v>47.167999999999999</v>
      </c>
      <c r="BL160">
        <v>47.167999999999999</v>
      </c>
    </row>
    <row r="161" spans="1:64" x14ac:dyDescent="0.25">
      <c r="A161">
        <v>47.07</v>
      </c>
      <c r="B161">
        <v>47.07</v>
      </c>
      <c r="C161">
        <v>47.07</v>
      </c>
      <c r="D161">
        <v>47.07</v>
      </c>
      <c r="E161">
        <v>47.07</v>
      </c>
      <c r="F161">
        <v>47.07</v>
      </c>
      <c r="G161">
        <v>47.07</v>
      </c>
      <c r="H161">
        <v>47.07</v>
      </c>
      <c r="I161">
        <v>47.07</v>
      </c>
      <c r="J161">
        <v>47.07</v>
      </c>
      <c r="K161">
        <v>47.07</v>
      </c>
      <c r="L161">
        <v>47.07</v>
      </c>
      <c r="M161">
        <v>47.07</v>
      </c>
      <c r="N161">
        <v>47.07</v>
      </c>
      <c r="O161">
        <v>47.07</v>
      </c>
      <c r="P161">
        <v>47.07</v>
      </c>
      <c r="Q161">
        <v>47.07</v>
      </c>
      <c r="R161">
        <v>47.07</v>
      </c>
      <c r="S161">
        <v>47.07</v>
      </c>
      <c r="T161">
        <v>47.07</v>
      </c>
      <c r="U161">
        <v>47.07</v>
      </c>
      <c r="V161">
        <v>47.07</v>
      </c>
      <c r="W161">
        <v>47.07</v>
      </c>
      <c r="X161">
        <v>47.07</v>
      </c>
      <c r="Y161">
        <v>47.07</v>
      </c>
      <c r="Z161">
        <v>47.07</v>
      </c>
      <c r="AA161">
        <v>47.07</v>
      </c>
      <c r="AB161">
        <v>47.07</v>
      </c>
      <c r="AC161">
        <v>47.07</v>
      </c>
      <c r="AD161">
        <v>47.07</v>
      </c>
      <c r="AE161">
        <v>47.07</v>
      </c>
      <c r="AF161">
        <v>47.07</v>
      </c>
      <c r="AG161">
        <v>47.07</v>
      </c>
      <c r="AH161">
        <v>47.07</v>
      </c>
      <c r="AI161">
        <v>47.07</v>
      </c>
      <c r="AJ161">
        <v>47.07</v>
      </c>
      <c r="AK161">
        <v>47.07</v>
      </c>
      <c r="AL161">
        <v>47.07</v>
      </c>
      <c r="AM161">
        <v>47.07</v>
      </c>
      <c r="AN161">
        <v>47.07</v>
      </c>
      <c r="AO161">
        <v>47.07</v>
      </c>
      <c r="AP161">
        <v>47.07</v>
      </c>
      <c r="AQ161">
        <v>47.07</v>
      </c>
      <c r="AR161">
        <v>47.07</v>
      </c>
      <c r="AS161">
        <v>47.07</v>
      </c>
      <c r="AT161">
        <v>47.07</v>
      </c>
      <c r="AU161">
        <v>47.07</v>
      </c>
      <c r="AV161">
        <v>47.07</v>
      </c>
      <c r="AW161">
        <v>47.07</v>
      </c>
      <c r="AX161">
        <v>47.07</v>
      </c>
      <c r="AY161">
        <v>47.07</v>
      </c>
      <c r="AZ161">
        <v>47.07</v>
      </c>
      <c r="BA161">
        <v>47.07</v>
      </c>
      <c r="BB161">
        <v>47.07</v>
      </c>
      <c r="BC161">
        <v>47.07</v>
      </c>
      <c r="BD161">
        <v>47.07</v>
      </c>
      <c r="BE161">
        <v>47.07</v>
      </c>
      <c r="BF161">
        <v>47.07</v>
      </c>
      <c r="BG161">
        <v>47.07</v>
      </c>
      <c r="BH161">
        <v>47.07</v>
      </c>
      <c r="BI161">
        <v>47.07</v>
      </c>
      <c r="BJ161">
        <v>47.07</v>
      </c>
      <c r="BK161">
        <v>47.07</v>
      </c>
      <c r="BL161">
        <v>47.07</v>
      </c>
    </row>
    <row r="162" spans="1:64" x14ac:dyDescent="0.25">
      <c r="A162">
        <v>46.972999999999999</v>
      </c>
      <c r="B162">
        <v>46.972999999999999</v>
      </c>
      <c r="C162">
        <v>46.972999999999999</v>
      </c>
      <c r="D162">
        <v>46.972999999999999</v>
      </c>
      <c r="E162">
        <v>46.972999999999999</v>
      </c>
      <c r="F162">
        <v>46.972999999999999</v>
      </c>
      <c r="G162">
        <v>46.972999999999999</v>
      </c>
      <c r="H162">
        <v>46.972999999999999</v>
      </c>
      <c r="I162">
        <v>46.972999999999999</v>
      </c>
      <c r="J162">
        <v>46.972999999999999</v>
      </c>
      <c r="K162">
        <v>46.972999999999999</v>
      </c>
      <c r="L162">
        <v>46.972999999999999</v>
      </c>
      <c r="M162">
        <v>46.972999999999999</v>
      </c>
      <c r="N162">
        <v>46.972999999999999</v>
      </c>
      <c r="O162">
        <v>46.972999999999999</v>
      </c>
      <c r="P162">
        <v>46.972999999999999</v>
      </c>
      <c r="Q162">
        <v>46.972999999999999</v>
      </c>
      <c r="R162">
        <v>46.972999999999999</v>
      </c>
      <c r="S162">
        <v>46.972999999999999</v>
      </c>
      <c r="T162">
        <v>46.972999999999999</v>
      </c>
      <c r="U162">
        <v>46.972999999999999</v>
      </c>
      <c r="V162">
        <v>46.972999999999999</v>
      </c>
      <c r="W162">
        <v>46.972999999999999</v>
      </c>
      <c r="X162">
        <v>46.972999999999999</v>
      </c>
      <c r="Y162">
        <v>46.972999999999999</v>
      </c>
      <c r="Z162">
        <v>46.972999999999999</v>
      </c>
      <c r="AA162">
        <v>46.972999999999999</v>
      </c>
      <c r="AB162">
        <v>46.972999999999999</v>
      </c>
      <c r="AC162">
        <v>46.972999999999999</v>
      </c>
      <c r="AD162">
        <v>46.972999999999999</v>
      </c>
      <c r="AE162">
        <v>46.972999999999999</v>
      </c>
      <c r="AF162">
        <v>46.972999999999999</v>
      </c>
      <c r="AG162">
        <v>46.972999999999999</v>
      </c>
      <c r="AH162">
        <v>46.972999999999999</v>
      </c>
      <c r="AI162">
        <v>46.972999999999999</v>
      </c>
      <c r="AJ162">
        <v>46.972999999999999</v>
      </c>
      <c r="AK162">
        <v>46.972999999999999</v>
      </c>
      <c r="AL162">
        <v>46.972999999999999</v>
      </c>
      <c r="AM162">
        <v>46.972999999999999</v>
      </c>
      <c r="AN162">
        <v>46.972999999999999</v>
      </c>
      <c r="AO162">
        <v>46.972999999999999</v>
      </c>
      <c r="AP162">
        <v>46.972999999999999</v>
      </c>
      <c r="AQ162">
        <v>46.972999999999999</v>
      </c>
      <c r="AR162">
        <v>46.972999999999999</v>
      </c>
      <c r="AS162">
        <v>46.972999999999999</v>
      </c>
      <c r="AT162">
        <v>46.972999999999999</v>
      </c>
      <c r="AU162">
        <v>46.972999999999999</v>
      </c>
      <c r="AV162">
        <v>46.972999999999999</v>
      </c>
      <c r="AW162">
        <v>46.972999999999999</v>
      </c>
      <c r="AX162">
        <v>46.972999999999999</v>
      </c>
      <c r="AY162">
        <v>46.972999999999999</v>
      </c>
      <c r="AZ162">
        <v>46.972999999999999</v>
      </c>
      <c r="BA162">
        <v>46.972999999999999</v>
      </c>
      <c r="BB162">
        <v>46.972999999999999</v>
      </c>
      <c r="BC162">
        <v>46.972999999999999</v>
      </c>
      <c r="BD162">
        <v>46.972999999999999</v>
      </c>
      <c r="BE162">
        <v>46.972999999999999</v>
      </c>
      <c r="BF162">
        <v>46.972999999999999</v>
      </c>
      <c r="BG162">
        <v>46.972999999999999</v>
      </c>
      <c r="BH162">
        <v>46.972999999999999</v>
      </c>
      <c r="BI162">
        <v>46.972999999999999</v>
      </c>
      <c r="BJ162">
        <v>46.972999999999999</v>
      </c>
      <c r="BK162">
        <v>46.972999999999999</v>
      </c>
      <c r="BL162">
        <v>46.972999999999999</v>
      </c>
    </row>
    <row r="163" spans="1:64" x14ac:dyDescent="0.25">
      <c r="A163">
        <v>46.875</v>
      </c>
      <c r="B163">
        <v>46.875</v>
      </c>
      <c r="C163">
        <v>46.875</v>
      </c>
      <c r="D163">
        <v>46.875</v>
      </c>
      <c r="E163">
        <v>46.875</v>
      </c>
      <c r="F163">
        <v>46.875</v>
      </c>
      <c r="G163">
        <v>46.875</v>
      </c>
      <c r="H163">
        <v>46.875</v>
      </c>
      <c r="I163">
        <v>46.875</v>
      </c>
      <c r="J163">
        <v>46.875</v>
      </c>
      <c r="K163">
        <v>46.875</v>
      </c>
      <c r="L163">
        <v>46.875</v>
      </c>
      <c r="M163">
        <v>46.875</v>
      </c>
      <c r="N163">
        <v>46.875</v>
      </c>
      <c r="O163">
        <v>46.875</v>
      </c>
      <c r="P163">
        <v>46.875</v>
      </c>
      <c r="Q163">
        <v>46.875</v>
      </c>
      <c r="R163">
        <v>46.875</v>
      </c>
      <c r="S163">
        <v>46.875</v>
      </c>
      <c r="T163">
        <v>46.875</v>
      </c>
      <c r="U163">
        <v>46.875</v>
      </c>
      <c r="V163">
        <v>46.875</v>
      </c>
      <c r="W163">
        <v>46.875</v>
      </c>
      <c r="X163">
        <v>46.875</v>
      </c>
      <c r="Y163">
        <v>46.875</v>
      </c>
      <c r="Z163">
        <v>46.875</v>
      </c>
      <c r="AA163">
        <v>46.875</v>
      </c>
      <c r="AB163">
        <v>46.875</v>
      </c>
      <c r="AC163">
        <v>46.875</v>
      </c>
      <c r="AD163">
        <v>46.875</v>
      </c>
      <c r="AE163">
        <v>46.875</v>
      </c>
      <c r="AF163">
        <v>46.875</v>
      </c>
      <c r="AG163">
        <v>46.875</v>
      </c>
      <c r="AH163">
        <v>46.875</v>
      </c>
      <c r="AI163">
        <v>46.875</v>
      </c>
      <c r="AJ163">
        <v>46.875</v>
      </c>
      <c r="AK163">
        <v>46.875</v>
      </c>
      <c r="AL163">
        <v>46.875</v>
      </c>
      <c r="AM163">
        <v>46.875</v>
      </c>
      <c r="AN163">
        <v>46.875</v>
      </c>
      <c r="AO163">
        <v>46.875</v>
      </c>
      <c r="AP163">
        <v>46.875</v>
      </c>
      <c r="AQ163">
        <v>46.875</v>
      </c>
      <c r="AR163">
        <v>46.875</v>
      </c>
      <c r="AS163">
        <v>46.875</v>
      </c>
      <c r="AT163">
        <v>46.875</v>
      </c>
      <c r="AU163">
        <v>46.875</v>
      </c>
      <c r="AV163">
        <v>46.875</v>
      </c>
      <c r="AW163">
        <v>46.875</v>
      </c>
      <c r="AX163">
        <v>46.875</v>
      </c>
      <c r="AY163">
        <v>46.875</v>
      </c>
      <c r="AZ163">
        <v>46.875</v>
      </c>
      <c r="BA163">
        <v>46.875</v>
      </c>
      <c r="BB163">
        <v>46.875</v>
      </c>
      <c r="BC163">
        <v>46.875</v>
      </c>
      <c r="BD163">
        <v>46.875</v>
      </c>
      <c r="BE163">
        <v>46.875</v>
      </c>
      <c r="BF163">
        <v>46.875</v>
      </c>
      <c r="BG163">
        <v>46.875</v>
      </c>
      <c r="BH163">
        <v>46.875</v>
      </c>
      <c r="BI163">
        <v>46.875</v>
      </c>
      <c r="BJ163">
        <v>46.875</v>
      </c>
      <c r="BK163">
        <v>46.875</v>
      </c>
      <c r="BL163">
        <v>46.875</v>
      </c>
    </row>
    <row r="164" spans="1:64" x14ac:dyDescent="0.25">
      <c r="A164">
        <v>46.777000000000001</v>
      </c>
      <c r="B164">
        <v>46.777000000000001</v>
      </c>
      <c r="C164">
        <v>46.777000000000001</v>
      </c>
      <c r="D164">
        <v>46.777000000000001</v>
      </c>
      <c r="E164">
        <v>46.777000000000001</v>
      </c>
      <c r="F164">
        <v>46.777000000000001</v>
      </c>
      <c r="G164">
        <v>46.777000000000001</v>
      </c>
      <c r="H164">
        <v>46.777000000000001</v>
      </c>
      <c r="I164">
        <v>46.777000000000001</v>
      </c>
      <c r="J164">
        <v>46.777000000000001</v>
      </c>
      <c r="K164">
        <v>46.777000000000001</v>
      </c>
      <c r="L164">
        <v>46.777000000000001</v>
      </c>
      <c r="M164">
        <v>46.777000000000001</v>
      </c>
      <c r="N164">
        <v>46.777000000000001</v>
      </c>
      <c r="O164">
        <v>46.777000000000001</v>
      </c>
      <c r="P164">
        <v>46.777000000000001</v>
      </c>
      <c r="Q164">
        <v>46.777000000000001</v>
      </c>
      <c r="R164">
        <v>46.777000000000001</v>
      </c>
      <c r="S164">
        <v>46.777000000000001</v>
      </c>
      <c r="T164">
        <v>46.777000000000001</v>
      </c>
      <c r="U164">
        <v>46.777000000000001</v>
      </c>
      <c r="V164">
        <v>46.777000000000001</v>
      </c>
      <c r="W164">
        <v>46.777000000000001</v>
      </c>
      <c r="X164">
        <v>46.777000000000001</v>
      </c>
      <c r="Y164">
        <v>46.777000000000001</v>
      </c>
      <c r="Z164">
        <v>46.777000000000001</v>
      </c>
      <c r="AA164">
        <v>46.777000000000001</v>
      </c>
      <c r="AB164">
        <v>46.777000000000001</v>
      </c>
      <c r="AC164">
        <v>46.777000000000001</v>
      </c>
      <c r="AD164">
        <v>46.777000000000001</v>
      </c>
      <c r="AE164">
        <v>46.777000000000001</v>
      </c>
      <c r="AF164">
        <v>46.777000000000001</v>
      </c>
      <c r="AG164">
        <v>46.777000000000001</v>
      </c>
      <c r="AH164">
        <v>46.777000000000001</v>
      </c>
      <c r="AI164">
        <v>46.777000000000001</v>
      </c>
      <c r="AJ164">
        <v>46.777000000000001</v>
      </c>
      <c r="AK164">
        <v>46.777000000000001</v>
      </c>
      <c r="AL164">
        <v>46.777000000000001</v>
      </c>
      <c r="AM164">
        <v>46.777000000000001</v>
      </c>
      <c r="AN164">
        <v>46.777000000000001</v>
      </c>
      <c r="AO164">
        <v>46.777000000000001</v>
      </c>
      <c r="AP164">
        <v>46.777000000000001</v>
      </c>
      <c r="AQ164">
        <v>46.777000000000001</v>
      </c>
      <c r="AR164">
        <v>46.777000000000001</v>
      </c>
      <c r="AS164">
        <v>46.777000000000001</v>
      </c>
      <c r="AT164">
        <v>46.777000000000001</v>
      </c>
      <c r="AU164">
        <v>46.777000000000001</v>
      </c>
      <c r="AV164">
        <v>46.777000000000001</v>
      </c>
      <c r="AW164">
        <v>46.777000000000001</v>
      </c>
      <c r="AX164">
        <v>46.777000000000001</v>
      </c>
      <c r="AY164">
        <v>46.777000000000001</v>
      </c>
      <c r="AZ164">
        <v>46.777000000000001</v>
      </c>
      <c r="BA164">
        <v>46.777000000000001</v>
      </c>
      <c r="BB164">
        <v>46.777000000000001</v>
      </c>
      <c r="BC164">
        <v>46.777000000000001</v>
      </c>
      <c r="BD164">
        <v>46.777000000000001</v>
      </c>
      <c r="BE164">
        <v>46.777000000000001</v>
      </c>
      <c r="BF164">
        <v>46.777000000000001</v>
      </c>
      <c r="BG164">
        <v>46.777000000000001</v>
      </c>
      <c r="BH164">
        <v>46.777000000000001</v>
      </c>
      <c r="BI164">
        <v>46.777000000000001</v>
      </c>
      <c r="BJ164">
        <v>46.777000000000001</v>
      </c>
      <c r="BK164">
        <v>46.777000000000001</v>
      </c>
      <c r="BL164">
        <v>46.777000000000001</v>
      </c>
    </row>
    <row r="165" spans="1:64" x14ac:dyDescent="0.25">
      <c r="A165">
        <v>46.68</v>
      </c>
      <c r="B165">
        <v>46.68</v>
      </c>
      <c r="C165">
        <v>46.68</v>
      </c>
      <c r="D165">
        <v>46.68</v>
      </c>
      <c r="E165">
        <v>46.68</v>
      </c>
      <c r="F165">
        <v>46.68</v>
      </c>
      <c r="G165">
        <v>46.68</v>
      </c>
      <c r="H165">
        <v>46.68</v>
      </c>
      <c r="I165">
        <v>46.68</v>
      </c>
      <c r="J165">
        <v>46.68</v>
      </c>
      <c r="K165">
        <v>46.68</v>
      </c>
      <c r="L165">
        <v>46.68</v>
      </c>
      <c r="M165">
        <v>46.68</v>
      </c>
      <c r="N165">
        <v>46.68</v>
      </c>
      <c r="O165">
        <v>46.68</v>
      </c>
      <c r="P165">
        <v>46.68</v>
      </c>
      <c r="Q165">
        <v>46.68</v>
      </c>
      <c r="R165">
        <v>46.68</v>
      </c>
      <c r="S165">
        <v>46.68</v>
      </c>
      <c r="T165">
        <v>46.68</v>
      </c>
      <c r="U165">
        <v>46.68</v>
      </c>
      <c r="V165">
        <v>46.68</v>
      </c>
      <c r="W165">
        <v>46.68</v>
      </c>
      <c r="X165">
        <v>46.68</v>
      </c>
      <c r="Y165">
        <v>46.68</v>
      </c>
      <c r="Z165">
        <v>46.68</v>
      </c>
      <c r="AA165">
        <v>46.68</v>
      </c>
      <c r="AB165">
        <v>46.68</v>
      </c>
      <c r="AC165">
        <v>46.68</v>
      </c>
      <c r="AD165">
        <v>46.68</v>
      </c>
      <c r="AE165">
        <v>46.68</v>
      </c>
      <c r="AF165">
        <v>46.68</v>
      </c>
      <c r="AG165">
        <v>46.68</v>
      </c>
      <c r="AH165">
        <v>46.68</v>
      </c>
      <c r="AI165">
        <v>46.68</v>
      </c>
      <c r="AJ165">
        <v>46.68</v>
      </c>
      <c r="AK165">
        <v>46.68</v>
      </c>
      <c r="AL165">
        <v>46.68</v>
      </c>
      <c r="AM165">
        <v>46.68</v>
      </c>
      <c r="AN165">
        <v>46.68</v>
      </c>
      <c r="AO165">
        <v>46.68</v>
      </c>
      <c r="AP165">
        <v>46.68</v>
      </c>
      <c r="AQ165">
        <v>46.68</v>
      </c>
      <c r="AR165">
        <v>46.68</v>
      </c>
      <c r="AS165">
        <v>46.68</v>
      </c>
      <c r="AT165">
        <v>46.68</v>
      </c>
      <c r="AU165">
        <v>46.68</v>
      </c>
      <c r="AV165">
        <v>46.68</v>
      </c>
      <c r="AW165">
        <v>46.68</v>
      </c>
      <c r="AX165">
        <v>46.68</v>
      </c>
      <c r="AY165">
        <v>46.68</v>
      </c>
      <c r="AZ165">
        <v>46.68</v>
      </c>
      <c r="BA165">
        <v>46.68</v>
      </c>
      <c r="BB165">
        <v>46.68</v>
      </c>
      <c r="BC165">
        <v>46.68</v>
      </c>
      <c r="BD165">
        <v>46.68</v>
      </c>
      <c r="BE165">
        <v>46.68</v>
      </c>
      <c r="BF165">
        <v>46.68</v>
      </c>
      <c r="BG165">
        <v>46.68</v>
      </c>
      <c r="BH165">
        <v>46.68</v>
      </c>
      <c r="BI165">
        <v>46.68</v>
      </c>
      <c r="BJ165">
        <v>46.68</v>
      </c>
      <c r="BK165">
        <v>46.68</v>
      </c>
      <c r="BL165">
        <v>46.68</v>
      </c>
    </row>
    <row r="166" spans="1:64" x14ac:dyDescent="0.25">
      <c r="A166">
        <v>46.582000000000001</v>
      </c>
      <c r="B166">
        <v>46.582000000000001</v>
      </c>
      <c r="C166">
        <v>46.582000000000001</v>
      </c>
      <c r="D166">
        <v>46.582000000000001</v>
      </c>
      <c r="E166">
        <v>46.582000000000001</v>
      </c>
      <c r="F166">
        <v>46.582000000000001</v>
      </c>
      <c r="G166">
        <v>46.582000000000001</v>
      </c>
      <c r="H166">
        <v>46.582000000000001</v>
      </c>
      <c r="I166">
        <v>46.582000000000001</v>
      </c>
      <c r="J166">
        <v>46.582000000000001</v>
      </c>
      <c r="K166">
        <v>46.582000000000001</v>
      </c>
      <c r="L166">
        <v>46.582000000000001</v>
      </c>
      <c r="M166">
        <v>46.582000000000001</v>
      </c>
      <c r="N166">
        <v>46.582000000000001</v>
      </c>
      <c r="O166">
        <v>46.582000000000001</v>
      </c>
      <c r="P166">
        <v>46.582000000000001</v>
      </c>
      <c r="Q166">
        <v>46.582000000000001</v>
      </c>
      <c r="R166">
        <v>46.582000000000001</v>
      </c>
      <c r="S166">
        <v>46.582000000000001</v>
      </c>
      <c r="T166">
        <v>46.582000000000001</v>
      </c>
      <c r="U166">
        <v>46.582000000000001</v>
      </c>
      <c r="V166">
        <v>46.582000000000001</v>
      </c>
      <c r="W166">
        <v>46.582000000000001</v>
      </c>
      <c r="X166">
        <v>46.582000000000001</v>
      </c>
      <c r="Y166">
        <v>46.582000000000001</v>
      </c>
      <c r="Z166">
        <v>46.582000000000001</v>
      </c>
      <c r="AA166">
        <v>46.582000000000001</v>
      </c>
      <c r="AB166">
        <v>46.582000000000001</v>
      </c>
      <c r="AC166">
        <v>46.582000000000001</v>
      </c>
      <c r="AD166">
        <v>46.582000000000001</v>
      </c>
      <c r="AE166">
        <v>46.582000000000001</v>
      </c>
      <c r="AF166">
        <v>46.582000000000001</v>
      </c>
      <c r="AG166">
        <v>46.582000000000001</v>
      </c>
      <c r="AH166">
        <v>46.582000000000001</v>
      </c>
      <c r="AI166">
        <v>46.582000000000001</v>
      </c>
      <c r="AJ166">
        <v>46.582000000000001</v>
      </c>
      <c r="AK166">
        <v>46.582000000000001</v>
      </c>
      <c r="AL166">
        <v>46.582000000000001</v>
      </c>
      <c r="AM166">
        <v>46.582000000000001</v>
      </c>
      <c r="AN166">
        <v>46.582000000000001</v>
      </c>
      <c r="AO166">
        <v>46.582000000000001</v>
      </c>
      <c r="AP166">
        <v>46.582000000000001</v>
      </c>
      <c r="AQ166">
        <v>46.582000000000001</v>
      </c>
      <c r="AR166">
        <v>46.582000000000001</v>
      </c>
      <c r="AS166">
        <v>46.582000000000001</v>
      </c>
      <c r="AT166">
        <v>46.582000000000001</v>
      </c>
      <c r="AU166">
        <v>46.582000000000001</v>
      </c>
      <c r="AV166">
        <v>46.582000000000001</v>
      </c>
      <c r="AW166">
        <v>46.582000000000001</v>
      </c>
      <c r="AX166">
        <v>46.582000000000001</v>
      </c>
      <c r="AY166">
        <v>46.582000000000001</v>
      </c>
      <c r="AZ166">
        <v>46.582000000000001</v>
      </c>
      <c r="BA166">
        <v>46.582000000000001</v>
      </c>
      <c r="BB166">
        <v>46.582000000000001</v>
      </c>
      <c r="BC166">
        <v>46.582000000000001</v>
      </c>
      <c r="BD166">
        <v>46.582000000000001</v>
      </c>
      <c r="BE166">
        <v>46.582000000000001</v>
      </c>
      <c r="BF166">
        <v>46.582000000000001</v>
      </c>
      <c r="BG166">
        <v>46.582000000000001</v>
      </c>
      <c r="BH166">
        <v>46.582000000000001</v>
      </c>
      <c r="BI166">
        <v>46.582000000000001</v>
      </c>
      <c r="BJ166">
        <v>46.582000000000001</v>
      </c>
      <c r="BK166">
        <v>46.582000000000001</v>
      </c>
      <c r="BL166">
        <v>46.582000000000001</v>
      </c>
    </row>
    <row r="167" spans="1:64" x14ac:dyDescent="0.25">
      <c r="A167">
        <v>46.484000000000002</v>
      </c>
      <c r="B167">
        <v>46.484000000000002</v>
      </c>
      <c r="C167">
        <v>46.484000000000002</v>
      </c>
      <c r="D167">
        <v>46.484000000000002</v>
      </c>
      <c r="E167">
        <v>46.484000000000002</v>
      </c>
      <c r="F167">
        <v>46.484000000000002</v>
      </c>
      <c r="G167">
        <v>46.484000000000002</v>
      </c>
      <c r="H167">
        <v>46.484000000000002</v>
      </c>
      <c r="I167">
        <v>46.484000000000002</v>
      </c>
      <c r="J167">
        <v>46.484000000000002</v>
      </c>
      <c r="K167">
        <v>46.484000000000002</v>
      </c>
      <c r="L167">
        <v>46.484000000000002</v>
      </c>
      <c r="M167">
        <v>46.484000000000002</v>
      </c>
      <c r="N167">
        <v>46.484000000000002</v>
      </c>
      <c r="O167">
        <v>46.484000000000002</v>
      </c>
      <c r="P167">
        <v>46.484000000000002</v>
      </c>
      <c r="Q167">
        <v>46.484000000000002</v>
      </c>
      <c r="R167">
        <v>46.484000000000002</v>
      </c>
      <c r="S167">
        <v>46.484000000000002</v>
      </c>
      <c r="T167">
        <v>46.484000000000002</v>
      </c>
      <c r="U167">
        <v>46.484000000000002</v>
      </c>
      <c r="V167">
        <v>46.484000000000002</v>
      </c>
      <c r="W167">
        <v>46.484000000000002</v>
      </c>
      <c r="X167">
        <v>46.484000000000002</v>
      </c>
      <c r="Y167">
        <v>46.484000000000002</v>
      </c>
      <c r="Z167">
        <v>46.484000000000002</v>
      </c>
      <c r="AA167">
        <v>46.484000000000002</v>
      </c>
      <c r="AB167">
        <v>46.484000000000002</v>
      </c>
      <c r="AC167">
        <v>46.484000000000002</v>
      </c>
      <c r="AD167">
        <v>46.484000000000002</v>
      </c>
      <c r="AE167">
        <v>46.484000000000002</v>
      </c>
      <c r="AF167">
        <v>46.484000000000002</v>
      </c>
      <c r="AG167">
        <v>46.484000000000002</v>
      </c>
      <c r="AH167">
        <v>46.484000000000002</v>
      </c>
      <c r="AI167">
        <v>46.484000000000002</v>
      </c>
      <c r="AJ167">
        <v>46.484000000000002</v>
      </c>
      <c r="AK167">
        <v>46.484000000000002</v>
      </c>
      <c r="AL167">
        <v>46.484000000000002</v>
      </c>
      <c r="AM167">
        <v>46.484000000000002</v>
      </c>
      <c r="AN167">
        <v>46.484000000000002</v>
      </c>
      <c r="AO167">
        <v>46.484000000000002</v>
      </c>
      <c r="AP167">
        <v>46.484000000000002</v>
      </c>
      <c r="AQ167">
        <v>46.484000000000002</v>
      </c>
      <c r="AR167">
        <v>46.484000000000002</v>
      </c>
      <c r="AS167">
        <v>46.484000000000002</v>
      </c>
      <c r="AT167">
        <v>46.484000000000002</v>
      </c>
      <c r="AU167">
        <v>46.484000000000002</v>
      </c>
      <c r="AV167">
        <v>46.484000000000002</v>
      </c>
      <c r="AW167">
        <v>46.484000000000002</v>
      </c>
      <c r="AX167">
        <v>46.484000000000002</v>
      </c>
      <c r="AY167">
        <v>46.484000000000002</v>
      </c>
      <c r="AZ167">
        <v>46.484000000000002</v>
      </c>
      <c r="BA167">
        <v>46.484000000000002</v>
      </c>
      <c r="BB167">
        <v>46.484000000000002</v>
      </c>
      <c r="BC167">
        <v>46.484000000000002</v>
      </c>
      <c r="BD167">
        <v>46.484000000000002</v>
      </c>
      <c r="BE167">
        <v>46.484000000000002</v>
      </c>
      <c r="BF167">
        <v>46.484000000000002</v>
      </c>
      <c r="BG167">
        <v>46.484000000000002</v>
      </c>
      <c r="BH167">
        <v>46.484000000000002</v>
      </c>
      <c r="BI167">
        <v>46.484000000000002</v>
      </c>
      <c r="BJ167">
        <v>46.484000000000002</v>
      </c>
      <c r="BK167">
        <v>46.484000000000002</v>
      </c>
      <c r="BL167">
        <v>46.484000000000002</v>
      </c>
    </row>
    <row r="168" spans="1:64" x14ac:dyDescent="0.25">
      <c r="A168">
        <v>46.387</v>
      </c>
      <c r="B168">
        <v>46.387</v>
      </c>
      <c r="C168">
        <v>46.387</v>
      </c>
      <c r="D168">
        <v>46.387</v>
      </c>
      <c r="E168">
        <v>46.387</v>
      </c>
      <c r="F168">
        <v>46.387</v>
      </c>
      <c r="G168">
        <v>46.387</v>
      </c>
      <c r="H168">
        <v>46.387</v>
      </c>
      <c r="I168">
        <v>46.387</v>
      </c>
      <c r="J168">
        <v>46.387</v>
      </c>
      <c r="K168">
        <v>46.387</v>
      </c>
      <c r="L168">
        <v>46.387</v>
      </c>
      <c r="M168">
        <v>46.387</v>
      </c>
      <c r="N168">
        <v>46.387</v>
      </c>
      <c r="O168">
        <v>46.387</v>
      </c>
      <c r="P168">
        <v>46.387</v>
      </c>
      <c r="Q168">
        <v>46.387</v>
      </c>
      <c r="R168">
        <v>46.387</v>
      </c>
      <c r="S168">
        <v>46.387</v>
      </c>
      <c r="T168">
        <v>46.387</v>
      </c>
      <c r="U168">
        <v>46.387</v>
      </c>
      <c r="V168">
        <v>46.387</v>
      </c>
      <c r="W168">
        <v>46.387</v>
      </c>
      <c r="X168">
        <v>46.387</v>
      </c>
      <c r="Y168">
        <v>46.387</v>
      </c>
      <c r="Z168">
        <v>46.387</v>
      </c>
      <c r="AA168">
        <v>46.387</v>
      </c>
      <c r="AB168">
        <v>46.387</v>
      </c>
      <c r="AC168">
        <v>46.387</v>
      </c>
      <c r="AD168">
        <v>46.387</v>
      </c>
      <c r="AE168">
        <v>46.387</v>
      </c>
      <c r="AF168">
        <v>46.387</v>
      </c>
      <c r="AG168">
        <v>46.387</v>
      </c>
      <c r="AH168">
        <v>46.387</v>
      </c>
      <c r="AI168">
        <v>46.387</v>
      </c>
      <c r="AJ168">
        <v>46.387</v>
      </c>
      <c r="AK168">
        <v>46.387</v>
      </c>
      <c r="AL168">
        <v>46.387</v>
      </c>
      <c r="AM168">
        <v>46.387</v>
      </c>
      <c r="AN168">
        <v>46.387</v>
      </c>
      <c r="AO168">
        <v>46.387</v>
      </c>
      <c r="AP168">
        <v>46.387</v>
      </c>
      <c r="AQ168">
        <v>46.387</v>
      </c>
      <c r="AR168">
        <v>46.387</v>
      </c>
      <c r="AS168">
        <v>46.387</v>
      </c>
      <c r="AT168">
        <v>46.387</v>
      </c>
      <c r="AU168">
        <v>46.387</v>
      </c>
      <c r="AV168">
        <v>46.387</v>
      </c>
      <c r="AW168">
        <v>46.387</v>
      </c>
      <c r="AX168">
        <v>46.387</v>
      </c>
      <c r="AY168">
        <v>46.387</v>
      </c>
      <c r="AZ168">
        <v>46.387</v>
      </c>
      <c r="BA168">
        <v>46.387</v>
      </c>
      <c r="BB168">
        <v>46.387</v>
      </c>
      <c r="BC168">
        <v>46.387</v>
      </c>
      <c r="BD168">
        <v>46.387</v>
      </c>
      <c r="BE168">
        <v>46.387</v>
      </c>
      <c r="BF168">
        <v>46.387</v>
      </c>
      <c r="BG168">
        <v>46.387</v>
      </c>
      <c r="BH168">
        <v>46.387</v>
      </c>
      <c r="BI168">
        <v>46.387</v>
      </c>
      <c r="BJ168">
        <v>46.387</v>
      </c>
      <c r="BK168">
        <v>46.387</v>
      </c>
      <c r="BL168">
        <v>46.387</v>
      </c>
    </row>
    <row r="169" spans="1:64" x14ac:dyDescent="0.25">
      <c r="A169">
        <v>46.289000000000001</v>
      </c>
      <c r="B169">
        <v>46.289000000000001</v>
      </c>
      <c r="C169">
        <v>46.289000000000001</v>
      </c>
      <c r="D169">
        <v>46.289000000000001</v>
      </c>
      <c r="E169">
        <v>46.289000000000001</v>
      </c>
      <c r="F169">
        <v>46.289000000000001</v>
      </c>
      <c r="G169">
        <v>46.289000000000001</v>
      </c>
      <c r="H169">
        <v>46.289000000000001</v>
      </c>
      <c r="I169">
        <v>46.289000000000001</v>
      </c>
      <c r="J169">
        <v>46.289000000000001</v>
      </c>
      <c r="K169">
        <v>46.289000000000001</v>
      </c>
      <c r="L169">
        <v>46.289000000000001</v>
      </c>
      <c r="M169">
        <v>46.289000000000001</v>
      </c>
      <c r="N169">
        <v>46.289000000000001</v>
      </c>
      <c r="O169">
        <v>46.289000000000001</v>
      </c>
      <c r="P169">
        <v>46.289000000000001</v>
      </c>
      <c r="Q169">
        <v>46.289000000000001</v>
      </c>
      <c r="R169">
        <v>46.289000000000001</v>
      </c>
      <c r="S169">
        <v>46.289000000000001</v>
      </c>
      <c r="T169">
        <v>46.289000000000001</v>
      </c>
      <c r="U169">
        <v>46.289000000000001</v>
      </c>
      <c r="V169">
        <v>46.289000000000001</v>
      </c>
      <c r="W169">
        <v>46.289000000000001</v>
      </c>
      <c r="X169">
        <v>46.289000000000001</v>
      </c>
      <c r="Y169">
        <v>46.289000000000001</v>
      </c>
      <c r="Z169">
        <v>46.289000000000001</v>
      </c>
      <c r="AA169">
        <v>46.289000000000001</v>
      </c>
      <c r="AB169">
        <v>46.289000000000001</v>
      </c>
      <c r="AC169">
        <v>46.289000000000001</v>
      </c>
      <c r="AD169">
        <v>46.289000000000001</v>
      </c>
      <c r="AE169">
        <v>46.289000000000001</v>
      </c>
      <c r="AF169">
        <v>46.289000000000001</v>
      </c>
      <c r="AG169">
        <v>46.289000000000001</v>
      </c>
      <c r="AH169">
        <v>46.289000000000001</v>
      </c>
      <c r="AI169">
        <v>46.289000000000001</v>
      </c>
      <c r="AJ169">
        <v>46.289000000000001</v>
      </c>
      <c r="AK169">
        <v>46.289000000000001</v>
      </c>
      <c r="AL169">
        <v>46.289000000000001</v>
      </c>
      <c r="AM169">
        <v>46.289000000000001</v>
      </c>
      <c r="AN169">
        <v>46.289000000000001</v>
      </c>
      <c r="AO169">
        <v>46.289000000000001</v>
      </c>
      <c r="AP169">
        <v>46.289000000000001</v>
      </c>
      <c r="AQ169">
        <v>46.289000000000001</v>
      </c>
      <c r="AR169">
        <v>46.289000000000001</v>
      </c>
      <c r="AS169">
        <v>46.289000000000001</v>
      </c>
      <c r="AT169">
        <v>46.289000000000001</v>
      </c>
      <c r="AU169">
        <v>46.289000000000001</v>
      </c>
      <c r="AV169">
        <v>46.289000000000001</v>
      </c>
      <c r="AW169">
        <v>46.289000000000001</v>
      </c>
      <c r="AX169">
        <v>46.289000000000001</v>
      </c>
      <c r="AY169">
        <v>46.289000000000001</v>
      </c>
      <c r="AZ169">
        <v>46.289000000000001</v>
      </c>
      <c r="BA169">
        <v>46.289000000000001</v>
      </c>
      <c r="BB169">
        <v>46.289000000000001</v>
      </c>
      <c r="BC169">
        <v>46.289000000000001</v>
      </c>
      <c r="BD169">
        <v>46.289000000000001</v>
      </c>
      <c r="BE169">
        <v>46.289000000000001</v>
      </c>
      <c r="BF169">
        <v>46.289000000000001</v>
      </c>
      <c r="BG169">
        <v>46.289000000000001</v>
      </c>
      <c r="BH169">
        <v>46.289000000000001</v>
      </c>
      <c r="BI169">
        <v>46.289000000000001</v>
      </c>
      <c r="BJ169">
        <v>46.289000000000001</v>
      </c>
      <c r="BK169">
        <v>46.289000000000001</v>
      </c>
      <c r="BL169">
        <v>46.289000000000001</v>
      </c>
    </row>
    <row r="170" spans="1:64" x14ac:dyDescent="0.25">
      <c r="A170">
        <v>46.191000000000003</v>
      </c>
      <c r="B170">
        <v>46.191000000000003</v>
      </c>
      <c r="C170">
        <v>46.191000000000003</v>
      </c>
      <c r="D170">
        <v>46.191000000000003</v>
      </c>
      <c r="E170">
        <v>46.191000000000003</v>
      </c>
      <c r="F170">
        <v>46.191000000000003</v>
      </c>
      <c r="G170">
        <v>46.191000000000003</v>
      </c>
      <c r="H170">
        <v>46.191000000000003</v>
      </c>
      <c r="I170">
        <v>46.191000000000003</v>
      </c>
      <c r="J170">
        <v>46.191000000000003</v>
      </c>
      <c r="K170">
        <v>46.191000000000003</v>
      </c>
      <c r="L170">
        <v>46.191000000000003</v>
      </c>
      <c r="M170">
        <v>46.191000000000003</v>
      </c>
      <c r="N170">
        <v>46.191000000000003</v>
      </c>
      <c r="O170">
        <v>46.191000000000003</v>
      </c>
      <c r="P170">
        <v>46.191000000000003</v>
      </c>
      <c r="Q170">
        <v>46.191000000000003</v>
      </c>
      <c r="R170">
        <v>46.191000000000003</v>
      </c>
      <c r="S170">
        <v>46.191000000000003</v>
      </c>
      <c r="T170">
        <v>46.191000000000003</v>
      </c>
      <c r="U170">
        <v>46.191000000000003</v>
      </c>
      <c r="V170">
        <v>46.191000000000003</v>
      </c>
      <c r="W170">
        <v>46.191000000000003</v>
      </c>
      <c r="X170">
        <v>46.191000000000003</v>
      </c>
      <c r="Y170">
        <v>46.191000000000003</v>
      </c>
      <c r="Z170">
        <v>46.191000000000003</v>
      </c>
      <c r="AA170">
        <v>46.191000000000003</v>
      </c>
      <c r="AB170">
        <v>46.191000000000003</v>
      </c>
      <c r="AC170">
        <v>46.191000000000003</v>
      </c>
      <c r="AD170">
        <v>46.191000000000003</v>
      </c>
      <c r="AE170">
        <v>46.191000000000003</v>
      </c>
      <c r="AF170">
        <v>46.191000000000003</v>
      </c>
      <c r="AG170">
        <v>46.191000000000003</v>
      </c>
      <c r="AH170">
        <v>46.191000000000003</v>
      </c>
      <c r="AI170">
        <v>46.191000000000003</v>
      </c>
      <c r="AJ170">
        <v>46.191000000000003</v>
      </c>
      <c r="AK170">
        <v>46.191000000000003</v>
      </c>
      <c r="AL170">
        <v>46.191000000000003</v>
      </c>
      <c r="AM170">
        <v>46.191000000000003</v>
      </c>
      <c r="AN170">
        <v>46.191000000000003</v>
      </c>
      <c r="AO170">
        <v>46.191000000000003</v>
      </c>
      <c r="AP170">
        <v>46.191000000000003</v>
      </c>
      <c r="AQ170">
        <v>46.191000000000003</v>
      </c>
      <c r="AR170">
        <v>46.191000000000003</v>
      </c>
      <c r="AS170">
        <v>46.191000000000003</v>
      </c>
      <c r="AT170">
        <v>46.191000000000003</v>
      </c>
      <c r="AU170">
        <v>46.191000000000003</v>
      </c>
      <c r="AV170">
        <v>46.191000000000003</v>
      </c>
      <c r="AW170">
        <v>46.191000000000003</v>
      </c>
      <c r="AX170">
        <v>46.191000000000003</v>
      </c>
      <c r="AY170">
        <v>46.191000000000003</v>
      </c>
      <c r="AZ170">
        <v>46.191000000000003</v>
      </c>
      <c r="BA170">
        <v>46.191000000000003</v>
      </c>
      <c r="BB170">
        <v>46.191000000000003</v>
      </c>
      <c r="BC170">
        <v>46.191000000000003</v>
      </c>
      <c r="BD170">
        <v>46.191000000000003</v>
      </c>
      <c r="BE170">
        <v>46.191000000000003</v>
      </c>
      <c r="BF170">
        <v>46.191000000000003</v>
      </c>
      <c r="BG170">
        <v>46.191000000000003</v>
      </c>
      <c r="BH170">
        <v>46.191000000000003</v>
      </c>
      <c r="BI170">
        <v>46.191000000000003</v>
      </c>
      <c r="BJ170">
        <v>46.191000000000003</v>
      </c>
      <c r="BK170">
        <v>46.191000000000003</v>
      </c>
      <c r="BL170">
        <v>46.191000000000003</v>
      </c>
    </row>
    <row r="171" spans="1:64" x14ac:dyDescent="0.25">
      <c r="A171">
        <v>46.094000000000001</v>
      </c>
      <c r="B171">
        <v>46.094000000000001</v>
      </c>
      <c r="C171">
        <v>46.094000000000001</v>
      </c>
      <c r="D171">
        <v>46.094000000000001</v>
      </c>
      <c r="E171">
        <v>46.094000000000001</v>
      </c>
      <c r="F171">
        <v>46.094000000000001</v>
      </c>
      <c r="G171">
        <v>46.094000000000001</v>
      </c>
      <c r="H171">
        <v>46.094000000000001</v>
      </c>
      <c r="I171">
        <v>46.094000000000001</v>
      </c>
      <c r="J171">
        <v>46.094000000000001</v>
      </c>
      <c r="K171">
        <v>46.094000000000001</v>
      </c>
      <c r="L171">
        <v>46.094000000000001</v>
      </c>
      <c r="M171">
        <v>46.094000000000001</v>
      </c>
      <c r="N171">
        <v>46.094000000000001</v>
      </c>
      <c r="O171">
        <v>46.094000000000001</v>
      </c>
      <c r="P171">
        <v>46.094000000000001</v>
      </c>
      <c r="Q171">
        <v>46.094000000000001</v>
      </c>
      <c r="R171">
        <v>46.094000000000001</v>
      </c>
      <c r="S171">
        <v>46.094000000000001</v>
      </c>
      <c r="T171">
        <v>46.094000000000001</v>
      </c>
      <c r="U171">
        <v>46.094000000000001</v>
      </c>
      <c r="V171">
        <v>46.094000000000001</v>
      </c>
      <c r="W171">
        <v>46.094000000000001</v>
      </c>
      <c r="X171">
        <v>46.094000000000001</v>
      </c>
      <c r="Y171">
        <v>46.094000000000001</v>
      </c>
      <c r="Z171">
        <v>46.094000000000001</v>
      </c>
      <c r="AA171">
        <v>46.094000000000001</v>
      </c>
      <c r="AB171">
        <v>46.094000000000001</v>
      </c>
      <c r="AC171">
        <v>46.094000000000001</v>
      </c>
      <c r="AD171">
        <v>46.094000000000001</v>
      </c>
      <c r="AE171">
        <v>46.094000000000001</v>
      </c>
      <c r="AF171">
        <v>46.094000000000001</v>
      </c>
      <c r="AG171">
        <v>46.094000000000001</v>
      </c>
      <c r="AH171">
        <v>46.094000000000001</v>
      </c>
      <c r="AI171">
        <v>46.094000000000001</v>
      </c>
      <c r="AJ171">
        <v>46.094000000000001</v>
      </c>
      <c r="AK171">
        <v>46.094000000000001</v>
      </c>
      <c r="AL171">
        <v>46.094000000000001</v>
      </c>
      <c r="AM171">
        <v>46.094000000000001</v>
      </c>
      <c r="AN171">
        <v>46.094000000000001</v>
      </c>
      <c r="AO171">
        <v>46.094000000000001</v>
      </c>
      <c r="AP171">
        <v>46.094000000000001</v>
      </c>
      <c r="AQ171">
        <v>46.094000000000001</v>
      </c>
      <c r="AR171">
        <v>46.094000000000001</v>
      </c>
      <c r="AS171">
        <v>46.094000000000001</v>
      </c>
      <c r="AT171">
        <v>46.094000000000001</v>
      </c>
      <c r="AU171">
        <v>46.094000000000001</v>
      </c>
      <c r="AV171">
        <v>46.094000000000001</v>
      </c>
      <c r="AW171">
        <v>46.094000000000001</v>
      </c>
      <c r="AX171">
        <v>46.094000000000001</v>
      </c>
      <c r="AY171">
        <v>46.094000000000001</v>
      </c>
      <c r="AZ171">
        <v>46.094000000000001</v>
      </c>
      <c r="BA171">
        <v>46.094000000000001</v>
      </c>
      <c r="BB171">
        <v>46.094000000000001</v>
      </c>
      <c r="BC171">
        <v>46.094000000000001</v>
      </c>
      <c r="BD171">
        <v>46.094000000000001</v>
      </c>
      <c r="BE171">
        <v>46.094000000000001</v>
      </c>
      <c r="BF171">
        <v>46.094000000000001</v>
      </c>
      <c r="BG171">
        <v>46.094000000000001</v>
      </c>
      <c r="BH171">
        <v>46.094000000000001</v>
      </c>
      <c r="BI171">
        <v>46.094000000000001</v>
      </c>
      <c r="BJ171">
        <v>46.094000000000001</v>
      </c>
      <c r="BK171">
        <v>46.094000000000001</v>
      </c>
      <c r="BL171">
        <v>46.094000000000001</v>
      </c>
    </row>
    <row r="172" spans="1:64" x14ac:dyDescent="0.25">
      <c r="A172">
        <v>45.996000000000002</v>
      </c>
      <c r="B172">
        <v>45.996000000000002</v>
      </c>
      <c r="C172">
        <v>45.996000000000002</v>
      </c>
      <c r="D172">
        <v>45.996000000000002</v>
      </c>
      <c r="E172">
        <v>45.996000000000002</v>
      </c>
      <c r="F172">
        <v>45.996000000000002</v>
      </c>
      <c r="G172">
        <v>45.996000000000002</v>
      </c>
      <c r="H172">
        <v>45.996000000000002</v>
      </c>
      <c r="I172">
        <v>45.996000000000002</v>
      </c>
      <c r="J172">
        <v>45.996000000000002</v>
      </c>
      <c r="K172">
        <v>45.996000000000002</v>
      </c>
      <c r="L172">
        <v>45.996000000000002</v>
      </c>
      <c r="M172">
        <v>45.996000000000002</v>
      </c>
      <c r="N172">
        <v>45.996000000000002</v>
      </c>
      <c r="O172">
        <v>45.996000000000002</v>
      </c>
      <c r="P172">
        <v>45.996000000000002</v>
      </c>
      <c r="Q172">
        <v>45.996000000000002</v>
      </c>
      <c r="R172">
        <v>45.996000000000002</v>
      </c>
      <c r="S172">
        <v>45.996000000000002</v>
      </c>
      <c r="T172">
        <v>45.996000000000002</v>
      </c>
      <c r="U172">
        <v>45.996000000000002</v>
      </c>
      <c r="V172">
        <v>45.996000000000002</v>
      </c>
      <c r="W172">
        <v>45.996000000000002</v>
      </c>
      <c r="X172">
        <v>45.996000000000002</v>
      </c>
      <c r="Y172">
        <v>45.996000000000002</v>
      </c>
      <c r="Z172">
        <v>45.996000000000002</v>
      </c>
      <c r="AA172">
        <v>45.996000000000002</v>
      </c>
      <c r="AB172">
        <v>45.996000000000002</v>
      </c>
      <c r="AC172">
        <v>45.996000000000002</v>
      </c>
      <c r="AD172">
        <v>45.996000000000002</v>
      </c>
      <c r="AE172">
        <v>45.996000000000002</v>
      </c>
      <c r="AF172">
        <v>45.996000000000002</v>
      </c>
      <c r="AG172">
        <v>45.996000000000002</v>
      </c>
      <c r="AH172">
        <v>45.996000000000002</v>
      </c>
      <c r="AI172">
        <v>45.996000000000002</v>
      </c>
      <c r="AJ172">
        <v>45.996000000000002</v>
      </c>
      <c r="AK172">
        <v>45.996000000000002</v>
      </c>
      <c r="AL172">
        <v>45.996000000000002</v>
      </c>
      <c r="AM172">
        <v>45.996000000000002</v>
      </c>
      <c r="AN172">
        <v>45.996000000000002</v>
      </c>
      <c r="AO172">
        <v>45.996000000000002</v>
      </c>
      <c r="AP172">
        <v>45.996000000000002</v>
      </c>
      <c r="AQ172">
        <v>45.996000000000002</v>
      </c>
      <c r="AR172">
        <v>45.996000000000002</v>
      </c>
      <c r="AS172">
        <v>45.996000000000002</v>
      </c>
      <c r="AT172">
        <v>45.996000000000002</v>
      </c>
      <c r="AU172">
        <v>45.996000000000002</v>
      </c>
      <c r="AV172">
        <v>45.996000000000002</v>
      </c>
      <c r="AW172">
        <v>45.996000000000002</v>
      </c>
      <c r="AX172">
        <v>45.996000000000002</v>
      </c>
      <c r="AY172">
        <v>45.996000000000002</v>
      </c>
      <c r="AZ172">
        <v>45.996000000000002</v>
      </c>
      <c r="BA172">
        <v>45.996000000000002</v>
      </c>
      <c r="BB172">
        <v>45.996000000000002</v>
      </c>
      <c r="BC172">
        <v>45.996000000000002</v>
      </c>
      <c r="BD172">
        <v>45.996000000000002</v>
      </c>
      <c r="BE172">
        <v>45.996000000000002</v>
      </c>
      <c r="BF172">
        <v>45.996000000000002</v>
      </c>
      <c r="BG172">
        <v>45.996000000000002</v>
      </c>
      <c r="BH172">
        <v>45.996000000000002</v>
      </c>
      <c r="BI172">
        <v>45.996000000000002</v>
      </c>
      <c r="BJ172">
        <v>45.996000000000002</v>
      </c>
      <c r="BK172">
        <v>45.996000000000002</v>
      </c>
      <c r="BL172">
        <v>45.996000000000002</v>
      </c>
    </row>
    <row r="173" spans="1:64" x14ac:dyDescent="0.25">
      <c r="A173">
        <v>45.898000000000003</v>
      </c>
      <c r="B173">
        <v>45.898000000000003</v>
      </c>
      <c r="C173">
        <v>45.898000000000003</v>
      </c>
      <c r="D173">
        <v>45.898000000000003</v>
      </c>
      <c r="E173">
        <v>45.898000000000003</v>
      </c>
      <c r="F173">
        <v>45.898000000000003</v>
      </c>
      <c r="G173">
        <v>45.898000000000003</v>
      </c>
      <c r="H173">
        <v>45.898000000000003</v>
      </c>
      <c r="I173">
        <v>45.898000000000003</v>
      </c>
      <c r="J173">
        <v>45.898000000000003</v>
      </c>
      <c r="K173">
        <v>45.898000000000003</v>
      </c>
      <c r="L173">
        <v>45.898000000000003</v>
      </c>
      <c r="M173">
        <v>45.898000000000003</v>
      </c>
      <c r="N173">
        <v>45.898000000000003</v>
      </c>
      <c r="O173">
        <v>45.898000000000003</v>
      </c>
      <c r="P173">
        <v>45.898000000000003</v>
      </c>
      <c r="Q173">
        <v>45.898000000000003</v>
      </c>
      <c r="R173">
        <v>45.898000000000003</v>
      </c>
      <c r="S173">
        <v>45.898000000000003</v>
      </c>
      <c r="T173">
        <v>45.898000000000003</v>
      </c>
      <c r="U173">
        <v>45.898000000000003</v>
      </c>
      <c r="V173">
        <v>45.898000000000003</v>
      </c>
      <c r="W173">
        <v>45.898000000000003</v>
      </c>
      <c r="X173">
        <v>45.898000000000003</v>
      </c>
      <c r="Y173">
        <v>45.898000000000003</v>
      </c>
      <c r="Z173">
        <v>45.898000000000003</v>
      </c>
      <c r="AA173">
        <v>45.898000000000003</v>
      </c>
      <c r="AB173">
        <v>45.898000000000003</v>
      </c>
      <c r="AC173">
        <v>45.898000000000003</v>
      </c>
      <c r="AD173">
        <v>45.898000000000003</v>
      </c>
      <c r="AE173">
        <v>45.898000000000003</v>
      </c>
      <c r="AF173">
        <v>45.898000000000003</v>
      </c>
      <c r="AG173">
        <v>45.898000000000003</v>
      </c>
      <c r="AH173">
        <v>45.898000000000003</v>
      </c>
      <c r="AI173">
        <v>45.898000000000003</v>
      </c>
      <c r="AJ173">
        <v>45.898000000000003</v>
      </c>
      <c r="AK173">
        <v>45.898000000000003</v>
      </c>
      <c r="AL173">
        <v>45.898000000000003</v>
      </c>
      <c r="AM173">
        <v>45.898000000000003</v>
      </c>
      <c r="AN173">
        <v>45.898000000000003</v>
      </c>
      <c r="AO173">
        <v>45.898000000000003</v>
      </c>
      <c r="AP173">
        <v>45.898000000000003</v>
      </c>
      <c r="AQ173">
        <v>45.898000000000003</v>
      </c>
      <c r="AR173">
        <v>45.898000000000003</v>
      </c>
      <c r="AS173">
        <v>45.898000000000003</v>
      </c>
      <c r="AT173">
        <v>45.898000000000003</v>
      </c>
      <c r="AU173">
        <v>45.898000000000003</v>
      </c>
      <c r="AV173">
        <v>45.898000000000003</v>
      </c>
      <c r="AW173">
        <v>45.898000000000003</v>
      </c>
      <c r="AX173">
        <v>45.898000000000003</v>
      </c>
      <c r="AY173">
        <v>45.898000000000003</v>
      </c>
      <c r="AZ173">
        <v>45.898000000000003</v>
      </c>
      <c r="BA173">
        <v>45.898000000000003</v>
      </c>
      <c r="BB173">
        <v>45.898000000000003</v>
      </c>
      <c r="BC173">
        <v>45.898000000000003</v>
      </c>
      <c r="BD173">
        <v>45.898000000000003</v>
      </c>
      <c r="BE173">
        <v>45.898000000000003</v>
      </c>
      <c r="BF173">
        <v>45.898000000000003</v>
      </c>
      <c r="BG173">
        <v>45.898000000000003</v>
      </c>
      <c r="BH173">
        <v>45.898000000000003</v>
      </c>
      <c r="BI173">
        <v>45.898000000000003</v>
      </c>
      <c r="BJ173">
        <v>45.898000000000003</v>
      </c>
      <c r="BK173">
        <v>45.898000000000003</v>
      </c>
      <c r="BL173">
        <v>45.898000000000003</v>
      </c>
    </row>
    <row r="174" spans="1:64" x14ac:dyDescent="0.25">
      <c r="A174">
        <v>45.801000000000002</v>
      </c>
      <c r="B174">
        <v>45.801000000000002</v>
      </c>
      <c r="C174">
        <v>45.801000000000002</v>
      </c>
      <c r="D174">
        <v>45.801000000000002</v>
      </c>
      <c r="E174">
        <v>45.801000000000002</v>
      </c>
      <c r="F174">
        <v>45.801000000000002</v>
      </c>
      <c r="G174">
        <v>45.801000000000002</v>
      </c>
      <c r="H174">
        <v>45.801000000000002</v>
      </c>
      <c r="I174">
        <v>45.801000000000002</v>
      </c>
      <c r="J174">
        <v>45.801000000000002</v>
      </c>
      <c r="K174">
        <v>45.801000000000002</v>
      </c>
      <c r="L174">
        <v>45.801000000000002</v>
      </c>
      <c r="M174">
        <v>45.801000000000002</v>
      </c>
      <c r="N174">
        <v>45.801000000000002</v>
      </c>
      <c r="O174">
        <v>45.801000000000002</v>
      </c>
      <c r="P174">
        <v>45.801000000000002</v>
      </c>
      <c r="Q174">
        <v>45.801000000000002</v>
      </c>
      <c r="R174">
        <v>45.801000000000002</v>
      </c>
      <c r="S174">
        <v>45.801000000000002</v>
      </c>
      <c r="T174">
        <v>45.801000000000002</v>
      </c>
      <c r="U174">
        <v>45.801000000000002</v>
      </c>
      <c r="V174">
        <v>45.801000000000002</v>
      </c>
      <c r="W174">
        <v>45.801000000000002</v>
      </c>
      <c r="X174">
        <v>45.801000000000002</v>
      </c>
      <c r="Y174">
        <v>45.801000000000002</v>
      </c>
      <c r="Z174">
        <v>45.801000000000002</v>
      </c>
      <c r="AA174">
        <v>45.801000000000002</v>
      </c>
      <c r="AB174">
        <v>45.801000000000002</v>
      </c>
      <c r="AC174">
        <v>45.801000000000002</v>
      </c>
      <c r="AD174">
        <v>45.801000000000002</v>
      </c>
      <c r="AE174">
        <v>45.801000000000002</v>
      </c>
      <c r="AF174">
        <v>45.801000000000002</v>
      </c>
      <c r="AG174">
        <v>45.801000000000002</v>
      </c>
      <c r="AH174">
        <v>45.801000000000002</v>
      </c>
      <c r="AI174">
        <v>45.801000000000002</v>
      </c>
      <c r="AJ174">
        <v>45.801000000000002</v>
      </c>
      <c r="AK174">
        <v>45.801000000000002</v>
      </c>
      <c r="AL174">
        <v>45.801000000000002</v>
      </c>
      <c r="AM174">
        <v>45.801000000000002</v>
      </c>
      <c r="AN174">
        <v>45.801000000000002</v>
      </c>
      <c r="AO174">
        <v>45.801000000000002</v>
      </c>
      <c r="AP174">
        <v>45.801000000000002</v>
      </c>
      <c r="AQ174">
        <v>45.801000000000002</v>
      </c>
      <c r="AR174">
        <v>45.801000000000002</v>
      </c>
      <c r="AS174">
        <v>45.801000000000002</v>
      </c>
      <c r="AT174">
        <v>45.801000000000002</v>
      </c>
      <c r="AU174">
        <v>45.801000000000002</v>
      </c>
      <c r="AV174">
        <v>45.801000000000002</v>
      </c>
      <c r="AW174">
        <v>45.801000000000002</v>
      </c>
      <c r="AX174">
        <v>45.801000000000002</v>
      </c>
      <c r="AY174">
        <v>45.801000000000002</v>
      </c>
      <c r="AZ174">
        <v>45.801000000000002</v>
      </c>
      <c r="BA174">
        <v>45.801000000000002</v>
      </c>
      <c r="BB174">
        <v>45.801000000000002</v>
      </c>
      <c r="BC174">
        <v>45.801000000000002</v>
      </c>
      <c r="BD174">
        <v>45.801000000000002</v>
      </c>
      <c r="BE174">
        <v>45.801000000000002</v>
      </c>
      <c r="BF174">
        <v>45.801000000000002</v>
      </c>
      <c r="BG174">
        <v>45.801000000000002</v>
      </c>
      <c r="BH174">
        <v>45.801000000000002</v>
      </c>
      <c r="BI174">
        <v>45.801000000000002</v>
      </c>
      <c r="BJ174">
        <v>45.801000000000002</v>
      </c>
      <c r="BK174">
        <v>45.801000000000002</v>
      </c>
      <c r="BL174">
        <v>45.801000000000002</v>
      </c>
    </row>
    <row r="175" spans="1:64" x14ac:dyDescent="0.25">
      <c r="A175">
        <v>45.703000000000003</v>
      </c>
      <c r="B175">
        <v>45.703000000000003</v>
      </c>
      <c r="C175">
        <v>45.703000000000003</v>
      </c>
      <c r="D175">
        <v>45.703000000000003</v>
      </c>
      <c r="E175">
        <v>45.703000000000003</v>
      </c>
      <c r="F175">
        <v>45.703000000000003</v>
      </c>
      <c r="G175">
        <v>45.703000000000003</v>
      </c>
      <c r="H175">
        <v>45.703000000000003</v>
      </c>
      <c r="I175">
        <v>45.703000000000003</v>
      </c>
      <c r="J175">
        <v>45.703000000000003</v>
      </c>
      <c r="K175">
        <v>45.703000000000003</v>
      </c>
      <c r="L175">
        <v>45.703000000000003</v>
      </c>
      <c r="M175">
        <v>45.703000000000003</v>
      </c>
      <c r="N175">
        <v>45.703000000000003</v>
      </c>
      <c r="O175">
        <v>45.703000000000003</v>
      </c>
      <c r="P175">
        <v>45.703000000000003</v>
      </c>
      <c r="Q175">
        <v>45.703000000000003</v>
      </c>
      <c r="R175">
        <v>45.703000000000003</v>
      </c>
      <c r="S175">
        <v>45.703000000000003</v>
      </c>
      <c r="T175">
        <v>45.703000000000003</v>
      </c>
      <c r="U175">
        <v>45.703000000000003</v>
      </c>
      <c r="V175">
        <v>45.703000000000003</v>
      </c>
      <c r="W175">
        <v>45.703000000000003</v>
      </c>
      <c r="X175">
        <v>45.703000000000003</v>
      </c>
      <c r="Y175">
        <v>45.703000000000003</v>
      </c>
      <c r="Z175">
        <v>45.703000000000003</v>
      </c>
      <c r="AA175">
        <v>45.703000000000003</v>
      </c>
      <c r="AB175">
        <v>45.703000000000003</v>
      </c>
      <c r="AC175">
        <v>45.703000000000003</v>
      </c>
      <c r="AD175">
        <v>45.703000000000003</v>
      </c>
      <c r="AE175">
        <v>45.703000000000003</v>
      </c>
      <c r="AF175">
        <v>45.703000000000003</v>
      </c>
      <c r="AG175">
        <v>45.703000000000003</v>
      </c>
      <c r="AH175">
        <v>45.703000000000003</v>
      </c>
      <c r="AI175">
        <v>45.703000000000003</v>
      </c>
      <c r="AJ175">
        <v>45.703000000000003</v>
      </c>
      <c r="AK175">
        <v>45.703000000000003</v>
      </c>
      <c r="AL175">
        <v>45.703000000000003</v>
      </c>
      <c r="AM175">
        <v>45.703000000000003</v>
      </c>
      <c r="AN175">
        <v>45.703000000000003</v>
      </c>
      <c r="AO175">
        <v>45.703000000000003</v>
      </c>
      <c r="AP175">
        <v>45.703000000000003</v>
      </c>
      <c r="AQ175">
        <v>45.703000000000003</v>
      </c>
      <c r="AR175">
        <v>45.703000000000003</v>
      </c>
      <c r="AS175">
        <v>45.703000000000003</v>
      </c>
      <c r="AT175">
        <v>45.703000000000003</v>
      </c>
      <c r="AU175">
        <v>45.703000000000003</v>
      </c>
      <c r="AV175">
        <v>45.703000000000003</v>
      </c>
      <c r="AW175">
        <v>45.703000000000003</v>
      </c>
      <c r="AX175">
        <v>45.703000000000003</v>
      </c>
      <c r="AY175">
        <v>45.703000000000003</v>
      </c>
      <c r="AZ175">
        <v>45.703000000000003</v>
      </c>
      <c r="BA175">
        <v>45.703000000000003</v>
      </c>
      <c r="BB175">
        <v>45.703000000000003</v>
      </c>
      <c r="BC175">
        <v>45.703000000000003</v>
      </c>
      <c r="BD175">
        <v>45.703000000000003</v>
      </c>
      <c r="BE175">
        <v>45.703000000000003</v>
      </c>
      <c r="BF175">
        <v>45.703000000000003</v>
      </c>
      <c r="BG175">
        <v>45.703000000000003</v>
      </c>
      <c r="BH175">
        <v>45.703000000000003</v>
      </c>
      <c r="BI175">
        <v>45.703000000000003</v>
      </c>
      <c r="BJ175">
        <v>45.703000000000003</v>
      </c>
      <c r="BK175">
        <v>45.703000000000003</v>
      </c>
      <c r="BL175">
        <v>45.703000000000003</v>
      </c>
    </row>
    <row r="176" spans="1:64" x14ac:dyDescent="0.25">
      <c r="A176">
        <v>45.604999999999997</v>
      </c>
      <c r="B176">
        <v>45.604999999999997</v>
      </c>
      <c r="C176">
        <v>45.604999999999997</v>
      </c>
      <c r="D176">
        <v>45.604999999999997</v>
      </c>
      <c r="E176">
        <v>45.604999999999997</v>
      </c>
      <c r="F176">
        <v>45.604999999999997</v>
      </c>
      <c r="G176">
        <v>45.604999999999997</v>
      </c>
      <c r="H176">
        <v>45.604999999999997</v>
      </c>
      <c r="I176">
        <v>45.604999999999997</v>
      </c>
      <c r="J176">
        <v>45.604999999999997</v>
      </c>
      <c r="K176">
        <v>45.604999999999997</v>
      </c>
      <c r="L176">
        <v>45.604999999999997</v>
      </c>
      <c r="M176">
        <v>45.604999999999997</v>
      </c>
      <c r="N176">
        <v>45.604999999999997</v>
      </c>
      <c r="O176">
        <v>45.604999999999997</v>
      </c>
      <c r="P176">
        <v>45.604999999999997</v>
      </c>
      <c r="Q176">
        <v>45.604999999999997</v>
      </c>
      <c r="R176">
        <v>45.604999999999997</v>
      </c>
      <c r="S176">
        <v>45.604999999999997</v>
      </c>
      <c r="T176">
        <v>45.604999999999997</v>
      </c>
      <c r="U176">
        <v>45.604999999999997</v>
      </c>
      <c r="V176">
        <v>45.604999999999997</v>
      </c>
      <c r="W176">
        <v>45.604999999999997</v>
      </c>
      <c r="X176">
        <v>45.604999999999997</v>
      </c>
      <c r="Y176">
        <v>45.604999999999997</v>
      </c>
      <c r="Z176">
        <v>45.604999999999997</v>
      </c>
      <c r="AA176">
        <v>45.604999999999997</v>
      </c>
      <c r="AB176">
        <v>45.604999999999997</v>
      </c>
      <c r="AC176">
        <v>45.604999999999997</v>
      </c>
      <c r="AD176">
        <v>45.604999999999997</v>
      </c>
      <c r="AE176">
        <v>45.604999999999997</v>
      </c>
      <c r="AF176">
        <v>45.604999999999997</v>
      </c>
      <c r="AG176">
        <v>45.604999999999997</v>
      </c>
      <c r="AH176">
        <v>45.604999999999997</v>
      </c>
      <c r="AI176">
        <v>45.604999999999997</v>
      </c>
      <c r="AJ176">
        <v>45.604999999999997</v>
      </c>
      <c r="AK176">
        <v>45.604999999999997</v>
      </c>
      <c r="AL176">
        <v>45.604999999999997</v>
      </c>
      <c r="AM176">
        <v>45.604999999999997</v>
      </c>
      <c r="AN176">
        <v>45.604999999999997</v>
      </c>
      <c r="AO176">
        <v>45.604999999999997</v>
      </c>
      <c r="AP176">
        <v>45.604999999999997</v>
      </c>
      <c r="AQ176">
        <v>45.604999999999997</v>
      </c>
      <c r="AR176">
        <v>45.604999999999997</v>
      </c>
      <c r="AS176">
        <v>45.604999999999997</v>
      </c>
      <c r="AT176">
        <v>45.604999999999997</v>
      </c>
      <c r="AU176">
        <v>45.604999999999997</v>
      </c>
      <c r="AV176">
        <v>45.604999999999997</v>
      </c>
      <c r="AW176">
        <v>45.604999999999997</v>
      </c>
      <c r="AX176">
        <v>45.604999999999997</v>
      </c>
      <c r="AY176">
        <v>45.604999999999997</v>
      </c>
      <c r="AZ176">
        <v>45.604999999999997</v>
      </c>
      <c r="BA176">
        <v>45.604999999999997</v>
      </c>
      <c r="BB176">
        <v>45.604999999999997</v>
      </c>
      <c r="BC176">
        <v>45.604999999999997</v>
      </c>
      <c r="BD176">
        <v>45.604999999999997</v>
      </c>
      <c r="BE176">
        <v>45.604999999999997</v>
      </c>
      <c r="BF176">
        <v>45.604999999999997</v>
      </c>
      <c r="BG176">
        <v>45.604999999999997</v>
      </c>
      <c r="BH176">
        <v>45.604999999999997</v>
      </c>
      <c r="BI176">
        <v>45.604999999999997</v>
      </c>
      <c r="BJ176">
        <v>45.604999999999997</v>
      </c>
      <c r="BK176">
        <v>45.604999999999997</v>
      </c>
      <c r="BL176">
        <v>45.604999999999997</v>
      </c>
    </row>
    <row r="177" spans="1:64" x14ac:dyDescent="0.25">
      <c r="A177">
        <v>45.508000000000003</v>
      </c>
      <c r="B177">
        <v>45.508000000000003</v>
      </c>
      <c r="C177">
        <v>45.508000000000003</v>
      </c>
      <c r="D177">
        <v>45.508000000000003</v>
      </c>
      <c r="E177">
        <v>45.508000000000003</v>
      </c>
      <c r="F177">
        <v>45.508000000000003</v>
      </c>
      <c r="G177">
        <v>45.508000000000003</v>
      </c>
      <c r="H177">
        <v>45.508000000000003</v>
      </c>
      <c r="I177">
        <v>45.508000000000003</v>
      </c>
      <c r="J177">
        <v>45.508000000000003</v>
      </c>
      <c r="K177">
        <v>45.508000000000003</v>
      </c>
      <c r="L177">
        <v>45.508000000000003</v>
      </c>
      <c r="M177">
        <v>45.508000000000003</v>
      </c>
      <c r="N177">
        <v>45.508000000000003</v>
      </c>
      <c r="O177">
        <v>45.508000000000003</v>
      </c>
      <c r="P177">
        <v>45.508000000000003</v>
      </c>
      <c r="Q177">
        <v>45.508000000000003</v>
      </c>
      <c r="R177">
        <v>45.508000000000003</v>
      </c>
      <c r="S177">
        <v>45.508000000000003</v>
      </c>
      <c r="T177">
        <v>45.508000000000003</v>
      </c>
      <c r="U177">
        <v>45.508000000000003</v>
      </c>
      <c r="V177">
        <v>45.508000000000003</v>
      </c>
      <c r="W177">
        <v>45.508000000000003</v>
      </c>
      <c r="X177">
        <v>45.508000000000003</v>
      </c>
      <c r="Y177">
        <v>45.508000000000003</v>
      </c>
      <c r="Z177">
        <v>45.508000000000003</v>
      </c>
      <c r="AA177">
        <v>45.508000000000003</v>
      </c>
      <c r="AB177">
        <v>45.508000000000003</v>
      </c>
      <c r="AC177">
        <v>45.508000000000003</v>
      </c>
      <c r="AD177">
        <v>45.508000000000003</v>
      </c>
      <c r="AE177">
        <v>45.508000000000003</v>
      </c>
      <c r="AF177">
        <v>45.508000000000003</v>
      </c>
      <c r="AG177">
        <v>45.508000000000003</v>
      </c>
      <c r="AH177">
        <v>45.508000000000003</v>
      </c>
      <c r="AI177">
        <v>45.508000000000003</v>
      </c>
      <c r="AJ177">
        <v>45.508000000000003</v>
      </c>
      <c r="AK177">
        <v>45.508000000000003</v>
      </c>
      <c r="AL177">
        <v>45.508000000000003</v>
      </c>
      <c r="AM177">
        <v>45.508000000000003</v>
      </c>
      <c r="AN177">
        <v>45.508000000000003</v>
      </c>
      <c r="AO177">
        <v>45.508000000000003</v>
      </c>
      <c r="AP177">
        <v>45.508000000000003</v>
      </c>
      <c r="AQ177">
        <v>45.508000000000003</v>
      </c>
      <c r="AR177">
        <v>45.508000000000003</v>
      </c>
      <c r="AS177">
        <v>45.508000000000003</v>
      </c>
      <c r="AT177">
        <v>45.508000000000003</v>
      </c>
      <c r="AU177">
        <v>45.508000000000003</v>
      </c>
      <c r="AV177">
        <v>45.508000000000003</v>
      </c>
      <c r="AW177">
        <v>45.508000000000003</v>
      </c>
      <c r="AX177">
        <v>45.508000000000003</v>
      </c>
      <c r="AY177">
        <v>45.508000000000003</v>
      </c>
      <c r="AZ177">
        <v>45.508000000000003</v>
      </c>
      <c r="BA177">
        <v>45.508000000000003</v>
      </c>
      <c r="BB177">
        <v>45.508000000000003</v>
      </c>
      <c r="BC177">
        <v>45.508000000000003</v>
      </c>
      <c r="BD177">
        <v>45.508000000000003</v>
      </c>
      <c r="BE177">
        <v>45.508000000000003</v>
      </c>
      <c r="BF177">
        <v>45.508000000000003</v>
      </c>
      <c r="BG177">
        <v>45.508000000000003</v>
      </c>
      <c r="BH177">
        <v>45.508000000000003</v>
      </c>
      <c r="BI177">
        <v>45.508000000000003</v>
      </c>
      <c r="BJ177">
        <v>45.508000000000003</v>
      </c>
      <c r="BK177">
        <v>45.508000000000003</v>
      </c>
      <c r="BL177">
        <v>45.508000000000003</v>
      </c>
    </row>
    <row r="178" spans="1:64" x14ac:dyDescent="0.25">
      <c r="A178">
        <v>45.41</v>
      </c>
      <c r="B178">
        <v>45.41</v>
      </c>
      <c r="C178">
        <v>45.41</v>
      </c>
      <c r="D178">
        <v>45.41</v>
      </c>
      <c r="E178">
        <v>45.41</v>
      </c>
      <c r="F178">
        <v>45.41</v>
      </c>
      <c r="G178">
        <v>45.41</v>
      </c>
      <c r="H178">
        <v>45.41</v>
      </c>
      <c r="I178">
        <v>45.41</v>
      </c>
      <c r="J178">
        <v>45.41</v>
      </c>
      <c r="K178">
        <v>45.41</v>
      </c>
      <c r="L178">
        <v>45.41</v>
      </c>
      <c r="M178">
        <v>45.41</v>
      </c>
      <c r="N178">
        <v>45.41</v>
      </c>
      <c r="O178">
        <v>45.41</v>
      </c>
      <c r="P178">
        <v>45.41</v>
      </c>
      <c r="Q178">
        <v>45.41</v>
      </c>
      <c r="R178">
        <v>45.41</v>
      </c>
      <c r="S178">
        <v>45.41</v>
      </c>
      <c r="T178">
        <v>45.41</v>
      </c>
      <c r="U178">
        <v>45.41</v>
      </c>
      <c r="V178">
        <v>45.41</v>
      </c>
      <c r="W178">
        <v>45.41</v>
      </c>
      <c r="X178">
        <v>45.41</v>
      </c>
      <c r="Y178">
        <v>45.41</v>
      </c>
      <c r="Z178">
        <v>45.41</v>
      </c>
      <c r="AA178">
        <v>45.41</v>
      </c>
      <c r="AB178">
        <v>45.41</v>
      </c>
      <c r="AC178">
        <v>45.41</v>
      </c>
      <c r="AD178">
        <v>45.41</v>
      </c>
      <c r="AE178">
        <v>45.41</v>
      </c>
      <c r="AF178">
        <v>45.41</v>
      </c>
      <c r="AG178">
        <v>45.41</v>
      </c>
      <c r="AH178">
        <v>45.41</v>
      </c>
      <c r="AI178">
        <v>45.41</v>
      </c>
      <c r="AJ178">
        <v>45.41</v>
      </c>
      <c r="AK178">
        <v>45.41</v>
      </c>
      <c r="AL178">
        <v>45.41</v>
      </c>
      <c r="AM178">
        <v>45.41</v>
      </c>
      <c r="AN178">
        <v>45.41</v>
      </c>
      <c r="AO178">
        <v>45.41</v>
      </c>
      <c r="AP178">
        <v>45.41</v>
      </c>
      <c r="AQ178">
        <v>45.41</v>
      </c>
      <c r="AR178">
        <v>45.41</v>
      </c>
      <c r="AS178">
        <v>45.41</v>
      </c>
      <c r="AT178">
        <v>45.41</v>
      </c>
      <c r="AU178">
        <v>45.41</v>
      </c>
      <c r="AV178">
        <v>45.41</v>
      </c>
      <c r="AW178">
        <v>45.41</v>
      </c>
      <c r="AX178">
        <v>45.41</v>
      </c>
      <c r="AY178">
        <v>45.41</v>
      </c>
      <c r="AZ178">
        <v>45.41</v>
      </c>
      <c r="BA178">
        <v>45.41</v>
      </c>
      <c r="BB178">
        <v>45.41</v>
      </c>
      <c r="BC178">
        <v>45.41</v>
      </c>
      <c r="BD178">
        <v>45.41</v>
      </c>
      <c r="BE178">
        <v>45.41</v>
      </c>
      <c r="BF178">
        <v>45.41</v>
      </c>
      <c r="BG178">
        <v>45.41</v>
      </c>
      <c r="BH178">
        <v>45.41</v>
      </c>
      <c r="BI178">
        <v>45.41</v>
      </c>
      <c r="BJ178">
        <v>45.41</v>
      </c>
      <c r="BK178">
        <v>45.41</v>
      </c>
      <c r="BL178">
        <v>45.41</v>
      </c>
    </row>
    <row r="179" spans="1:64" x14ac:dyDescent="0.25">
      <c r="A179">
        <v>45.313000000000002</v>
      </c>
      <c r="B179">
        <v>45.313000000000002</v>
      </c>
      <c r="C179">
        <v>45.313000000000002</v>
      </c>
      <c r="D179">
        <v>45.313000000000002</v>
      </c>
      <c r="E179">
        <v>45.313000000000002</v>
      </c>
      <c r="F179">
        <v>45.313000000000002</v>
      </c>
      <c r="G179">
        <v>45.313000000000002</v>
      </c>
      <c r="H179">
        <v>45.313000000000002</v>
      </c>
      <c r="I179">
        <v>45.313000000000002</v>
      </c>
      <c r="J179">
        <v>45.313000000000002</v>
      </c>
      <c r="K179">
        <v>45.313000000000002</v>
      </c>
      <c r="L179">
        <v>45.313000000000002</v>
      </c>
      <c r="M179">
        <v>45.313000000000002</v>
      </c>
      <c r="N179">
        <v>45.313000000000002</v>
      </c>
      <c r="O179">
        <v>45.313000000000002</v>
      </c>
      <c r="P179">
        <v>45.313000000000002</v>
      </c>
      <c r="Q179">
        <v>45.313000000000002</v>
      </c>
      <c r="R179">
        <v>45.313000000000002</v>
      </c>
      <c r="S179">
        <v>45.313000000000002</v>
      </c>
      <c r="T179">
        <v>45.313000000000002</v>
      </c>
      <c r="U179">
        <v>45.313000000000002</v>
      </c>
      <c r="V179">
        <v>45.313000000000002</v>
      </c>
      <c r="W179">
        <v>45.313000000000002</v>
      </c>
      <c r="X179">
        <v>45.313000000000002</v>
      </c>
      <c r="Y179">
        <v>45.313000000000002</v>
      </c>
      <c r="Z179">
        <v>45.313000000000002</v>
      </c>
      <c r="AA179">
        <v>45.313000000000002</v>
      </c>
      <c r="AB179">
        <v>45.313000000000002</v>
      </c>
      <c r="AC179">
        <v>45.313000000000002</v>
      </c>
      <c r="AD179">
        <v>45.313000000000002</v>
      </c>
      <c r="AE179">
        <v>45.313000000000002</v>
      </c>
      <c r="AF179">
        <v>45.313000000000002</v>
      </c>
      <c r="AG179">
        <v>45.313000000000002</v>
      </c>
      <c r="AH179">
        <v>45.313000000000002</v>
      </c>
      <c r="AI179">
        <v>45.313000000000002</v>
      </c>
      <c r="AJ179">
        <v>45.313000000000002</v>
      </c>
      <c r="AK179">
        <v>45.313000000000002</v>
      </c>
      <c r="AL179">
        <v>45.313000000000002</v>
      </c>
      <c r="AM179">
        <v>45.313000000000002</v>
      </c>
      <c r="AN179">
        <v>45.313000000000002</v>
      </c>
      <c r="AO179">
        <v>45.313000000000002</v>
      </c>
      <c r="AP179">
        <v>45.313000000000002</v>
      </c>
      <c r="AQ179">
        <v>45.313000000000002</v>
      </c>
      <c r="AR179">
        <v>45.313000000000002</v>
      </c>
      <c r="AS179">
        <v>45.313000000000002</v>
      </c>
      <c r="AT179">
        <v>45.313000000000002</v>
      </c>
      <c r="AU179">
        <v>45.313000000000002</v>
      </c>
      <c r="AV179">
        <v>45.313000000000002</v>
      </c>
      <c r="AW179">
        <v>45.313000000000002</v>
      </c>
      <c r="AX179">
        <v>45.313000000000002</v>
      </c>
      <c r="AY179">
        <v>45.313000000000002</v>
      </c>
      <c r="AZ179">
        <v>45.313000000000002</v>
      </c>
      <c r="BA179">
        <v>45.313000000000002</v>
      </c>
      <c r="BB179">
        <v>45.313000000000002</v>
      </c>
      <c r="BC179">
        <v>45.313000000000002</v>
      </c>
      <c r="BD179">
        <v>45.313000000000002</v>
      </c>
      <c r="BE179">
        <v>45.313000000000002</v>
      </c>
      <c r="BF179">
        <v>45.313000000000002</v>
      </c>
      <c r="BG179">
        <v>45.313000000000002</v>
      </c>
      <c r="BH179">
        <v>45.313000000000002</v>
      </c>
      <c r="BI179">
        <v>45.313000000000002</v>
      </c>
      <c r="BJ179">
        <v>45.313000000000002</v>
      </c>
      <c r="BK179">
        <v>45.313000000000002</v>
      </c>
      <c r="BL179">
        <v>45.313000000000002</v>
      </c>
    </row>
    <row r="180" spans="1:64" x14ac:dyDescent="0.25">
      <c r="A180">
        <v>45.215000000000003</v>
      </c>
      <c r="B180">
        <v>45.215000000000003</v>
      </c>
      <c r="C180">
        <v>45.215000000000003</v>
      </c>
      <c r="D180">
        <v>45.215000000000003</v>
      </c>
      <c r="E180">
        <v>45.215000000000003</v>
      </c>
      <c r="F180">
        <v>45.215000000000003</v>
      </c>
      <c r="G180">
        <v>45.215000000000003</v>
      </c>
      <c r="H180">
        <v>45.215000000000003</v>
      </c>
      <c r="I180">
        <v>45.215000000000003</v>
      </c>
      <c r="J180">
        <v>45.215000000000003</v>
      </c>
      <c r="K180">
        <v>45.215000000000003</v>
      </c>
      <c r="L180">
        <v>45.215000000000003</v>
      </c>
      <c r="M180">
        <v>45.215000000000003</v>
      </c>
      <c r="N180">
        <v>45.215000000000003</v>
      </c>
      <c r="O180">
        <v>45.215000000000003</v>
      </c>
      <c r="P180">
        <v>45.215000000000003</v>
      </c>
      <c r="Q180">
        <v>45.215000000000003</v>
      </c>
      <c r="R180">
        <v>45.215000000000003</v>
      </c>
      <c r="S180">
        <v>45.215000000000003</v>
      </c>
      <c r="T180">
        <v>45.215000000000003</v>
      </c>
      <c r="U180">
        <v>45.215000000000003</v>
      </c>
      <c r="V180">
        <v>45.215000000000003</v>
      </c>
      <c r="W180">
        <v>45.215000000000003</v>
      </c>
      <c r="X180">
        <v>45.215000000000003</v>
      </c>
      <c r="Y180">
        <v>45.215000000000003</v>
      </c>
      <c r="Z180">
        <v>45.215000000000003</v>
      </c>
      <c r="AA180">
        <v>45.215000000000003</v>
      </c>
      <c r="AB180">
        <v>45.215000000000003</v>
      </c>
      <c r="AC180">
        <v>45.215000000000003</v>
      </c>
      <c r="AD180">
        <v>45.215000000000003</v>
      </c>
      <c r="AE180">
        <v>45.215000000000003</v>
      </c>
      <c r="AF180">
        <v>45.215000000000003</v>
      </c>
      <c r="AG180">
        <v>45.215000000000003</v>
      </c>
      <c r="AH180">
        <v>45.215000000000003</v>
      </c>
      <c r="AI180">
        <v>45.215000000000003</v>
      </c>
      <c r="AJ180">
        <v>45.215000000000003</v>
      </c>
      <c r="AK180">
        <v>45.215000000000003</v>
      </c>
      <c r="AL180">
        <v>45.215000000000003</v>
      </c>
      <c r="AM180">
        <v>45.215000000000003</v>
      </c>
      <c r="AN180">
        <v>45.215000000000003</v>
      </c>
      <c r="AO180">
        <v>45.215000000000003</v>
      </c>
      <c r="AP180">
        <v>45.215000000000003</v>
      </c>
      <c r="AQ180">
        <v>45.215000000000003</v>
      </c>
      <c r="AR180">
        <v>45.215000000000003</v>
      </c>
      <c r="AS180">
        <v>45.215000000000003</v>
      </c>
      <c r="AT180">
        <v>45.215000000000003</v>
      </c>
      <c r="AU180">
        <v>45.215000000000003</v>
      </c>
      <c r="AV180">
        <v>45.215000000000003</v>
      </c>
      <c r="AW180">
        <v>45.215000000000003</v>
      </c>
      <c r="AX180">
        <v>45.215000000000003</v>
      </c>
      <c r="AY180">
        <v>45.215000000000003</v>
      </c>
      <c r="AZ180">
        <v>45.215000000000003</v>
      </c>
      <c r="BA180">
        <v>45.215000000000003</v>
      </c>
      <c r="BB180">
        <v>45.215000000000003</v>
      </c>
      <c r="BC180">
        <v>45.215000000000003</v>
      </c>
      <c r="BD180">
        <v>45.215000000000003</v>
      </c>
      <c r="BE180">
        <v>45.215000000000003</v>
      </c>
      <c r="BF180">
        <v>45.215000000000003</v>
      </c>
      <c r="BG180">
        <v>45.215000000000003</v>
      </c>
      <c r="BH180">
        <v>45.215000000000003</v>
      </c>
      <c r="BI180">
        <v>45.215000000000003</v>
      </c>
      <c r="BJ180">
        <v>45.215000000000003</v>
      </c>
      <c r="BK180">
        <v>45.215000000000003</v>
      </c>
      <c r="BL180">
        <v>45.215000000000003</v>
      </c>
    </row>
    <row r="181" spans="1:64" x14ac:dyDescent="0.25">
      <c r="A181">
        <v>45.116999999999997</v>
      </c>
      <c r="B181">
        <v>45.116999999999997</v>
      </c>
      <c r="C181">
        <v>45.116999999999997</v>
      </c>
      <c r="D181">
        <v>45.116999999999997</v>
      </c>
      <c r="E181">
        <v>45.116999999999997</v>
      </c>
      <c r="F181">
        <v>45.116999999999997</v>
      </c>
      <c r="G181">
        <v>45.116999999999997</v>
      </c>
      <c r="H181">
        <v>45.116999999999997</v>
      </c>
      <c r="I181">
        <v>45.116999999999997</v>
      </c>
      <c r="J181">
        <v>45.116999999999997</v>
      </c>
      <c r="K181">
        <v>45.116999999999997</v>
      </c>
      <c r="L181">
        <v>45.116999999999997</v>
      </c>
      <c r="M181">
        <v>45.116999999999997</v>
      </c>
      <c r="N181">
        <v>45.116999999999997</v>
      </c>
      <c r="O181">
        <v>45.116999999999997</v>
      </c>
      <c r="P181">
        <v>45.116999999999997</v>
      </c>
      <c r="Q181">
        <v>45.116999999999997</v>
      </c>
      <c r="R181">
        <v>45.116999999999997</v>
      </c>
      <c r="S181">
        <v>45.116999999999997</v>
      </c>
      <c r="T181">
        <v>45.116999999999997</v>
      </c>
      <c r="U181">
        <v>45.116999999999997</v>
      </c>
      <c r="V181">
        <v>45.116999999999997</v>
      </c>
      <c r="W181">
        <v>45.116999999999997</v>
      </c>
      <c r="X181">
        <v>45.116999999999997</v>
      </c>
      <c r="Y181">
        <v>45.116999999999997</v>
      </c>
      <c r="Z181">
        <v>45.116999999999997</v>
      </c>
      <c r="AA181">
        <v>45.116999999999997</v>
      </c>
      <c r="AB181">
        <v>45.116999999999997</v>
      </c>
      <c r="AC181">
        <v>45.116999999999997</v>
      </c>
      <c r="AD181">
        <v>45.116999999999997</v>
      </c>
      <c r="AE181">
        <v>45.116999999999997</v>
      </c>
      <c r="AF181">
        <v>45.116999999999997</v>
      </c>
      <c r="AG181">
        <v>45.116999999999997</v>
      </c>
      <c r="AH181">
        <v>45.116999999999997</v>
      </c>
      <c r="AI181">
        <v>45.116999999999997</v>
      </c>
      <c r="AJ181">
        <v>45.116999999999997</v>
      </c>
      <c r="AK181">
        <v>45.116999999999997</v>
      </c>
      <c r="AL181">
        <v>45.116999999999997</v>
      </c>
      <c r="AM181">
        <v>45.116999999999997</v>
      </c>
      <c r="AN181">
        <v>45.116999999999997</v>
      </c>
      <c r="AO181">
        <v>45.116999999999997</v>
      </c>
      <c r="AP181">
        <v>45.116999999999997</v>
      </c>
      <c r="AQ181">
        <v>45.116999999999997</v>
      </c>
      <c r="AR181">
        <v>45.116999999999997</v>
      </c>
      <c r="AS181">
        <v>45.116999999999997</v>
      </c>
      <c r="AT181">
        <v>45.116999999999997</v>
      </c>
      <c r="AU181">
        <v>45.116999999999997</v>
      </c>
      <c r="AV181">
        <v>45.116999999999997</v>
      </c>
      <c r="AW181">
        <v>45.116999999999997</v>
      </c>
      <c r="AX181">
        <v>45.116999999999997</v>
      </c>
      <c r="AY181">
        <v>45.116999999999997</v>
      </c>
      <c r="AZ181">
        <v>45.116999999999997</v>
      </c>
      <c r="BA181">
        <v>45.116999999999997</v>
      </c>
      <c r="BB181">
        <v>45.116999999999997</v>
      </c>
      <c r="BC181">
        <v>45.116999999999997</v>
      </c>
      <c r="BD181">
        <v>45.116999999999997</v>
      </c>
      <c r="BE181">
        <v>45.116999999999997</v>
      </c>
      <c r="BF181">
        <v>45.116999999999997</v>
      </c>
      <c r="BG181">
        <v>45.116999999999997</v>
      </c>
      <c r="BH181">
        <v>45.116999999999997</v>
      </c>
      <c r="BI181">
        <v>45.116999999999997</v>
      </c>
      <c r="BJ181">
        <v>45.116999999999997</v>
      </c>
      <c r="BK181">
        <v>45.116999999999997</v>
      </c>
      <c r="BL181">
        <v>45.116999999999997</v>
      </c>
    </row>
    <row r="182" spans="1:64" x14ac:dyDescent="0.25">
      <c r="A182">
        <v>45.02</v>
      </c>
      <c r="B182">
        <v>45.02</v>
      </c>
      <c r="C182">
        <v>45.02</v>
      </c>
      <c r="D182">
        <v>45.02</v>
      </c>
      <c r="E182">
        <v>45.02</v>
      </c>
      <c r="F182">
        <v>45.02</v>
      </c>
      <c r="G182">
        <v>45.02</v>
      </c>
      <c r="H182">
        <v>45.02</v>
      </c>
      <c r="I182">
        <v>45.02</v>
      </c>
      <c r="J182">
        <v>45.02</v>
      </c>
      <c r="K182">
        <v>45.02</v>
      </c>
      <c r="L182">
        <v>45.02</v>
      </c>
      <c r="M182">
        <v>45.02</v>
      </c>
      <c r="N182">
        <v>45.02</v>
      </c>
      <c r="O182">
        <v>45.02</v>
      </c>
      <c r="P182">
        <v>45.02</v>
      </c>
      <c r="Q182">
        <v>45.02</v>
      </c>
      <c r="R182">
        <v>45.02</v>
      </c>
      <c r="S182">
        <v>45.02</v>
      </c>
      <c r="T182">
        <v>45.02</v>
      </c>
      <c r="U182">
        <v>45.02</v>
      </c>
      <c r="V182">
        <v>45.02</v>
      </c>
      <c r="W182">
        <v>45.02</v>
      </c>
      <c r="X182">
        <v>45.02</v>
      </c>
      <c r="Y182">
        <v>45.02</v>
      </c>
      <c r="Z182">
        <v>45.02</v>
      </c>
      <c r="AA182">
        <v>45.02</v>
      </c>
      <c r="AB182">
        <v>45.02</v>
      </c>
      <c r="AC182">
        <v>45.02</v>
      </c>
      <c r="AD182">
        <v>45.02</v>
      </c>
      <c r="AE182">
        <v>45.02</v>
      </c>
      <c r="AF182">
        <v>45.02</v>
      </c>
      <c r="AG182">
        <v>45.02</v>
      </c>
      <c r="AH182">
        <v>45.02</v>
      </c>
      <c r="AI182">
        <v>45.02</v>
      </c>
      <c r="AJ182">
        <v>45.02</v>
      </c>
      <c r="AK182">
        <v>45.02</v>
      </c>
      <c r="AL182">
        <v>45.02</v>
      </c>
      <c r="AM182">
        <v>45.02</v>
      </c>
      <c r="AN182">
        <v>45.02</v>
      </c>
      <c r="AO182">
        <v>45.02</v>
      </c>
      <c r="AP182">
        <v>45.02</v>
      </c>
      <c r="AQ182">
        <v>45.02</v>
      </c>
      <c r="AR182">
        <v>45.02</v>
      </c>
      <c r="AS182">
        <v>45.02</v>
      </c>
      <c r="AT182">
        <v>45.02</v>
      </c>
      <c r="AU182">
        <v>45.02</v>
      </c>
      <c r="AV182">
        <v>45.02</v>
      </c>
      <c r="AW182">
        <v>45.02</v>
      </c>
      <c r="AX182">
        <v>45.02</v>
      </c>
      <c r="AY182">
        <v>45.02</v>
      </c>
      <c r="AZ182">
        <v>45.02</v>
      </c>
      <c r="BA182">
        <v>45.02</v>
      </c>
      <c r="BB182">
        <v>45.02</v>
      </c>
      <c r="BC182">
        <v>45.02</v>
      </c>
      <c r="BD182">
        <v>45.02</v>
      </c>
      <c r="BE182">
        <v>45.02</v>
      </c>
      <c r="BF182">
        <v>45.02</v>
      </c>
      <c r="BG182">
        <v>45.02</v>
      </c>
      <c r="BH182">
        <v>45.02</v>
      </c>
      <c r="BI182">
        <v>45.02</v>
      </c>
      <c r="BJ182">
        <v>45.02</v>
      </c>
      <c r="BK182">
        <v>45.02</v>
      </c>
      <c r="BL182">
        <v>45.02</v>
      </c>
    </row>
    <row r="183" spans="1:64" x14ac:dyDescent="0.25">
      <c r="A183">
        <v>44.921999999999997</v>
      </c>
      <c r="B183">
        <v>44.921999999999997</v>
      </c>
      <c r="C183">
        <v>44.921999999999997</v>
      </c>
      <c r="D183">
        <v>44.921999999999997</v>
      </c>
      <c r="E183">
        <v>44.921999999999997</v>
      </c>
      <c r="F183">
        <v>44.921999999999997</v>
      </c>
      <c r="G183">
        <v>44.921999999999997</v>
      </c>
      <c r="H183">
        <v>44.921999999999997</v>
      </c>
      <c r="I183">
        <v>44.921999999999997</v>
      </c>
      <c r="J183">
        <v>44.921999999999997</v>
      </c>
      <c r="K183">
        <v>44.921999999999997</v>
      </c>
      <c r="L183">
        <v>44.921999999999997</v>
      </c>
      <c r="M183">
        <v>44.921999999999997</v>
      </c>
      <c r="N183">
        <v>44.921999999999997</v>
      </c>
      <c r="O183">
        <v>44.921999999999997</v>
      </c>
      <c r="P183">
        <v>44.921999999999997</v>
      </c>
      <c r="Q183">
        <v>44.921999999999997</v>
      </c>
      <c r="R183">
        <v>44.921999999999997</v>
      </c>
      <c r="S183">
        <v>44.921999999999997</v>
      </c>
      <c r="T183">
        <v>44.921999999999997</v>
      </c>
      <c r="U183">
        <v>44.921999999999997</v>
      </c>
      <c r="V183">
        <v>44.921999999999997</v>
      </c>
      <c r="W183">
        <v>44.921999999999997</v>
      </c>
      <c r="X183">
        <v>44.921999999999997</v>
      </c>
      <c r="Y183">
        <v>44.921999999999997</v>
      </c>
      <c r="Z183">
        <v>44.921999999999997</v>
      </c>
      <c r="AA183">
        <v>44.921999999999997</v>
      </c>
      <c r="AB183">
        <v>44.921999999999997</v>
      </c>
      <c r="AC183">
        <v>44.921999999999997</v>
      </c>
      <c r="AD183">
        <v>44.921999999999997</v>
      </c>
      <c r="AE183">
        <v>44.921999999999997</v>
      </c>
      <c r="AF183">
        <v>44.921999999999997</v>
      </c>
      <c r="AG183">
        <v>44.921999999999997</v>
      </c>
      <c r="AH183">
        <v>44.921999999999997</v>
      </c>
      <c r="AI183">
        <v>44.921999999999997</v>
      </c>
      <c r="AJ183">
        <v>44.921999999999997</v>
      </c>
      <c r="AK183">
        <v>44.921999999999997</v>
      </c>
      <c r="AL183">
        <v>44.921999999999997</v>
      </c>
      <c r="AM183">
        <v>44.921999999999997</v>
      </c>
      <c r="AN183">
        <v>44.921999999999997</v>
      </c>
      <c r="AO183">
        <v>44.921999999999997</v>
      </c>
      <c r="AP183">
        <v>44.921999999999997</v>
      </c>
      <c r="AQ183">
        <v>44.921999999999997</v>
      </c>
      <c r="AR183">
        <v>44.921999999999997</v>
      </c>
      <c r="AS183">
        <v>44.921999999999997</v>
      </c>
      <c r="AT183">
        <v>44.921999999999997</v>
      </c>
      <c r="AU183">
        <v>44.921999999999997</v>
      </c>
      <c r="AV183">
        <v>44.921999999999997</v>
      </c>
      <c r="AW183">
        <v>44.921999999999997</v>
      </c>
      <c r="AX183">
        <v>44.921999999999997</v>
      </c>
      <c r="AY183">
        <v>44.921999999999997</v>
      </c>
      <c r="AZ183">
        <v>44.921999999999997</v>
      </c>
      <c r="BA183">
        <v>44.921999999999997</v>
      </c>
      <c r="BB183">
        <v>44.921999999999997</v>
      </c>
      <c r="BC183">
        <v>44.921999999999997</v>
      </c>
      <c r="BD183">
        <v>44.921999999999997</v>
      </c>
      <c r="BE183">
        <v>44.921999999999997</v>
      </c>
      <c r="BF183">
        <v>44.921999999999997</v>
      </c>
      <c r="BG183">
        <v>44.921999999999997</v>
      </c>
      <c r="BH183">
        <v>44.921999999999997</v>
      </c>
      <c r="BI183">
        <v>44.921999999999997</v>
      </c>
      <c r="BJ183">
        <v>44.921999999999997</v>
      </c>
      <c r="BK183">
        <v>44.921999999999997</v>
      </c>
      <c r="BL183">
        <v>44.921999999999997</v>
      </c>
    </row>
    <row r="184" spans="1:64" x14ac:dyDescent="0.25">
      <c r="A184">
        <v>44.823999999999998</v>
      </c>
      <c r="B184">
        <v>44.823999999999998</v>
      </c>
      <c r="C184">
        <v>44.823999999999998</v>
      </c>
      <c r="D184">
        <v>44.823999999999998</v>
      </c>
      <c r="E184">
        <v>44.823999999999998</v>
      </c>
      <c r="F184">
        <v>44.823999999999998</v>
      </c>
      <c r="G184">
        <v>44.823999999999998</v>
      </c>
      <c r="H184">
        <v>44.823999999999998</v>
      </c>
      <c r="I184">
        <v>44.823999999999998</v>
      </c>
      <c r="J184">
        <v>44.823999999999998</v>
      </c>
      <c r="K184">
        <v>44.823999999999998</v>
      </c>
      <c r="L184">
        <v>44.823999999999998</v>
      </c>
      <c r="M184">
        <v>44.823999999999998</v>
      </c>
      <c r="N184">
        <v>44.823999999999998</v>
      </c>
      <c r="O184">
        <v>44.823999999999998</v>
      </c>
      <c r="P184">
        <v>44.823999999999998</v>
      </c>
      <c r="Q184">
        <v>44.823999999999998</v>
      </c>
      <c r="R184">
        <v>44.823999999999998</v>
      </c>
      <c r="S184">
        <v>44.823999999999998</v>
      </c>
      <c r="T184">
        <v>44.823999999999998</v>
      </c>
      <c r="U184">
        <v>44.823999999999998</v>
      </c>
      <c r="V184">
        <v>44.823999999999998</v>
      </c>
      <c r="W184">
        <v>44.823999999999998</v>
      </c>
      <c r="X184">
        <v>44.823999999999998</v>
      </c>
      <c r="Y184">
        <v>44.823999999999998</v>
      </c>
      <c r="Z184">
        <v>44.823999999999998</v>
      </c>
      <c r="AA184">
        <v>44.823999999999998</v>
      </c>
      <c r="AB184">
        <v>44.823999999999998</v>
      </c>
      <c r="AC184">
        <v>44.823999999999998</v>
      </c>
      <c r="AD184">
        <v>44.823999999999998</v>
      </c>
      <c r="AE184">
        <v>44.823999999999998</v>
      </c>
      <c r="AF184">
        <v>44.823999999999998</v>
      </c>
      <c r="AG184">
        <v>44.823999999999998</v>
      </c>
      <c r="AH184">
        <v>44.823999999999998</v>
      </c>
      <c r="AI184">
        <v>44.823999999999998</v>
      </c>
      <c r="AJ184">
        <v>44.823999999999998</v>
      </c>
      <c r="AK184">
        <v>44.823999999999998</v>
      </c>
      <c r="AL184">
        <v>44.823999999999998</v>
      </c>
      <c r="AM184">
        <v>44.823999999999998</v>
      </c>
      <c r="AN184">
        <v>44.823999999999998</v>
      </c>
      <c r="AO184">
        <v>44.823999999999998</v>
      </c>
      <c r="AP184">
        <v>44.823999999999998</v>
      </c>
      <c r="AQ184">
        <v>44.823999999999998</v>
      </c>
      <c r="AR184">
        <v>44.823999999999998</v>
      </c>
      <c r="AS184">
        <v>44.823999999999998</v>
      </c>
      <c r="AT184">
        <v>44.823999999999998</v>
      </c>
      <c r="AU184">
        <v>44.823999999999998</v>
      </c>
      <c r="AV184">
        <v>44.823999999999998</v>
      </c>
      <c r="AW184">
        <v>44.823999999999998</v>
      </c>
      <c r="AX184">
        <v>44.823999999999998</v>
      </c>
      <c r="AY184">
        <v>44.823999999999998</v>
      </c>
      <c r="AZ184">
        <v>44.823999999999998</v>
      </c>
      <c r="BA184">
        <v>44.823999999999998</v>
      </c>
      <c r="BB184">
        <v>44.823999999999998</v>
      </c>
      <c r="BC184">
        <v>44.823999999999998</v>
      </c>
      <c r="BD184">
        <v>44.823999999999998</v>
      </c>
      <c r="BE184">
        <v>44.823999999999998</v>
      </c>
      <c r="BF184">
        <v>44.823999999999998</v>
      </c>
      <c r="BG184">
        <v>44.823999999999998</v>
      </c>
      <c r="BH184">
        <v>44.823999999999998</v>
      </c>
      <c r="BI184">
        <v>44.823999999999998</v>
      </c>
      <c r="BJ184">
        <v>44.823999999999998</v>
      </c>
      <c r="BK184">
        <v>44.823999999999998</v>
      </c>
      <c r="BL184">
        <v>44.823999999999998</v>
      </c>
    </row>
    <row r="185" spans="1:64" x14ac:dyDescent="0.25">
      <c r="A185">
        <v>44.726999999999997</v>
      </c>
      <c r="B185">
        <v>44.726999999999997</v>
      </c>
      <c r="C185">
        <v>44.726999999999997</v>
      </c>
      <c r="D185">
        <v>44.726999999999997</v>
      </c>
      <c r="E185">
        <v>44.726999999999997</v>
      </c>
      <c r="F185">
        <v>44.726999999999997</v>
      </c>
      <c r="G185">
        <v>44.726999999999997</v>
      </c>
      <c r="H185">
        <v>44.726999999999997</v>
      </c>
      <c r="I185">
        <v>44.726999999999997</v>
      </c>
      <c r="J185">
        <v>44.726999999999997</v>
      </c>
      <c r="K185">
        <v>44.726999999999997</v>
      </c>
      <c r="L185">
        <v>44.726999999999997</v>
      </c>
      <c r="M185">
        <v>44.726999999999997</v>
      </c>
      <c r="N185">
        <v>44.726999999999997</v>
      </c>
      <c r="O185">
        <v>44.726999999999997</v>
      </c>
      <c r="P185">
        <v>44.726999999999997</v>
      </c>
      <c r="Q185">
        <v>44.726999999999997</v>
      </c>
      <c r="R185">
        <v>44.726999999999997</v>
      </c>
      <c r="S185">
        <v>44.726999999999997</v>
      </c>
      <c r="T185">
        <v>44.726999999999997</v>
      </c>
      <c r="U185">
        <v>44.726999999999997</v>
      </c>
      <c r="V185">
        <v>44.726999999999997</v>
      </c>
      <c r="W185">
        <v>44.726999999999997</v>
      </c>
      <c r="X185">
        <v>44.726999999999997</v>
      </c>
      <c r="Y185">
        <v>44.726999999999997</v>
      </c>
      <c r="Z185">
        <v>44.726999999999997</v>
      </c>
      <c r="AA185">
        <v>44.726999999999997</v>
      </c>
      <c r="AB185">
        <v>44.726999999999997</v>
      </c>
      <c r="AC185">
        <v>44.726999999999997</v>
      </c>
      <c r="AD185">
        <v>44.726999999999997</v>
      </c>
      <c r="AE185">
        <v>44.726999999999997</v>
      </c>
      <c r="AF185">
        <v>44.726999999999997</v>
      </c>
      <c r="AG185">
        <v>44.726999999999997</v>
      </c>
      <c r="AH185">
        <v>44.726999999999997</v>
      </c>
      <c r="AI185">
        <v>44.726999999999997</v>
      </c>
      <c r="AJ185">
        <v>44.726999999999997</v>
      </c>
      <c r="AK185">
        <v>44.726999999999997</v>
      </c>
      <c r="AL185">
        <v>44.726999999999997</v>
      </c>
      <c r="AM185">
        <v>44.726999999999997</v>
      </c>
      <c r="AN185">
        <v>44.726999999999997</v>
      </c>
      <c r="AO185">
        <v>44.726999999999997</v>
      </c>
      <c r="AP185">
        <v>44.726999999999997</v>
      </c>
      <c r="AQ185">
        <v>44.726999999999997</v>
      </c>
      <c r="AR185">
        <v>44.726999999999997</v>
      </c>
      <c r="AS185">
        <v>44.726999999999997</v>
      </c>
      <c r="AT185">
        <v>44.726999999999997</v>
      </c>
      <c r="AU185">
        <v>44.726999999999997</v>
      </c>
      <c r="AV185">
        <v>44.726999999999997</v>
      </c>
      <c r="AW185">
        <v>44.726999999999997</v>
      </c>
      <c r="AX185">
        <v>44.726999999999997</v>
      </c>
      <c r="AY185">
        <v>44.726999999999997</v>
      </c>
      <c r="AZ185">
        <v>44.726999999999997</v>
      </c>
      <c r="BA185">
        <v>44.726999999999997</v>
      </c>
      <c r="BB185">
        <v>44.726999999999997</v>
      </c>
      <c r="BC185">
        <v>44.726999999999997</v>
      </c>
      <c r="BD185">
        <v>44.726999999999997</v>
      </c>
      <c r="BE185">
        <v>44.726999999999997</v>
      </c>
      <c r="BF185">
        <v>44.726999999999997</v>
      </c>
      <c r="BG185">
        <v>44.726999999999997</v>
      </c>
      <c r="BH185">
        <v>44.726999999999997</v>
      </c>
      <c r="BI185">
        <v>44.726999999999997</v>
      </c>
      <c r="BJ185">
        <v>44.726999999999997</v>
      </c>
      <c r="BK185">
        <v>44.726999999999997</v>
      </c>
      <c r="BL185">
        <v>44.726999999999997</v>
      </c>
    </row>
    <row r="186" spans="1:64" x14ac:dyDescent="0.25">
      <c r="A186">
        <v>44.628999999999998</v>
      </c>
      <c r="B186">
        <v>44.628999999999998</v>
      </c>
      <c r="C186">
        <v>44.628999999999998</v>
      </c>
      <c r="D186">
        <v>44.628999999999998</v>
      </c>
      <c r="E186">
        <v>44.628999999999998</v>
      </c>
      <c r="F186">
        <v>44.628999999999998</v>
      </c>
      <c r="G186">
        <v>44.628999999999998</v>
      </c>
      <c r="H186">
        <v>44.628999999999998</v>
      </c>
      <c r="I186">
        <v>44.628999999999998</v>
      </c>
      <c r="J186">
        <v>44.628999999999998</v>
      </c>
      <c r="K186">
        <v>44.628999999999998</v>
      </c>
      <c r="L186">
        <v>44.628999999999998</v>
      </c>
      <c r="M186">
        <v>44.628999999999998</v>
      </c>
      <c r="N186">
        <v>44.628999999999998</v>
      </c>
      <c r="O186">
        <v>44.628999999999998</v>
      </c>
      <c r="P186">
        <v>44.628999999999998</v>
      </c>
      <c r="Q186">
        <v>44.628999999999998</v>
      </c>
      <c r="R186">
        <v>44.628999999999998</v>
      </c>
      <c r="S186">
        <v>44.628999999999998</v>
      </c>
      <c r="T186">
        <v>44.628999999999998</v>
      </c>
      <c r="U186">
        <v>44.628999999999998</v>
      </c>
      <c r="V186">
        <v>44.628999999999998</v>
      </c>
      <c r="W186">
        <v>44.628999999999998</v>
      </c>
      <c r="X186">
        <v>44.628999999999998</v>
      </c>
      <c r="Y186">
        <v>44.628999999999998</v>
      </c>
      <c r="Z186">
        <v>44.628999999999998</v>
      </c>
      <c r="AA186">
        <v>44.628999999999998</v>
      </c>
      <c r="AB186">
        <v>44.628999999999998</v>
      </c>
      <c r="AC186">
        <v>44.628999999999998</v>
      </c>
      <c r="AD186">
        <v>44.628999999999998</v>
      </c>
      <c r="AE186">
        <v>44.628999999999998</v>
      </c>
      <c r="AF186">
        <v>44.628999999999998</v>
      </c>
      <c r="AG186">
        <v>44.628999999999998</v>
      </c>
      <c r="AH186">
        <v>44.628999999999998</v>
      </c>
      <c r="AI186">
        <v>44.628999999999998</v>
      </c>
      <c r="AJ186">
        <v>44.628999999999998</v>
      </c>
      <c r="AK186">
        <v>44.628999999999998</v>
      </c>
      <c r="AL186">
        <v>44.628999999999998</v>
      </c>
      <c r="AM186">
        <v>44.628999999999998</v>
      </c>
      <c r="AN186">
        <v>44.628999999999998</v>
      </c>
      <c r="AO186">
        <v>44.628999999999998</v>
      </c>
      <c r="AP186">
        <v>44.628999999999998</v>
      </c>
      <c r="AQ186">
        <v>44.628999999999998</v>
      </c>
      <c r="AR186">
        <v>44.628999999999998</v>
      </c>
      <c r="AS186">
        <v>44.628999999999998</v>
      </c>
      <c r="AT186">
        <v>44.628999999999998</v>
      </c>
      <c r="AU186">
        <v>44.628999999999998</v>
      </c>
      <c r="AV186">
        <v>44.628999999999998</v>
      </c>
      <c r="AW186">
        <v>44.628999999999998</v>
      </c>
      <c r="AX186">
        <v>44.628999999999998</v>
      </c>
      <c r="AY186">
        <v>44.628999999999998</v>
      </c>
      <c r="AZ186">
        <v>44.628999999999998</v>
      </c>
      <c r="BA186">
        <v>44.628999999999998</v>
      </c>
      <c r="BB186">
        <v>44.628999999999998</v>
      </c>
      <c r="BC186">
        <v>44.628999999999998</v>
      </c>
      <c r="BD186">
        <v>44.628999999999998</v>
      </c>
      <c r="BE186">
        <v>44.628999999999998</v>
      </c>
      <c r="BF186">
        <v>44.628999999999998</v>
      </c>
      <c r="BG186">
        <v>44.628999999999998</v>
      </c>
      <c r="BH186">
        <v>44.628999999999998</v>
      </c>
      <c r="BI186">
        <v>44.628999999999998</v>
      </c>
      <c r="BJ186">
        <v>44.628999999999998</v>
      </c>
      <c r="BK186">
        <v>44.628999999999998</v>
      </c>
      <c r="BL186">
        <v>44.628999999999998</v>
      </c>
    </row>
    <row r="187" spans="1:64" x14ac:dyDescent="0.25">
      <c r="A187">
        <v>44.530999999999999</v>
      </c>
      <c r="B187">
        <v>44.530999999999999</v>
      </c>
      <c r="C187">
        <v>44.530999999999999</v>
      </c>
      <c r="D187">
        <v>44.530999999999999</v>
      </c>
      <c r="E187">
        <v>44.530999999999999</v>
      </c>
      <c r="F187">
        <v>44.530999999999999</v>
      </c>
      <c r="G187">
        <v>44.530999999999999</v>
      </c>
      <c r="H187">
        <v>44.530999999999999</v>
      </c>
      <c r="I187">
        <v>44.530999999999999</v>
      </c>
      <c r="J187">
        <v>44.530999999999999</v>
      </c>
      <c r="K187">
        <v>44.530999999999999</v>
      </c>
      <c r="L187">
        <v>44.530999999999999</v>
      </c>
      <c r="M187">
        <v>44.530999999999999</v>
      </c>
      <c r="N187">
        <v>44.530999999999999</v>
      </c>
      <c r="O187">
        <v>44.530999999999999</v>
      </c>
      <c r="P187">
        <v>44.530999999999999</v>
      </c>
      <c r="Q187">
        <v>44.530999999999999</v>
      </c>
      <c r="R187">
        <v>44.530999999999999</v>
      </c>
      <c r="S187">
        <v>44.530999999999999</v>
      </c>
      <c r="T187">
        <v>44.530999999999999</v>
      </c>
      <c r="U187">
        <v>44.530999999999999</v>
      </c>
      <c r="V187">
        <v>44.530999999999999</v>
      </c>
      <c r="W187">
        <v>44.530999999999999</v>
      </c>
      <c r="X187">
        <v>44.530999999999999</v>
      </c>
      <c r="Y187">
        <v>44.530999999999999</v>
      </c>
      <c r="Z187">
        <v>44.530999999999999</v>
      </c>
      <c r="AA187">
        <v>44.530999999999999</v>
      </c>
      <c r="AB187">
        <v>44.530999999999999</v>
      </c>
      <c r="AC187">
        <v>44.530999999999999</v>
      </c>
      <c r="AD187">
        <v>44.530999999999999</v>
      </c>
      <c r="AE187">
        <v>44.530999999999999</v>
      </c>
      <c r="AF187">
        <v>44.530999999999999</v>
      </c>
      <c r="AG187">
        <v>44.530999999999999</v>
      </c>
      <c r="AH187">
        <v>44.530999999999999</v>
      </c>
      <c r="AI187">
        <v>44.530999999999999</v>
      </c>
      <c r="AJ187">
        <v>44.530999999999999</v>
      </c>
      <c r="AK187">
        <v>44.530999999999999</v>
      </c>
      <c r="AL187">
        <v>44.530999999999999</v>
      </c>
      <c r="AM187">
        <v>44.530999999999999</v>
      </c>
      <c r="AN187">
        <v>44.530999999999999</v>
      </c>
      <c r="AO187">
        <v>44.530999999999999</v>
      </c>
      <c r="AP187">
        <v>44.530999999999999</v>
      </c>
      <c r="AQ187">
        <v>44.530999999999999</v>
      </c>
      <c r="AR187">
        <v>44.530999999999999</v>
      </c>
      <c r="AS187">
        <v>44.530999999999999</v>
      </c>
      <c r="AT187">
        <v>44.530999999999999</v>
      </c>
      <c r="AU187">
        <v>44.530999999999999</v>
      </c>
      <c r="AV187">
        <v>44.530999999999999</v>
      </c>
      <c r="AW187">
        <v>44.530999999999999</v>
      </c>
      <c r="AX187">
        <v>44.530999999999999</v>
      </c>
      <c r="AY187">
        <v>44.530999999999999</v>
      </c>
      <c r="AZ187">
        <v>44.530999999999999</v>
      </c>
      <c r="BA187">
        <v>44.530999999999999</v>
      </c>
      <c r="BB187">
        <v>44.530999999999999</v>
      </c>
      <c r="BC187">
        <v>44.530999999999999</v>
      </c>
      <c r="BD187">
        <v>44.530999999999999</v>
      </c>
      <c r="BE187">
        <v>44.530999999999999</v>
      </c>
      <c r="BF187">
        <v>44.530999999999999</v>
      </c>
      <c r="BG187">
        <v>44.530999999999999</v>
      </c>
      <c r="BH187">
        <v>44.530999999999999</v>
      </c>
      <c r="BI187">
        <v>44.530999999999999</v>
      </c>
      <c r="BJ187">
        <v>44.530999999999999</v>
      </c>
      <c r="BK187">
        <v>44.530999999999999</v>
      </c>
      <c r="BL187">
        <v>44.530999999999999</v>
      </c>
    </row>
    <row r="188" spans="1:64" x14ac:dyDescent="0.25">
      <c r="A188">
        <v>44.433999999999997</v>
      </c>
      <c r="B188">
        <v>44.433999999999997</v>
      </c>
      <c r="C188">
        <v>44.433999999999997</v>
      </c>
      <c r="D188">
        <v>44.433999999999997</v>
      </c>
      <c r="E188">
        <v>44.433999999999997</v>
      </c>
      <c r="F188">
        <v>44.433999999999997</v>
      </c>
      <c r="G188">
        <v>44.433999999999997</v>
      </c>
      <c r="H188">
        <v>44.433999999999997</v>
      </c>
      <c r="I188">
        <v>44.433999999999997</v>
      </c>
      <c r="J188">
        <v>44.433999999999997</v>
      </c>
      <c r="K188">
        <v>44.433999999999997</v>
      </c>
      <c r="L188">
        <v>44.433999999999997</v>
      </c>
      <c r="M188">
        <v>44.433999999999997</v>
      </c>
      <c r="N188">
        <v>44.433999999999997</v>
      </c>
      <c r="O188">
        <v>44.433999999999997</v>
      </c>
      <c r="P188">
        <v>44.433999999999997</v>
      </c>
      <c r="Q188">
        <v>44.433999999999997</v>
      </c>
      <c r="R188">
        <v>44.433999999999997</v>
      </c>
      <c r="S188">
        <v>44.433999999999997</v>
      </c>
      <c r="T188">
        <v>44.433999999999997</v>
      </c>
      <c r="U188">
        <v>44.433999999999997</v>
      </c>
      <c r="V188">
        <v>44.433999999999997</v>
      </c>
      <c r="W188">
        <v>44.433999999999997</v>
      </c>
      <c r="X188">
        <v>44.433999999999997</v>
      </c>
      <c r="Y188">
        <v>44.433999999999997</v>
      </c>
      <c r="Z188">
        <v>44.433999999999997</v>
      </c>
      <c r="AA188">
        <v>44.433999999999997</v>
      </c>
      <c r="AB188">
        <v>44.433999999999997</v>
      </c>
      <c r="AC188">
        <v>44.433999999999997</v>
      </c>
      <c r="AD188">
        <v>44.433999999999997</v>
      </c>
      <c r="AE188">
        <v>44.433999999999997</v>
      </c>
      <c r="AF188">
        <v>44.433999999999997</v>
      </c>
      <c r="AG188">
        <v>44.433999999999997</v>
      </c>
      <c r="AH188">
        <v>44.433999999999997</v>
      </c>
      <c r="AI188">
        <v>44.433999999999997</v>
      </c>
      <c r="AJ188">
        <v>44.433999999999997</v>
      </c>
      <c r="AK188">
        <v>44.433999999999997</v>
      </c>
      <c r="AL188">
        <v>44.433999999999997</v>
      </c>
      <c r="AM188">
        <v>44.433999999999997</v>
      </c>
      <c r="AN188">
        <v>44.433999999999997</v>
      </c>
      <c r="AO188">
        <v>44.433999999999997</v>
      </c>
      <c r="AP188">
        <v>44.433999999999997</v>
      </c>
      <c r="AQ188">
        <v>44.433999999999997</v>
      </c>
      <c r="AR188">
        <v>44.433999999999997</v>
      </c>
      <c r="AS188">
        <v>44.433999999999997</v>
      </c>
      <c r="AT188">
        <v>44.433999999999997</v>
      </c>
      <c r="AU188">
        <v>44.433999999999997</v>
      </c>
      <c r="AV188">
        <v>44.433999999999997</v>
      </c>
      <c r="AW188">
        <v>44.433999999999997</v>
      </c>
      <c r="AX188">
        <v>44.433999999999997</v>
      </c>
      <c r="AY188">
        <v>44.433999999999997</v>
      </c>
      <c r="AZ188">
        <v>44.433999999999997</v>
      </c>
      <c r="BA188">
        <v>44.433999999999997</v>
      </c>
      <c r="BB188">
        <v>44.433999999999997</v>
      </c>
      <c r="BC188">
        <v>44.433999999999997</v>
      </c>
      <c r="BD188">
        <v>44.433999999999997</v>
      </c>
      <c r="BE188">
        <v>44.433999999999997</v>
      </c>
      <c r="BF188">
        <v>44.433999999999997</v>
      </c>
      <c r="BG188">
        <v>44.433999999999997</v>
      </c>
      <c r="BH188">
        <v>44.433999999999997</v>
      </c>
      <c r="BI188">
        <v>44.433999999999997</v>
      </c>
      <c r="BJ188">
        <v>44.433999999999997</v>
      </c>
      <c r="BK188">
        <v>44.433999999999997</v>
      </c>
      <c r="BL188">
        <v>44.433999999999997</v>
      </c>
    </row>
    <row r="189" spans="1:64" x14ac:dyDescent="0.25">
      <c r="A189">
        <v>44.335999999999999</v>
      </c>
      <c r="B189">
        <v>44.335999999999999</v>
      </c>
      <c r="C189">
        <v>44.335999999999999</v>
      </c>
      <c r="D189">
        <v>44.335999999999999</v>
      </c>
      <c r="E189">
        <v>44.335999999999999</v>
      </c>
      <c r="F189">
        <v>44.335999999999999</v>
      </c>
      <c r="G189">
        <v>44.335999999999999</v>
      </c>
      <c r="H189">
        <v>44.335999999999999</v>
      </c>
      <c r="I189">
        <v>44.335999999999999</v>
      </c>
      <c r="J189">
        <v>44.335999999999999</v>
      </c>
      <c r="K189">
        <v>44.335999999999999</v>
      </c>
      <c r="L189">
        <v>44.335999999999999</v>
      </c>
      <c r="M189">
        <v>44.335999999999999</v>
      </c>
      <c r="N189">
        <v>44.335999999999999</v>
      </c>
      <c r="O189">
        <v>44.335999999999999</v>
      </c>
      <c r="P189">
        <v>44.335999999999999</v>
      </c>
      <c r="Q189">
        <v>44.335999999999999</v>
      </c>
      <c r="R189">
        <v>44.335999999999999</v>
      </c>
      <c r="S189">
        <v>44.335999999999999</v>
      </c>
      <c r="T189">
        <v>44.335999999999999</v>
      </c>
      <c r="U189">
        <v>44.335999999999999</v>
      </c>
      <c r="V189">
        <v>44.335999999999999</v>
      </c>
      <c r="W189">
        <v>44.335999999999999</v>
      </c>
      <c r="X189">
        <v>44.335999999999999</v>
      </c>
      <c r="Y189">
        <v>44.335999999999999</v>
      </c>
      <c r="Z189">
        <v>44.335999999999999</v>
      </c>
      <c r="AA189">
        <v>44.335999999999999</v>
      </c>
      <c r="AB189">
        <v>44.335999999999999</v>
      </c>
      <c r="AC189">
        <v>44.335999999999999</v>
      </c>
      <c r="AD189">
        <v>44.335999999999999</v>
      </c>
      <c r="AE189">
        <v>44.335999999999999</v>
      </c>
      <c r="AF189">
        <v>44.335999999999999</v>
      </c>
      <c r="AG189">
        <v>44.335999999999999</v>
      </c>
      <c r="AH189">
        <v>44.335999999999999</v>
      </c>
      <c r="AI189">
        <v>44.335999999999999</v>
      </c>
      <c r="AJ189">
        <v>44.335999999999999</v>
      </c>
      <c r="AK189">
        <v>44.335999999999999</v>
      </c>
      <c r="AL189">
        <v>44.335999999999999</v>
      </c>
      <c r="AM189">
        <v>44.335999999999999</v>
      </c>
      <c r="AN189">
        <v>44.335999999999999</v>
      </c>
      <c r="AO189">
        <v>44.335999999999999</v>
      </c>
      <c r="AP189">
        <v>44.335999999999999</v>
      </c>
      <c r="AQ189">
        <v>44.335999999999999</v>
      </c>
      <c r="AR189">
        <v>44.335999999999999</v>
      </c>
      <c r="AS189">
        <v>44.335999999999999</v>
      </c>
      <c r="AT189">
        <v>44.335999999999999</v>
      </c>
      <c r="AU189">
        <v>44.335999999999999</v>
      </c>
      <c r="AV189">
        <v>44.335999999999999</v>
      </c>
      <c r="AW189">
        <v>44.335999999999999</v>
      </c>
      <c r="AX189">
        <v>44.335999999999999</v>
      </c>
      <c r="AY189">
        <v>44.335999999999999</v>
      </c>
      <c r="AZ189">
        <v>44.335999999999999</v>
      </c>
      <c r="BA189">
        <v>44.335999999999999</v>
      </c>
      <c r="BB189">
        <v>44.335999999999999</v>
      </c>
      <c r="BC189">
        <v>44.335999999999999</v>
      </c>
      <c r="BD189">
        <v>44.335999999999999</v>
      </c>
      <c r="BE189">
        <v>44.335999999999999</v>
      </c>
      <c r="BF189">
        <v>44.335999999999999</v>
      </c>
      <c r="BG189">
        <v>44.335999999999999</v>
      </c>
      <c r="BH189">
        <v>44.335999999999999</v>
      </c>
      <c r="BI189">
        <v>44.335999999999999</v>
      </c>
      <c r="BJ189">
        <v>44.335999999999999</v>
      </c>
      <c r="BK189">
        <v>44.335999999999999</v>
      </c>
      <c r="BL189">
        <v>44.335999999999999</v>
      </c>
    </row>
    <row r="190" spans="1:64" x14ac:dyDescent="0.25">
      <c r="A190">
        <v>44.238</v>
      </c>
      <c r="B190">
        <v>44.238</v>
      </c>
      <c r="C190">
        <v>44.238</v>
      </c>
      <c r="D190">
        <v>44.238</v>
      </c>
      <c r="E190">
        <v>44.238</v>
      </c>
      <c r="F190">
        <v>44.238</v>
      </c>
      <c r="G190">
        <v>44.238</v>
      </c>
      <c r="H190">
        <v>44.238</v>
      </c>
      <c r="I190">
        <v>44.238</v>
      </c>
      <c r="J190">
        <v>44.238</v>
      </c>
      <c r="K190">
        <v>44.238</v>
      </c>
      <c r="L190">
        <v>44.238</v>
      </c>
      <c r="M190">
        <v>44.238</v>
      </c>
      <c r="N190">
        <v>44.238</v>
      </c>
      <c r="O190">
        <v>44.238</v>
      </c>
      <c r="P190">
        <v>44.238</v>
      </c>
      <c r="Q190">
        <v>44.238</v>
      </c>
      <c r="R190">
        <v>44.238</v>
      </c>
      <c r="S190">
        <v>44.238</v>
      </c>
      <c r="T190">
        <v>44.238</v>
      </c>
      <c r="U190">
        <v>44.238</v>
      </c>
      <c r="V190">
        <v>44.238</v>
      </c>
      <c r="W190">
        <v>44.238</v>
      </c>
      <c r="X190">
        <v>44.238</v>
      </c>
      <c r="Y190">
        <v>44.238</v>
      </c>
      <c r="Z190">
        <v>44.238</v>
      </c>
      <c r="AA190">
        <v>44.238</v>
      </c>
      <c r="AB190">
        <v>44.238</v>
      </c>
      <c r="AC190">
        <v>44.238</v>
      </c>
      <c r="AD190">
        <v>44.238</v>
      </c>
      <c r="AE190">
        <v>44.238</v>
      </c>
      <c r="AF190">
        <v>44.238</v>
      </c>
      <c r="AG190">
        <v>44.238</v>
      </c>
      <c r="AH190">
        <v>44.238</v>
      </c>
      <c r="AI190">
        <v>44.238</v>
      </c>
      <c r="AJ190">
        <v>44.238</v>
      </c>
      <c r="AK190">
        <v>44.238</v>
      </c>
      <c r="AL190">
        <v>44.238</v>
      </c>
      <c r="AM190">
        <v>44.238</v>
      </c>
      <c r="AN190">
        <v>44.238</v>
      </c>
      <c r="AO190">
        <v>44.238</v>
      </c>
      <c r="AP190">
        <v>44.238</v>
      </c>
      <c r="AQ190">
        <v>44.238</v>
      </c>
      <c r="AR190">
        <v>44.238</v>
      </c>
      <c r="AS190">
        <v>44.238</v>
      </c>
      <c r="AT190">
        <v>44.238</v>
      </c>
      <c r="AU190">
        <v>44.238</v>
      </c>
      <c r="AV190">
        <v>44.238</v>
      </c>
      <c r="AW190">
        <v>44.238</v>
      </c>
      <c r="AX190">
        <v>44.238</v>
      </c>
      <c r="AY190">
        <v>44.238</v>
      </c>
      <c r="AZ190">
        <v>44.238</v>
      </c>
      <c r="BA190">
        <v>44.238</v>
      </c>
      <c r="BB190">
        <v>44.238</v>
      </c>
      <c r="BC190">
        <v>44.238</v>
      </c>
      <c r="BD190">
        <v>44.238</v>
      </c>
      <c r="BE190">
        <v>44.238</v>
      </c>
      <c r="BF190">
        <v>44.238</v>
      </c>
      <c r="BG190">
        <v>44.238</v>
      </c>
      <c r="BH190">
        <v>44.238</v>
      </c>
      <c r="BI190">
        <v>44.238</v>
      </c>
      <c r="BJ190">
        <v>44.238</v>
      </c>
      <c r="BK190">
        <v>44.238</v>
      </c>
      <c r="BL190">
        <v>44.238</v>
      </c>
    </row>
    <row r="191" spans="1:64" x14ac:dyDescent="0.25">
      <c r="A191">
        <v>44.140999999999998</v>
      </c>
      <c r="B191">
        <v>44.140999999999998</v>
      </c>
      <c r="C191">
        <v>44.140999999999998</v>
      </c>
      <c r="D191">
        <v>44.140999999999998</v>
      </c>
      <c r="E191">
        <v>44.140999999999998</v>
      </c>
      <c r="F191">
        <v>44.140999999999998</v>
      </c>
      <c r="G191">
        <v>44.140999999999998</v>
      </c>
      <c r="H191">
        <v>44.140999999999998</v>
      </c>
      <c r="I191">
        <v>44.140999999999998</v>
      </c>
      <c r="J191">
        <v>44.140999999999998</v>
      </c>
      <c r="K191">
        <v>44.140999999999998</v>
      </c>
      <c r="L191">
        <v>44.140999999999998</v>
      </c>
      <c r="M191">
        <v>44.140999999999998</v>
      </c>
      <c r="N191">
        <v>44.140999999999998</v>
      </c>
      <c r="O191">
        <v>44.140999999999998</v>
      </c>
      <c r="P191">
        <v>44.140999999999998</v>
      </c>
      <c r="Q191">
        <v>44.140999999999998</v>
      </c>
      <c r="R191">
        <v>44.140999999999998</v>
      </c>
      <c r="S191">
        <v>44.140999999999998</v>
      </c>
      <c r="T191">
        <v>44.140999999999998</v>
      </c>
      <c r="U191">
        <v>44.140999999999998</v>
      </c>
      <c r="V191">
        <v>44.140999999999998</v>
      </c>
      <c r="W191">
        <v>44.140999999999998</v>
      </c>
      <c r="X191">
        <v>44.140999999999998</v>
      </c>
      <c r="Y191">
        <v>44.140999999999998</v>
      </c>
      <c r="Z191">
        <v>44.140999999999998</v>
      </c>
      <c r="AA191">
        <v>44.140999999999998</v>
      </c>
      <c r="AB191">
        <v>44.140999999999998</v>
      </c>
      <c r="AC191">
        <v>44.140999999999998</v>
      </c>
      <c r="AD191">
        <v>44.140999999999998</v>
      </c>
      <c r="AE191">
        <v>44.140999999999998</v>
      </c>
      <c r="AF191">
        <v>44.140999999999998</v>
      </c>
      <c r="AG191">
        <v>44.140999999999998</v>
      </c>
      <c r="AH191">
        <v>44.140999999999998</v>
      </c>
      <c r="AI191">
        <v>44.140999999999998</v>
      </c>
      <c r="AJ191">
        <v>44.140999999999998</v>
      </c>
      <c r="AK191">
        <v>44.140999999999998</v>
      </c>
      <c r="AL191">
        <v>44.140999999999998</v>
      </c>
      <c r="AM191">
        <v>44.140999999999998</v>
      </c>
      <c r="AN191">
        <v>44.140999999999998</v>
      </c>
      <c r="AO191">
        <v>44.140999999999998</v>
      </c>
      <c r="AP191">
        <v>44.140999999999998</v>
      </c>
      <c r="AQ191">
        <v>44.140999999999998</v>
      </c>
      <c r="AR191">
        <v>44.140999999999998</v>
      </c>
      <c r="AS191">
        <v>44.140999999999998</v>
      </c>
      <c r="AT191">
        <v>44.140999999999998</v>
      </c>
      <c r="AU191">
        <v>44.140999999999998</v>
      </c>
      <c r="AV191">
        <v>44.140999999999998</v>
      </c>
      <c r="AW191">
        <v>44.140999999999998</v>
      </c>
      <c r="AX191">
        <v>44.140999999999998</v>
      </c>
      <c r="AY191">
        <v>44.140999999999998</v>
      </c>
      <c r="AZ191">
        <v>44.140999999999998</v>
      </c>
      <c r="BA191">
        <v>44.140999999999998</v>
      </c>
      <c r="BB191">
        <v>44.140999999999998</v>
      </c>
      <c r="BC191">
        <v>44.140999999999998</v>
      </c>
      <c r="BD191">
        <v>44.140999999999998</v>
      </c>
      <c r="BE191">
        <v>44.140999999999998</v>
      </c>
      <c r="BF191">
        <v>44.140999999999998</v>
      </c>
      <c r="BG191">
        <v>44.140999999999998</v>
      </c>
      <c r="BH191">
        <v>44.140999999999998</v>
      </c>
      <c r="BI191">
        <v>44.140999999999998</v>
      </c>
      <c r="BJ191">
        <v>44.140999999999998</v>
      </c>
      <c r="BK191">
        <v>44.140999999999998</v>
      </c>
      <c r="BL191">
        <v>44.140999999999998</v>
      </c>
    </row>
    <row r="192" spans="1:64" x14ac:dyDescent="0.25">
      <c r="A192">
        <v>44.042999999999999</v>
      </c>
      <c r="B192">
        <v>44.042999999999999</v>
      </c>
      <c r="C192">
        <v>44.042999999999999</v>
      </c>
      <c r="D192">
        <v>44.042999999999999</v>
      </c>
      <c r="E192">
        <v>44.042999999999999</v>
      </c>
      <c r="F192">
        <v>44.042999999999999</v>
      </c>
      <c r="G192">
        <v>44.042999999999999</v>
      </c>
      <c r="H192">
        <v>44.042999999999999</v>
      </c>
      <c r="I192">
        <v>44.042999999999999</v>
      </c>
      <c r="J192">
        <v>44.042999999999999</v>
      </c>
      <c r="K192">
        <v>44.042999999999999</v>
      </c>
      <c r="L192">
        <v>44.042999999999999</v>
      </c>
      <c r="M192">
        <v>44.042999999999999</v>
      </c>
      <c r="N192">
        <v>44.042999999999999</v>
      </c>
      <c r="O192">
        <v>44.042999999999999</v>
      </c>
      <c r="P192">
        <v>44.042999999999999</v>
      </c>
      <c r="Q192">
        <v>44.042999999999999</v>
      </c>
      <c r="R192">
        <v>44.042999999999999</v>
      </c>
      <c r="S192">
        <v>44.042999999999999</v>
      </c>
      <c r="T192">
        <v>44.042999999999999</v>
      </c>
      <c r="U192">
        <v>44.042999999999999</v>
      </c>
      <c r="V192">
        <v>44.042999999999999</v>
      </c>
      <c r="W192">
        <v>44.042999999999999</v>
      </c>
      <c r="X192">
        <v>44.042999999999999</v>
      </c>
      <c r="Y192">
        <v>44.042999999999999</v>
      </c>
      <c r="Z192">
        <v>44.042999999999999</v>
      </c>
      <c r="AA192">
        <v>44.042999999999999</v>
      </c>
      <c r="AB192">
        <v>44.042999999999999</v>
      </c>
      <c r="AC192">
        <v>44.042999999999999</v>
      </c>
      <c r="AD192">
        <v>44.042999999999999</v>
      </c>
      <c r="AE192">
        <v>44.042999999999999</v>
      </c>
      <c r="AF192">
        <v>44.042999999999999</v>
      </c>
      <c r="AG192">
        <v>44.042999999999999</v>
      </c>
      <c r="AH192">
        <v>44.042999999999999</v>
      </c>
      <c r="AI192">
        <v>44.042999999999999</v>
      </c>
      <c r="AJ192">
        <v>44.042999999999999</v>
      </c>
      <c r="AK192">
        <v>44.042999999999999</v>
      </c>
      <c r="AL192">
        <v>44.042999999999999</v>
      </c>
      <c r="AM192">
        <v>44.042999999999999</v>
      </c>
      <c r="AN192">
        <v>44.042999999999999</v>
      </c>
      <c r="AO192">
        <v>44.042999999999999</v>
      </c>
      <c r="AP192">
        <v>44.042999999999999</v>
      </c>
      <c r="AQ192">
        <v>44.042999999999999</v>
      </c>
      <c r="AR192">
        <v>44.042999999999999</v>
      </c>
      <c r="AS192">
        <v>44.042999999999999</v>
      </c>
      <c r="AT192">
        <v>44.042999999999999</v>
      </c>
      <c r="AU192">
        <v>44.042999999999999</v>
      </c>
      <c r="AV192">
        <v>44.042999999999999</v>
      </c>
      <c r="AW192">
        <v>44.042999999999999</v>
      </c>
      <c r="AX192">
        <v>44.042999999999999</v>
      </c>
      <c r="AY192">
        <v>44.042999999999999</v>
      </c>
      <c r="AZ192">
        <v>44.042999999999999</v>
      </c>
      <c r="BA192">
        <v>44.042999999999999</v>
      </c>
      <c r="BB192">
        <v>44.042999999999999</v>
      </c>
      <c r="BC192">
        <v>44.042999999999999</v>
      </c>
      <c r="BD192">
        <v>44.042999999999999</v>
      </c>
      <c r="BE192">
        <v>44.042999999999999</v>
      </c>
      <c r="BF192">
        <v>44.042999999999999</v>
      </c>
      <c r="BG192">
        <v>44.042999999999999</v>
      </c>
      <c r="BH192">
        <v>44.042999999999999</v>
      </c>
      <c r="BI192">
        <v>44.042999999999999</v>
      </c>
      <c r="BJ192">
        <v>44.042999999999999</v>
      </c>
      <c r="BK192">
        <v>44.042999999999999</v>
      </c>
      <c r="BL192">
        <v>44.042999999999999</v>
      </c>
    </row>
    <row r="193" spans="1:64" x14ac:dyDescent="0.25">
      <c r="A193">
        <v>43.945</v>
      </c>
      <c r="B193">
        <v>43.945</v>
      </c>
      <c r="C193">
        <v>43.945</v>
      </c>
      <c r="D193">
        <v>43.945</v>
      </c>
      <c r="E193">
        <v>43.945</v>
      </c>
      <c r="F193">
        <v>43.945</v>
      </c>
      <c r="G193">
        <v>43.945</v>
      </c>
      <c r="H193">
        <v>43.945</v>
      </c>
      <c r="I193">
        <v>43.945</v>
      </c>
      <c r="J193">
        <v>43.945</v>
      </c>
      <c r="K193">
        <v>43.945</v>
      </c>
      <c r="L193">
        <v>43.945</v>
      </c>
      <c r="M193">
        <v>43.945</v>
      </c>
      <c r="N193">
        <v>43.945</v>
      </c>
      <c r="O193">
        <v>43.945</v>
      </c>
      <c r="P193">
        <v>43.945</v>
      </c>
      <c r="Q193">
        <v>43.945</v>
      </c>
      <c r="R193">
        <v>43.945</v>
      </c>
      <c r="S193">
        <v>43.945</v>
      </c>
      <c r="T193">
        <v>43.945</v>
      </c>
      <c r="U193">
        <v>43.945</v>
      </c>
      <c r="V193">
        <v>43.945</v>
      </c>
      <c r="W193">
        <v>43.945</v>
      </c>
      <c r="X193">
        <v>43.945</v>
      </c>
      <c r="Y193">
        <v>43.945</v>
      </c>
      <c r="Z193">
        <v>43.945</v>
      </c>
      <c r="AA193">
        <v>43.945</v>
      </c>
      <c r="AB193">
        <v>43.945</v>
      </c>
      <c r="AC193">
        <v>43.945</v>
      </c>
      <c r="AD193">
        <v>43.945</v>
      </c>
      <c r="AE193">
        <v>43.945</v>
      </c>
      <c r="AF193">
        <v>43.945</v>
      </c>
      <c r="AG193">
        <v>43.945</v>
      </c>
      <c r="AH193">
        <v>43.945</v>
      </c>
      <c r="AI193">
        <v>43.945</v>
      </c>
      <c r="AJ193">
        <v>43.945</v>
      </c>
      <c r="AK193">
        <v>43.945</v>
      </c>
      <c r="AL193">
        <v>43.945</v>
      </c>
      <c r="AM193">
        <v>43.945</v>
      </c>
      <c r="AN193">
        <v>43.945</v>
      </c>
      <c r="AO193">
        <v>43.945</v>
      </c>
      <c r="AP193">
        <v>43.945</v>
      </c>
      <c r="AQ193">
        <v>43.945</v>
      </c>
      <c r="AR193">
        <v>43.945</v>
      </c>
      <c r="AS193">
        <v>43.945</v>
      </c>
      <c r="AT193">
        <v>43.945</v>
      </c>
      <c r="AU193">
        <v>43.945</v>
      </c>
      <c r="AV193">
        <v>43.945</v>
      </c>
      <c r="AW193">
        <v>43.945</v>
      </c>
      <c r="AX193">
        <v>43.945</v>
      </c>
      <c r="AY193">
        <v>43.945</v>
      </c>
      <c r="AZ193">
        <v>43.945</v>
      </c>
      <c r="BA193">
        <v>43.945</v>
      </c>
      <c r="BB193">
        <v>43.945</v>
      </c>
      <c r="BC193">
        <v>43.945</v>
      </c>
      <c r="BD193">
        <v>43.945</v>
      </c>
      <c r="BE193">
        <v>43.945</v>
      </c>
      <c r="BF193">
        <v>43.945</v>
      </c>
      <c r="BG193">
        <v>43.945</v>
      </c>
      <c r="BH193">
        <v>43.945</v>
      </c>
      <c r="BI193">
        <v>43.945</v>
      </c>
      <c r="BJ193">
        <v>43.945</v>
      </c>
      <c r="BK193">
        <v>43.945</v>
      </c>
      <c r="BL193">
        <v>43.945</v>
      </c>
    </row>
    <row r="194" spans="1:64" x14ac:dyDescent="0.25">
      <c r="A194">
        <v>43.847999999999999</v>
      </c>
      <c r="B194">
        <v>43.847999999999999</v>
      </c>
      <c r="C194">
        <v>43.847999999999999</v>
      </c>
      <c r="D194">
        <v>43.847999999999999</v>
      </c>
      <c r="E194">
        <v>43.847999999999999</v>
      </c>
      <c r="F194">
        <v>43.847999999999999</v>
      </c>
      <c r="G194">
        <v>43.847999999999999</v>
      </c>
      <c r="H194">
        <v>43.847999999999999</v>
      </c>
      <c r="I194">
        <v>43.847999999999999</v>
      </c>
      <c r="J194">
        <v>43.847999999999999</v>
      </c>
      <c r="K194">
        <v>43.847999999999999</v>
      </c>
      <c r="L194">
        <v>43.847999999999999</v>
      </c>
      <c r="M194">
        <v>43.847999999999999</v>
      </c>
      <c r="N194">
        <v>43.847999999999999</v>
      </c>
      <c r="O194">
        <v>43.847999999999999</v>
      </c>
      <c r="P194">
        <v>43.847999999999999</v>
      </c>
      <c r="Q194">
        <v>43.847999999999999</v>
      </c>
      <c r="R194">
        <v>43.847999999999999</v>
      </c>
      <c r="S194">
        <v>43.847999999999999</v>
      </c>
      <c r="T194">
        <v>43.847999999999999</v>
      </c>
      <c r="U194">
        <v>43.847999999999999</v>
      </c>
      <c r="V194">
        <v>43.847999999999999</v>
      </c>
      <c r="W194">
        <v>43.847999999999999</v>
      </c>
      <c r="X194">
        <v>43.847999999999999</v>
      </c>
      <c r="Y194">
        <v>43.847999999999999</v>
      </c>
      <c r="Z194">
        <v>43.847999999999999</v>
      </c>
      <c r="AA194">
        <v>43.847999999999999</v>
      </c>
      <c r="AB194">
        <v>43.847999999999999</v>
      </c>
      <c r="AC194">
        <v>43.847999999999999</v>
      </c>
      <c r="AD194">
        <v>43.847999999999999</v>
      </c>
      <c r="AE194">
        <v>43.847999999999999</v>
      </c>
      <c r="AF194">
        <v>43.847999999999999</v>
      </c>
      <c r="AG194">
        <v>43.847999999999999</v>
      </c>
      <c r="AH194">
        <v>43.847999999999999</v>
      </c>
      <c r="AI194">
        <v>43.847999999999999</v>
      </c>
      <c r="AJ194">
        <v>43.847999999999999</v>
      </c>
      <c r="AK194">
        <v>43.847999999999999</v>
      </c>
      <c r="AL194">
        <v>43.847999999999999</v>
      </c>
      <c r="AM194">
        <v>43.847999999999999</v>
      </c>
      <c r="AN194">
        <v>43.847999999999999</v>
      </c>
      <c r="AO194">
        <v>43.847999999999999</v>
      </c>
      <c r="AP194">
        <v>43.847999999999999</v>
      </c>
      <c r="AQ194">
        <v>43.847999999999999</v>
      </c>
      <c r="AR194">
        <v>43.847999999999999</v>
      </c>
      <c r="AS194">
        <v>43.847999999999999</v>
      </c>
      <c r="AT194">
        <v>43.847999999999999</v>
      </c>
      <c r="AU194">
        <v>43.847999999999999</v>
      </c>
      <c r="AV194">
        <v>43.847999999999999</v>
      </c>
      <c r="AW194">
        <v>43.847999999999999</v>
      </c>
      <c r="AX194">
        <v>43.847999999999999</v>
      </c>
      <c r="AY194">
        <v>43.847999999999999</v>
      </c>
      <c r="AZ194">
        <v>43.847999999999999</v>
      </c>
      <c r="BA194">
        <v>43.847999999999999</v>
      </c>
      <c r="BB194">
        <v>43.847999999999999</v>
      </c>
      <c r="BC194">
        <v>43.847999999999999</v>
      </c>
      <c r="BD194">
        <v>43.847999999999999</v>
      </c>
      <c r="BE194">
        <v>43.847999999999999</v>
      </c>
      <c r="BF194">
        <v>43.847999999999999</v>
      </c>
      <c r="BG194">
        <v>43.847999999999999</v>
      </c>
      <c r="BH194">
        <v>43.847999999999999</v>
      </c>
      <c r="BI194">
        <v>43.847999999999999</v>
      </c>
      <c r="BJ194">
        <v>43.847999999999999</v>
      </c>
      <c r="BK194">
        <v>43.847999999999999</v>
      </c>
      <c r="BL194">
        <v>43.847999999999999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1E59-221C-4098-8DD0-E1716AA4D53B}">
  <sheetPr codeName="Sheet5"/>
  <dimension ref="A1:BL194"/>
  <sheetViews>
    <sheetView topLeftCell="A106" workbookViewId="0">
      <selection activeCell="D1" sqref="D1"/>
    </sheetView>
  </sheetViews>
  <sheetFormatPr defaultRowHeight="15" x14ac:dyDescent="0.25"/>
  <sheetData>
    <row r="1" spans="1:64" x14ac:dyDescent="0.25">
      <c r="A1">
        <v>-0.80500000000000005</v>
      </c>
      <c r="B1">
        <v>-0.88800000000000001</v>
      </c>
      <c r="C1">
        <v>-0.92300000000000004</v>
      </c>
      <c r="D1">
        <v>-0.89900000000000002</v>
      </c>
      <c r="E1">
        <v>-0.84299999999999997</v>
      </c>
      <c r="F1">
        <v>-0.72</v>
      </c>
      <c r="G1">
        <v>-0.66500000000000004</v>
      </c>
      <c r="H1">
        <v>-0.73399999999999999</v>
      </c>
      <c r="I1">
        <v>-0.66600000000000004</v>
      </c>
      <c r="J1">
        <v>-0.48599999999999999</v>
      </c>
      <c r="K1">
        <v>-0.70399999999999996</v>
      </c>
      <c r="L1">
        <v>-0.66500000000000004</v>
      </c>
      <c r="M1">
        <v>-0.27900000000000003</v>
      </c>
      <c r="N1">
        <v>-0.191</v>
      </c>
      <c r="O1">
        <v>-0.56000000000000005</v>
      </c>
      <c r="P1">
        <v>-0.621</v>
      </c>
      <c r="Q1">
        <v>-0.73299999999999998</v>
      </c>
      <c r="R1">
        <v>-0.78100000000000003</v>
      </c>
      <c r="S1">
        <v>-0.77900000000000003</v>
      </c>
      <c r="T1">
        <v>-0.74299999999999999</v>
      </c>
      <c r="U1">
        <v>-0.56399999999999995</v>
      </c>
      <c r="V1">
        <v>-0.23100000000000001</v>
      </c>
      <c r="W1">
        <v>-0.27600000000000002</v>
      </c>
      <c r="X1">
        <v>-0.625</v>
      </c>
      <c r="Y1">
        <v>-0.40100000000000002</v>
      </c>
      <c r="Z1">
        <v>-0.32600000000000001</v>
      </c>
      <c r="AA1">
        <v>-0.20799999999999999</v>
      </c>
      <c r="AB1">
        <v>-1.6E-2</v>
      </c>
      <c r="AC1">
        <v>-0.29499999999999998</v>
      </c>
      <c r="AD1">
        <v>-0.35899999999999999</v>
      </c>
      <c r="AE1">
        <v>-0.23599999999999999</v>
      </c>
      <c r="AF1">
        <v>-0.28699999999999998</v>
      </c>
      <c r="AG1">
        <v>-0.18</v>
      </c>
      <c r="AH1">
        <v>0.26600000000000001</v>
      </c>
      <c r="AI1">
        <v>0.35</v>
      </c>
      <c r="AJ1">
        <v>1.7999999999999999E-2</v>
      </c>
      <c r="AK1">
        <v>-0.27200000000000002</v>
      </c>
      <c r="AL1">
        <v>-6.6000000000000003E-2</v>
      </c>
      <c r="AM1">
        <v>7.4999999999999997E-2</v>
      </c>
      <c r="AN1">
        <v>-0.33500000000000002</v>
      </c>
      <c r="AO1">
        <v>-0.42299999999999999</v>
      </c>
      <c r="AP1">
        <v>-0.28999999999999998</v>
      </c>
      <c r="AQ1">
        <v>-0.17499999999999999</v>
      </c>
      <c r="AR1">
        <v>-0.26700000000000002</v>
      </c>
      <c r="AS1">
        <v>-0.311</v>
      </c>
      <c r="AT1">
        <v>-0.221</v>
      </c>
      <c r="AU1">
        <v>-0.504</v>
      </c>
      <c r="AV1">
        <v>-0.44500000000000001</v>
      </c>
      <c r="AW1">
        <v>-0.105</v>
      </c>
      <c r="AX1">
        <v>-9.1999999999999998E-2</v>
      </c>
      <c r="AY1">
        <v>-0.29799999999999999</v>
      </c>
      <c r="AZ1">
        <v>-0.22700000000000001</v>
      </c>
      <c r="BA1">
        <v>-0.223</v>
      </c>
      <c r="BB1">
        <v>-0.14599999999999999</v>
      </c>
      <c r="BC1">
        <v>0.02</v>
      </c>
      <c r="BD1">
        <v>-5.3999999999999999E-2</v>
      </c>
      <c r="BE1">
        <v>-3.2000000000000001E-2</v>
      </c>
      <c r="BF1">
        <v>-0.28999999999999998</v>
      </c>
      <c r="BG1">
        <v>-0.21</v>
      </c>
      <c r="BH1">
        <v>4.1000000000000002E-2</v>
      </c>
      <c r="BI1">
        <v>5.5E-2</v>
      </c>
      <c r="BJ1">
        <v>-7.0000000000000001E-3</v>
      </c>
      <c r="BK1">
        <v>-0.32200000000000001</v>
      </c>
      <c r="BL1">
        <v>-0.26700000000000002</v>
      </c>
    </row>
    <row r="2" spans="1:64" x14ac:dyDescent="0.25">
      <c r="A2">
        <v>-0.73799999999999999</v>
      </c>
      <c r="B2">
        <v>-0.82499999999999996</v>
      </c>
      <c r="C2">
        <v>-0.90200000000000002</v>
      </c>
      <c r="D2">
        <v>-0.9</v>
      </c>
      <c r="E2">
        <v>-0.84799999999999998</v>
      </c>
      <c r="F2">
        <v>-0.79</v>
      </c>
      <c r="G2">
        <v>-0.73899999999999999</v>
      </c>
      <c r="H2">
        <v>-0.73599999999999999</v>
      </c>
      <c r="I2">
        <v>-0.63200000000000001</v>
      </c>
      <c r="J2">
        <v>-0.51700000000000002</v>
      </c>
      <c r="K2">
        <v>-0.64800000000000002</v>
      </c>
      <c r="L2">
        <v>-0.59299999999999997</v>
      </c>
      <c r="M2">
        <v>-0.35799999999999998</v>
      </c>
      <c r="N2">
        <v>-0.36899999999999999</v>
      </c>
      <c r="O2">
        <v>-0.57899999999999996</v>
      </c>
      <c r="P2">
        <v>-0.59899999999999998</v>
      </c>
      <c r="Q2">
        <v>-0.755</v>
      </c>
      <c r="R2">
        <v>-0.80400000000000005</v>
      </c>
      <c r="S2">
        <v>-0.76100000000000001</v>
      </c>
      <c r="T2">
        <v>-0.68700000000000006</v>
      </c>
      <c r="U2">
        <v>-0.53200000000000003</v>
      </c>
      <c r="V2">
        <v>-0.34300000000000003</v>
      </c>
      <c r="W2">
        <v>-0.41799999999999998</v>
      </c>
      <c r="X2">
        <v>-0.624</v>
      </c>
      <c r="Y2">
        <v>-0.375</v>
      </c>
      <c r="Z2">
        <v>-0.28599999999999998</v>
      </c>
      <c r="AA2">
        <v>-0.21</v>
      </c>
      <c r="AB2">
        <v>-0.03</v>
      </c>
      <c r="AC2">
        <v>-0.20300000000000001</v>
      </c>
      <c r="AD2">
        <v>-0.22800000000000001</v>
      </c>
      <c r="AE2">
        <v>-0.19900000000000001</v>
      </c>
      <c r="AF2">
        <v>-0.253</v>
      </c>
      <c r="AG2">
        <v>-0.16600000000000001</v>
      </c>
      <c r="AH2">
        <v>0.21099999999999999</v>
      </c>
      <c r="AI2">
        <v>0.23599999999999999</v>
      </c>
      <c r="AJ2">
        <v>-0.03</v>
      </c>
      <c r="AK2">
        <v>-0.17799999999999999</v>
      </c>
      <c r="AL2">
        <v>-8.3000000000000004E-2</v>
      </c>
      <c r="AM2">
        <v>-0.13800000000000001</v>
      </c>
      <c r="AN2">
        <v>-0.44900000000000001</v>
      </c>
      <c r="AO2">
        <v>-0.34</v>
      </c>
      <c r="AP2">
        <v>-0.216</v>
      </c>
      <c r="AQ2">
        <v>-0.27300000000000002</v>
      </c>
      <c r="AR2">
        <v>-0.435</v>
      </c>
      <c r="AS2">
        <v>-0.39900000000000002</v>
      </c>
      <c r="AT2">
        <v>-0.188</v>
      </c>
      <c r="AU2">
        <v>-0.46200000000000002</v>
      </c>
      <c r="AV2">
        <v>-0.48</v>
      </c>
      <c r="AW2">
        <v>-0.218</v>
      </c>
      <c r="AX2">
        <v>-0.122</v>
      </c>
      <c r="AY2">
        <v>-0.317</v>
      </c>
      <c r="AZ2">
        <v>-0.34399999999999997</v>
      </c>
      <c r="BA2">
        <v>-0.17199999999999999</v>
      </c>
      <c r="BB2">
        <v>2.4E-2</v>
      </c>
      <c r="BC2">
        <v>-9.1999999999999998E-2</v>
      </c>
      <c r="BD2">
        <v>-0.106</v>
      </c>
      <c r="BE2">
        <v>-2.1000000000000001E-2</v>
      </c>
      <c r="BF2">
        <v>-0.23799999999999999</v>
      </c>
      <c r="BG2">
        <v>-0.09</v>
      </c>
      <c r="BH2">
        <v>2.7E-2</v>
      </c>
      <c r="BI2">
        <v>-0.111</v>
      </c>
      <c r="BJ2">
        <v>-0.12</v>
      </c>
      <c r="BK2">
        <v>-0.39200000000000002</v>
      </c>
      <c r="BL2">
        <v>-0.47699999999999998</v>
      </c>
    </row>
    <row r="3" spans="1:64" x14ac:dyDescent="0.25">
      <c r="A3">
        <v>-0.67</v>
      </c>
      <c r="B3">
        <v>-0.74099999999999999</v>
      </c>
      <c r="C3">
        <v>-0.86199999999999999</v>
      </c>
      <c r="D3">
        <v>-0.88300000000000001</v>
      </c>
      <c r="E3">
        <v>-0.84399999999999997</v>
      </c>
      <c r="F3">
        <v>-0.84499999999999997</v>
      </c>
      <c r="G3">
        <v>-0.79100000000000004</v>
      </c>
      <c r="H3">
        <v>-0.67400000000000004</v>
      </c>
      <c r="I3">
        <v>-0.56599999999999995</v>
      </c>
      <c r="J3">
        <v>-0.56100000000000005</v>
      </c>
      <c r="K3">
        <v>-0.56699999999999995</v>
      </c>
      <c r="L3">
        <v>-0.45300000000000001</v>
      </c>
      <c r="M3">
        <v>-0.45200000000000001</v>
      </c>
      <c r="N3">
        <v>-0.52200000000000002</v>
      </c>
      <c r="O3">
        <v>-0.57599999999999996</v>
      </c>
      <c r="P3">
        <v>-0.55500000000000005</v>
      </c>
      <c r="Q3">
        <v>-0.76400000000000001</v>
      </c>
      <c r="R3">
        <v>-0.80700000000000005</v>
      </c>
      <c r="S3">
        <v>-0.70699999999999996</v>
      </c>
      <c r="T3">
        <v>-0.60299999999999998</v>
      </c>
      <c r="U3">
        <v>-0.51500000000000001</v>
      </c>
      <c r="V3">
        <v>-0.49</v>
      </c>
      <c r="W3">
        <v>-0.60299999999999998</v>
      </c>
      <c r="X3">
        <v>-0.57799999999999996</v>
      </c>
      <c r="Y3">
        <v>-0.29899999999999999</v>
      </c>
      <c r="Z3">
        <v>-0.28000000000000003</v>
      </c>
      <c r="AA3">
        <v>-0.28399999999999997</v>
      </c>
      <c r="AB3">
        <v>-0.155</v>
      </c>
      <c r="AC3">
        <v>0.109</v>
      </c>
      <c r="AD3">
        <v>0.09</v>
      </c>
      <c r="AE3">
        <v>-0.184</v>
      </c>
      <c r="AF3">
        <v>-0.183</v>
      </c>
      <c r="AG3">
        <v>-0.06</v>
      </c>
      <c r="AH3">
        <v>0.15</v>
      </c>
      <c r="AI3">
        <v>0.11700000000000001</v>
      </c>
      <c r="AJ3">
        <v>-5.6000000000000001E-2</v>
      </c>
      <c r="AK3">
        <v>-4.9000000000000002E-2</v>
      </c>
      <c r="AL3">
        <v>-0.19500000000000001</v>
      </c>
      <c r="AM3">
        <v>-0.5</v>
      </c>
      <c r="AN3">
        <v>-0.53</v>
      </c>
      <c r="AO3">
        <v>-0.16900000000000001</v>
      </c>
      <c r="AP3">
        <v>-4.9000000000000002E-2</v>
      </c>
      <c r="AQ3">
        <v>-0.36899999999999999</v>
      </c>
      <c r="AR3">
        <v>-0.61299999999999999</v>
      </c>
      <c r="AS3">
        <v>-0.48799999999999999</v>
      </c>
      <c r="AT3">
        <v>-0.26400000000000001</v>
      </c>
      <c r="AU3">
        <v>-0.35399999999999998</v>
      </c>
      <c r="AV3">
        <v>-0.43</v>
      </c>
      <c r="AW3">
        <v>-0.438</v>
      </c>
      <c r="AX3">
        <v>-0.28899999999999998</v>
      </c>
      <c r="AY3">
        <v>-0.314</v>
      </c>
      <c r="AZ3">
        <v>-0.443</v>
      </c>
      <c r="BA3">
        <v>-0.11700000000000001</v>
      </c>
      <c r="BB3">
        <v>0.23</v>
      </c>
      <c r="BC3">
        <v>-7.6999999999999999E-2</v>
      </c>
      <c r="BD3">
        <v>-9.2999999999999999E-2</v>
      </c>
      <c r="BE3">
        <v>-0.18099999999999999</v>
      </c>
      <c r="BF3">
        <v>-0.24299999999999999</v>
      </c>
      <c r="BG3">
        <v>4.2999999999999997E-2</v>
      </c>
      <c r="BH3">
        <v>-7.6999999999999999E-2</v>
      </c>
      <c r="BI3">
        <v>-0.30299999999999999</v>
      </c>
      <c r="BJ3">
        <v>-0.26900000000000002</v>
      </c>
      <c r="BK3">
        <v>-0.434</v>
      </c>
      <c r="BL3">
        <v>-0.66300000000000003</v>
      </c>
    </row>
    <row r="4" spans="1:64" x14ac:dyDescent="0.25">
      <c r="A4">
        <v>-0.67200000000000004</v>
      </c>
      <c r="B4">
        <v>-0.69499999999999995</v>
      </c>
      <c r="C4">
        <v>-0.80400000000000005</v>
      </c>
      <c r="D4">
        <v>-0.83199999999999996</v>
      </c>
      <c r="E4">
        <v>-0.83199999999999996</v>
      </c>
      <c r="F4">
        <v>-0.874</v>
      </c>
      <c r="G4">
        <v>-0.83899999999999997</v>
      </c>
      <c r="H4">
        <v>-0.68400000000000005</v>
      </c>
      <c r="I4">
        <v>-0.53600000000000003</v>
      </c>
      <c r="J4">
        <v>-0.55300000000000005</v>
      </c>
      <c r="K4">
        <v>-0.47499999999999998</v>
      </c>
      <c r="L4">
        <v>-0.32400000000000001</v>
      </c>
      <c r="M4">
        <v>-0.39700000000000002</v>
      </c>
      <c r="N4">
        <v>-0.496</v>
      </c>
      <c r="O4">
        <v>-0.48299999999999998</v>
      </c>
      <c r="P4">
        <v>-0.49299999999999999</v>
      </c>
      <c r="Q4">
        <v>-0.72299999999999998</v>
      </c>
      <c r="R4">
        <v>-0.73099999999999998</v>
      </c>
      <c r="S4">
        <v>-0.67</v>
      </c>
      <c r="T4">
        <v>-0.63200000000000001</v>
      </c>
      <c r="U4">
        <v>-0.58799999999999997</v>
      </c>
      <c r="V4">
        <v>-0.61099999999999999</v>
      </c>
      <c r="W4">
        <v>-0.66400000000000003</v>
      </c>
      <c r="X4">
        <v>-0.503</v>
      </c>
      <c r="Y4">
        <v>-0.2</v>
      </c>
      <c r="Z4">
        <v>-0.35299999999999998</v>
      </c>
      <c r="AA4">
        <v>-0.33</v>
      </c>
      <c r="AB4">
        <v>-0.16700000000000001</v>
      </c>
      <c r="AC4">
        <v>0.248</v>
      </c>
      <c r="AD4">
        <v>0.313</v>
      </c>
      <c r="AE4">
        <v>-0.14199999999999999</v>
      </c>
      <c r="AF4">
        <v>-0.223</v>
      </c>
      <c r="AG4">
        <v>0.01</v>
      </c>
      <c r="AH4">
        <v>0.13600000000000001</v>
      </c>
      <c r="AI4">
        <v>0.158</v>
      </c>
      <c r="AJ4">
        <v>5.5E-2</v>
      </c>
      <c r="AK4">
        <v>-0.17899999999999999</v>
      </c>
      <c r="AL4">
        <v>-0.48299999999999998</v>
      </c>
      <c r="AM4">
        <v>-0.63400000000000001</v>
      </c>
      <c r="AN4">
        <v>-0.45400000000000001</v>
      </c>
      <c r="AO4">
        <v>-0.192</v>
      </c>
      <c r="AP4">
        <v>-0.14499999999999999</v>
      </c>
      <c r="AQ4">
        <v>-0.314</v>
      </c>
      <c r="AR4">
        <v>-0.628</v>
      </c>
      <c r="AS4">
        <v>-0.503</v>
      </c>
      <c r="AT4">
        <v>-0.32900000000000001</v>
      </c>
      <c r="AU4">
        <v>-0.312</v>
      </c>
      <c r="AV4">
        <v>-0.34699999999999998</v>
      </c>
      <c r="AW4">
        <v>-0.53100000000000003</v>
      </c>
      <c r="AX4">
        <v>-0.54500000000000004</v>
      </c>
      <c r="AY4">
        <v>-0.44400000000000001</v>
      </c>
      <c r="AZ4">
        <v>-0.43099999999999999</v>
      </c>
      <c r="BA4">
        <v>-8.2000000000000003E-2</v>
      </c>
      <c r="BB4">
        <v>0.39900000000000002</v>
      </c>
      <c r="BC4">
        <v>0.28699999999999998</v>
      </c>
      <c r="BD4">
        <v>2E-3</v>
      </c>
      <c r="BE4">
        <v>-0.47399999999999998</v>
      </c>
      <c r="BF4">
        <v>-0.437</v>
      </c>
      <c r="BG4">
        <v>1.9E-2</v>
      </c>
      <c r="BH4">
        <v>-0.13900000000000001</v>
      </c>
      <c r="BI4">
        <v>-0.36299999999999999</v>
      </c>
      <c r="BJ4">
        <v>-0.44600000000000001</v>
      </c>
      <c r="BK4">
        <v>-0.502</v>
      </c>
      <c r="BL4">
        <v>-0.626</v>
      </c>
    </row>
    <row r="5" spans="1:64" x14ac:dyDescent="0.25">
      <c r="A5">
        <v>-0.499</v>
      </c>
      <c r="B5">
        <v>-0.60799999999999998</v>
      </c>
      <c r="C5">
        <v>-0.69599999999999995</v>
      </c>
      <c r="D5">
        <v>-0.71699999999999997</v>
      </c>
      <c r="E5">
        <v>-0.82099999999999995</v>
      </c>
      <c r="F5">
        <v>-0.88100000000000001</v>
      </c>
      <c r="G5">
        <v>-0.86699999999999999</v>
      </c>
      <c r="H5">
        <v>-0.77600000000000002</v>
      </c>
      <c r="I5">
        <v>-0.58899999999999997</v>
      </c>
      <c r="J5">
        <v>-0.51800000000000002</v>
      </c>
      <c r="K5">
        <v>-0.313</v>
      </c>
      <c r="L5">
        <v>-0.224</v>
      </c>
      <c r="M5">
        <v>-0.377</v>
      </c>
      <c r="N5">
        <v>-0.45900000000000002</v>
      </c>
      <c r="O5">
        <v>-0.36099999999999999</v>
      </c>
      <c r="P5">
        <v>-0.36199999999999999</v>
      </c>
      <c r="Q5">
        <v>-0.65200000000000002</v>
      </c>
      <c r="R5">
        <v>-0.68</v>
      </c>
      <c r="S5">
        <v>-0.68600000000000005</v>
      </c>
      <c r="T5">
        <v>-0.67200000000000004</v>
      </c>
      <c r="U5">
        <v>-0.68899999999999995</v>
      </c>
      <c r="V5">
        <v>-0.64</v>
      </c>
      <c r="W5">
        <v>-0.56499999999999995</v>
      </c>
      <c r="X5">
        <v>-0.44</v>
      </c>
      <c r="Y5">
        <v>-0.154</v>
      </c>
      <c r="Z5">
        <v>-0.42199999999999999</v>
      </c>
      <c r="AA5">
        <v>-0.30399999999999999</v>
      </c>
      <c r="AB5">
        <v>1.4999999999999999E-2</v>
      </c>
      <c r="AC5">
        <v>0.21199999999999999</v>
      </c>
      <c r="AD5">
        <v>0.39100000000000001</v>
      </c>
      <c r="AE5">
        <v>-7.0000000000000007E-2</v>
      </c>
      <c r="AF5">
        <v>-0.314</v>
      </c>
      <c r="AG5">
        <v>1.2999999999999999E-2</v>
      </c>
      <c r="AH5">
        <v>0.113</v>
      </c>
      <c r="AI5">
        <v>0.16</v>
      </c>
      <c r="AJ5">
        <v>0.121</v>
      </c>
      <c r="AK5">
        <v>-0.39200000000000002</v>
      </c>
      <c r="AL5">
        <v>-0.65400000000000003</v>
      </c>
      <c r="AM5">
        <v>-0.622</v>
      </c>
      <c r="AN5">
        <v>-0.38700000000000001</v>
      </c>
      <c r="AO5">
        <v>-0.28999999999999998</v>
      </c>
      <c r="AP5">
        <v>-0.33800000000000002</v>
      </c>
      <c r="AQ5">
        <v>-0.28399999999999997</v>
      </c>
      <c r="AR5">
        <v>-0.55400000000000005</v>
      </c>
      <c r="AS5">
        <v>-0.52100000000000002</v>
      </c>
      <c r="AT5">
        <v>-0.24299999999999999</v>
      </c>
      <c r="AU5">
        <v>-0.41899999999999998</v>
      </c>
      <c r="AV5">
        <v>-0.42799999999999999</v>
      </c>
      <c r="AW5">
        <v>-0.5</v>
      </c>
      <c r="AX5">
        <v>-0.61299999999999999</v>
      </c>
      <c r="AY5">
        <v>-0.51100000000000001</v>
      </c>
      <c r="AZ5">
        <v>-0.48699999999999999</v>
      </c>
      <c r="BA5">
        <v>-3.7999999999999999E-2</v>
      </c>
      <c r="BB5">
        <v>0.626</v>
      </c>
      <c r="BC5">
        <v>0.50600000000000001</v>
      </c>
      <c r="BD5">
        <v>-0.104</v>
      </c>
      <c r="BE5">
        <v>-0.59399999999999997</v>
      </c>
      <c r="BF5">
        <v>-0.57199999999999995</v>
      </c>
      <c r="BG5">
        <v>-0.159</v>
      </c>
      <c r="BH5">
        <v>-0.10100000000000001</v>
      </c>
      <c r="BI5">
        <v>-0.33</v>
      </c>
      <c r="BJ5">
        <v>-0.53800000000000003</v>
      </c>
      <c r="BK5">
        <v>-0.60599999999999998</v>
      </c>
      <c r="BL5">
        <v>-0.625</v>
      </c>
    </row>
    <row r="6" spans="1:64" x14ac:dyDescent="0.25">
      <c r="A6">
        <v>-0.40500000000000003</v>
      </c>
      <c r="B6">
        <v>-0.56499999999999995</v>
      </c>
      <c r="C6">
        <v>-0.60899999999999999</v>
      </c>
      <c r="D6">
        <v>-0.55100000000000005</v>
      </c>
      <c r="E6">
        <v>-0.70699999999999996</v>
      </c>
      <c r="F6">
        <v>-0.83</v>
      </c>
      <c r="G6">
        <v>-0.85199999999999998</v>
      </c>
      <c r="H6">
        <v>-0.82299999999999995</v>
      </c>
      <c r="I6">
        <v>-0.66300000000000003</v>
      </c>
      <c r="J6">
        <v>-0.23</v>
      </c>
      <c r="K6">
        <v>-5.0000000000000001E-3</v>
      </c>
      <c r="L6">
        <v>-0.19600000000000001</v>
      </c>
      <c r="M6">
        <v>-0.42899999999999999</v>
      </c>
      <c r="N6">
        <v>-0.45600000000000002</v>
      </c>
      <c r="O6">
        <v>-0.34499999999999997</v>
      </c>
      <c r="P6">
        <v>-0.20699999999999999</v>
      </c>
      <c r="Q6">
        <v>-0.502</v>
      </c>
      <c r="R6">
        <v>-0.71099999999999997</v>
      </c>
      <c r="S6">
        <v>-0.73799999999999999</v>
      </c>
      <c r="T6">
        <v>-0.75</v>
      </c>
      <c r="U6">
        <v>-0.76100000000000001</v>
      </c>
      <c r="V6">
        <v>-0.57799999999999996</v>
      </c>
      <c r="W6">
        <v>-0.36599999999999999</v>
      </c>
      <c r="X6">
        <v>-0.32800000000000001</v>
      </c>
      <c r="Y6">
        <v>-0.20899999999999999</v>
      </c>
      <c r="Z6">
        <v>-0.44400000000000001</v>
      </c>
      <c r="AA6">
        <v>-0.30299999999999999</v>
      </c>
      <c r="AB6">
        <v>0.14499999999999999</v>
      </c>
      <c r="AC6">
        <v>0.24</v>
      </c>
      <c r="AD6">
        <v>0.32400000000000001</v>
      </c>
      <c r="AE6">
        <v>-3.7999999999999999E-2</v>
      </c>
      <c r="AF6">
        <v>-0.25900000000000001</v>
      </c>
      <c r="AG6">
        <v>0.03</v>
      </c>
      <c r="AH6">
        <v>0.04</v>
      </c>
      <c r="AI6">
        <v>-5.6000000000000001E-2</v>
      </c>
      <c r="AJ6">
        <v>-0.01</v>
      </c>
      <c r="AK6">
        <v>-0.40799999999999997</v>
      </c>
      <c r="AL6">
        <v>-0.66900000000000004</v>
      </c>
      <c r="AM6">
        <v>-0.56899999999999995</v>
      </c>
      <c r="AN6">
        <v>-0.45</v>
      </c>
      <c r="AO6">
        <v>-0.47799999999999998</v>
      </c>
      <c r="AP6">
        <v>-0.45500000000000002</v>
      </c>
      <c r="AQ6">
        <v>-0.27600000000000002</v>
      </c>
      <c r="AR6">
        <v>-0.434</v>
      </c>
      <c r="AS6">
        <v>-0.51600000000000001</v>
      </c>
      <c r="AT6">
        <v>-0.34200000000000003</v>
      </c>
      <c r="AU6">
        <v>-0.57399999999999995</v>
      </c>
      <c r="AV6">
        <v>-0.47</v>
      </c>
      <c r="AW6">
        <v>-0.43</v>
      </c>
      <c r="AX6">
        <v>-0.53200000000000003</v>
      </c>
      <c r="AY6">
        <v>-0.28399999999999997</v>
      </c>
      <c r="AZ6">
        <v>-0.318</v>
      </c>
      <c r="BA6">
        <v>0.05</v>
      </c>
      <c r="BB6">
        <v>0.57999999999999996</v>
      </c>
      <c r="BC6">
        <v>0.36699999999999999</v>
      </c>
      <c r="BD6">
        <v>-0.20699999999999999</v>
      </c>
      <c r="BE6">
        <v>-0.57999999999999996</v>
      </c>
      <c r="BF6">
        <v>-0.62</v>
      </c>
      <c r="BG6">
        <v>-0.39400000000000002</v>
      </c>
      <c r="BH6">
        <v>-0.189</v>
      </c>
      <c r="BI6">
        <v>-0.29399999999999998</v>
      </c>
      <c r="BJ6">
        <v>-0.46200000000000002</v>
      </c>
      <c r="BK6">
        <v>-0.60399999999999998</v>
      </c>
      <c r="BL6">
        <v>-0.71199999999999997</v>
      </c>
    </row>
    <row r="7" spans="1:64" x14ac:dyDescent="0.25">
      <c r="A7">
        <v>-0.36299999999999999</v>
      </c>
      <c r="B7">
        <v>-0.504</v>
      </c>
      <c r="C7">
        <v>-0.54</v>
      </c>
      <c r="D7">
        <v>-0.499</v>
      </c>
      <c r="E7">
        <v>-0.67600000000000005</v>
      </c>
      <c r="F7">
        <v>-0.79800000000000004</v>
      </c>
      <c r="G7">
        <v>-0.77900000000000003</v>
      </c>
      <c r="H7">
        <v>-0.77600000000000002</v>
      </c>
      <c r="I7">
        <v>-0.65800000000000003</v>
      </c>
      <c r="J7">
        <v>0.16600000000000001</v>
      </c>
      <c r="K7">
        <v>8.8999999999999996E-2</v>
      </c>
      <c r="L7">
        <v>-0.30399999999999999</v>
      </c>
      <c r="M7">
        <v>-0.41499999999999998</v>
      </c>
      <c r="N7">
        <v>-0.42099999999999999</v>
      </c>
      <c r="O7">
        <v>-0.24</v>
      </c>
      <c r="P7">
        <v>-0.107</v>
      </c>
      <c r="Q7">
        <v>-0.42</v>
      </c>
      <c r="R7">
        <v>-0.75800000000000001</v>
      </c>
      <c r="S7">
        <v>-0.80400000000000005</v>
      </c>
      <c r="T7">
        <v>-0.79700000000000004</v>
      </c>
      <c r="U7">
        <v>-0.76500000000000001</v>
      </c>
      <c r="V7">
        <v>-0.54100000000000004</v>
      </c>
      <c r="W7">
        <v>-0.216</v>
      </c>
      <c r="X7">
        <v>-0.184</v>
      </c>
      <c r="Y7">
        <v>-0.23799999999999999</v>
      </c>
      <c r="Z7">
        <v>-0.38400000000000001</v>
      </c>
      <c r="AA7">
        <v>-0.16300000000000001</v>
      </c>
      <c r="AB7">
        <v>0.16300000000000001</v>
      </c>
      <c r="AC7">
        <v>0.157</v>
      </c>
      <c r="AD7">
        <v>0.17199999999999999</v>
      </c>
      <c r="AE7">
        <v>-3.4000000000000002E-2</v>
      </c>
      <c r="AF7">
        <v>-0.184</v>
      </c>
      <c r="AG7">
        <v>-8.8999999999999996E-2</v>
      </c>
      <c r="AH7">
        <v>-0.12</v>
      </c>
      <c r="AI7">
        <v>-0.219</v>
      </c>
      <c r="AJ7">
        <v>-0.17799999999999999</v>
      </c>
      <c r="AK7">
        <v>-0.36899999999999999</v>
      </c>
      <c r="AL7">
        <v>-0.626</v>
      </c>
      <c r="AM7">
        <v>-0.53900000000000003</v>
      </c>
      <c r="AN7">
        <v>-0.50800000000000001</v>
      </c>
      <c r="AO7">
        <v>-0.63300000000000001</v>
      </c>
      <c r="AP7">
        <v>-0.58599999999999997</v>
      </c>
      <c r="AQ7">
        <v>-0.32400000000000001</v>
      </c>
      <c r="AR7">
        <v>-0.32800000000000001</v>
      </c>
      <c r="AS7">
        <v>-0.47699999999999998</v>
      </c>
      <c r="AT7">
        <v>-0.57699999999999996</v>
      </c>
      <c r="AU7">
        <v>-0.69399999999999995</v>
      </c>
      <c r="AV7">
        <v>-0.56599999999999995</v>
      </c>
      <c r="AW7">
        <v>-0.39100000000000001</v>
      </c>
      <c r="AX7">
        <v>-0.28599999999999998</v>
      </c>
      <c r="AY7">
        <v>0.13200000000000001</v>
      </c>
      <c r="AZ7">
        <v>4.4999999999999998E-2</v>
      </c>
      <c r="BA7">
        <v>0.14599999999999999</v>
      </c>
      <c r="BB7">
        <v>0.33700000000000002</v>
      </c>
      <c r="BC7">
        <v>-0.02</v>
      </c>
      <c r="BD7">
        <v>-9.7000000000000003E-2</v>
      </c>
      <c r="BE7">
        <v>-0.53100000000000003</v>
      </c>
      <c r="BF7">
        <v>-0.70799999999999996</v>
      </c>
      <c r="BG7">
        <v>-0.55600000000000005</v>
      </c>
      <c r="BH7">
        <v>-0.36199999999999999</v>
      </c>
      <c r="BI7">
        <v>-0.33200000000000002</v>
      </c>
      <c r="BJ7">
        <v>-0.38900000000000001</v>
      </c>
      <c r="BK7">
        <v>-0.53700000000000003</v>
      </c>
      <c r="BL7">
        <v>-0.75700000000000001</v>
      </c>
    </row>
    <row r="8" spans="1:64" x14ac:dyDescent="0.25">
      <c r="A8">
        <v>-0.36699999999999999</v>
      </c>
      <c r="B8">
        <v>-0.42099999999999999</v>
      </c>
      <c r="C8">
        <v>-0.35699999999999998</v>
      </c>
      <c r="D8">
        <v>-0.35299999999999998</v>
      </c>
      <c r="E8">
        <v>-0.70199999999999996</v>
      </c>
      <c r="F8">
        <v>-0.83099999999999996</v>
      </c>
      <c r="G8">
        <v>-0.74099999999999999</v>
      </c>
      <c r="H8">
        <v>-0.66500000000000004</v>
      </c>
      <c r="I8">
        <v>-0.52500000000000002</v>
      </c>
      <c r="J8">
        <v>0.16700000000000001</v>
      </c>
      <c r="K8">
        <v>3.5000000000000003E-2</v>
      </c>
      <c r="L8">
        <v>-0.159</v>
      </c>
      <c r="M8">
        <v>-0.109</v>
      </c>
      <c r="N8">
        <v>-0.153</v>
      </c>
      <c r="O8">
        <v>-0.151</v>
      </c>
      <c r="P8">
        <v>-0.123</v>
      </c>
      <c r="Q8">
        <v>-0.47399999999999998</v>
      </c>
      <c r="R8">
        <v>-0.76</v>
      </c>
      <c r="S8">
        <v>-0.79500000000000004</v>
      </c>
      <c r="T8">
        <v>-0.82199999999999995</v>
      </c>
      <c r="U8">
        <v>-0.73099999999999998</v>
      </c>
      <c r="V8">
        <v>-0.35399999999999998</v>
      </c>
      <c r="W8">
        <v>-0.154</v>
      </c>
      <c r="X8">
        <v>-0.23699999999999999</v>
      </c>
      <c r="Y8">
        <v>-0.20300000000000001</v>
      </c>
      <c r="Z8">
        <v>-8.6999999999999994E-2</v>
      </c>
      <c r="AA8">
        <v>5.1999999999999998E-2</v>
      </c>
      <c r="AB8">
        <v>0.18</v>
      </c>
      <c r="AC8">
        <v>2.5999999999999999E-2</v>
      </c>
      <c r="AD8">
        <v>4.7E-2</v>
      </c>
      <c r="AE8">
        <v>-2.1999999999999999E-2</v>
      </c>
      <c r="AF8">
        <v>-0.185</v>
      </c>
      <c r="AG8">
        <v>-0.252</v>
      </c>
      <c r="AH8">
        <v>-0.23100000000000001</v>
      </c>
      <c r="AI8">
        <v>-0.26800000000000002</v>
      </c>
      <c r="AJ8">
        <v>-0.26100000000000001</v>
      </c>
      <c r="AK8">
        <v>-0.32600000000000001</v>
      </c>
      <c r="AL8">
        <v>-0.59799999999999998</v>
      </c>
      <c r="AM8">
        <v>-0.54100000000000004</v>
      </c>
      <c r="AN8">
        <v>-0.53600000000000003</v>
      </c>
      <c r="AO8">
        <v>-0.71499999999999997</v>
      </c>
      <c r="AP8">
        <v>-0.70499999999999996</v>
      </c>
      <c r="AQ8">
        <v>-0.42699999999999999</v>
      </c>
      <c r="AR8">
        <v>-0.186</v>
      </c>
      <c r="AS8">
        <v>-0.46600000000000003</v>
      </c>
      <c r="AT8">
        <v>-0.72899999999999998</v>
      </c>
      <c r="AU8">
        <v>-0.77300000000000002</v>
      </c>
      <c r="AV8">
        <v>-0.74099999999999999</v>
      </c>
      <c r="AW8">
        <v>-0.43</v>
      </c>
      <c r="AX8">
        <v>8.5999999999999993E-2</v>
      </c>
      <c r="AY8">
        <v>0.372</v>
      </c>
      <c r="AZ8">
        <v>0.33700000000000002</v>
      </c>
      <c r="BA8">
        <v>0.13600000000000001</v>
      </c>
      <c r="BB8">
        <v>-2.4E-2</v>
      </c>
      <c r="BC8">
        <v>-0.184</v>
      </c>
      <c r="BD8">
        <v>4.2999999999999997E-2</v>
      </c>
      <c r="BE8">
        <v>-0.42199999999999999</v>
      </c>
      <c r="BF8">
        <v>-0.748</v>
      </c>
      <c r="BG8">
        <v>-0.69</v>
      </c>
      <c r="BH8">
        <v>-0.52100000000000002</v>
      </c>
      <c r="BI8">
        <v>-0.32600000000000001</v>
      </c>
      <c r="BJ8">
        <v>-0.28100000000000003</v>
      </c>
      <c r="BK8">
        <v>-0.49</v>
      </c>
      <c r="BL8">
        <v>-0.747</v>
      </c>
    </row>
    <row r="9" spans="1:64" x14ac:dyDescent="0.25">
      <c r="A9">
        <v>-0.40799999999999997</v>
      </c>
      <c r="B9">
        <v>-0.375</v>
      </c>
      <c r="C9">
        <v>-0.26500000000000001</v>
      </c>
      <c r="D9">
        <v>-0.21099999999999999</v>
      </c>
      <c r="E9">
        <v>-0.66500000000000004</v>
      </c>
      <c r="F9">
        <v>-0.84199999999999997</v>
      </c>
      <c r="G9">
        <v>-0.76700000000000002</v>
      </c>
      <c r="H9">
        <v>-0.629</v>
      </c>
      <c r="I9">
        <v>-0.38800000000000001</v>
      </c>
      <c r="J9">
        <v>-7.4999999999999997E-2</v>
      </c>
      <c r="K9">
        <v>0.115</v>
      </c>
      <c r="L9">
        <v>0.20399999999999999</v>
      </c>
      <c r="M9">
        <v>0.14099999999999999</v>
      </c>
      <c r="N9">
        <v>1.6E-2</v>
      </c>
      <c r="O9">
        <v>-0.27900000000000003</v>
      </c>
      <c r="P9">
        <v>-0.26400000000000001</v>
      </c>
      <c r="Q9">
        <v>-0.58699999999999997</v>
      </c>
      <c r="R9">
        <v>-0.79900000000000004</v>
      </c>
      <c r="S9">
        <v>-0.79700000000000004</v>
      </c>
      <c r="T9">
        <v>-0.83099999999999996</v>
      </c>
      <c r="U9">
        <v>-0.67500000000000004</v>
      </c>
      <c r="V9">
        <v>-0.14399999999999999</v>
      </c>
      <c r="W9">
        <v>-0.189</v>
      </c>
      <c r="X9">
        <v>-0.36299999999999999</v>
      </c>
      <c r="Y9">
        <v>-0.14699999999999999</v>
      </c>
      <c r="Z9">
        <v>0.30299999999999999</v>
      </c>
      <c r="AA9">
        <v>0.216</v>
      </c>
      <c r="AB9">
        <v>9.2999999999999999E-2</v>
      </c>
      <c r="AC9">
        <v>-0.11600000000000001</v>
      </c>
      <c r="AD9">
        <v>-6.5000000000000002E-2</v>
      </c>
      <c r="AE9">
        <v>-4.5999999999999999E-2</v>
      </c>
      <c r="AF9">
        <v>-0.26600000000000001</v>
      </c>
      <c r="AG9">
        <v>-0.371</v>
      </c>
      <c r="AH9">
        <v>-0.318</v>
      </c>
      <c r="AI9">
        <v>-0.33300000000000002</v>
      </c>
      <c r="AJ9">
        <v>-0.247</v>
      </c>
      <c r="AK9">
        <v>-0.32400000000000001</v>
      </c>
      <c r="AL9">
        <v>-0.66500000000000004</v>
      </c>
      <c r="AM9">
        <v>-0.58199999999999996</v>
      </c>
      <c r="AN9">
        <v>-0.628</v>
      </c>
      <c r="AO9">
        <v>-0.76400000000000001</v>
      </c>
      <c r="AP9">
        <v>-0.75</v>
      </c>
      <c r="AQ9">
        <v>-0.59099999999999997</v>
      </c>
      <c r="AR9">
        <v>-8.6999999999999994E-2</v>
      </c>
      <c r="AS9">
        <v>-0.46400000000000002</v>
      </c>
      <c r="AT9">
        <v>-0.76200000000000001</v>
      </c>
      <c r="AU9">
        <v>-0.77400000000000002</v>
      </c>
      <c r="AV9">
        <v>-0.84399999999999997</v>
      </c>
      <c r="AW9">
        <v>-0.61199999999999999</v>
      </c>
      <c r="AX9">
        <v>0.33700000000000002</v>
      </c>
      <c r="AY9">
        <v>0.45500000000000002</v>
      </c>
      <c r="AZ9">
        <v>0.45500000000000002</v>
      </c>
      <c r="BA9">
        <v>1.9E-2</v>
      </c>
      <c r="BB9">
        <v>-0.26700000000000002</v>
      </c>
      <c r="BC9">
        <v>-0.13300000000000001</v>
      </c>
      <c r="BD9">
        <v>-4.9000000000000002E-2</v>
      </c>
      <c r="BE9">
        <v>-0.32800000000000001</v>
      </c>
      <c r="BF9">
        <v>-0.625</v>
      </c>
      <c r="BG9">
        <v>-0.68</v>
      </c>
      <c r="BH9">
        <v>-0.60399999999999998</v>
      </c>
      <c r="BI9">
        <v>-0.25800000000000001</v>
      </c>
      <c r="BJ9">
        <v>-0.156</v>
      </c>
      <c r="BK9">
        <v>-0.46700000000000003</v>
      </c>
      <c r="BL9">
        <v>-0.70699999999999996</v>
      </c>
    </row>
    <row r="10" spans="1:64" x14ac:dyDescent="0.25">
      <c r="A10">
        <v>-0.442</v>
      </c>
      <c r="B10">
        <v>-0.36799999999999999</v>
      </c>
      <c r="C10">
        <v>-0.20499999999999999</v>
      </c>
      <c r="D10">
        <v>-0.246</v>
      </c>
      <c r="E10">
        <v>-0.63500000000000001</v>
      </c>
      <c r="F10">
        <v>-0.79500000000000004</v>
      </c>
      <c r="G10">
        <v>-0.73199999999999998</v>
      </c>
      <c r="H10">
        <v>-0.44800000000000001</v>
      </c>
      <c r="I10">
        <v>-0.26</v>
      </c>
      <c r="J10">
        <v>-0.184</v>
      </c>
      <c r="K10">
        <v>0.108</v>
      </c>
      <c r="L10">
        <v>0.11899999999999999</v>
      </c>
      <c r="M10">
        <v>7.6999999999999999E-2</v>
      </c>
      <c r="N10">
        <v>-6.0000000000000001E-3</v>
      </c>
      <c r="O10">
        <v>-0.26400000000000001</v>
      </c>
      <c r="P10">
        <v>-0.35099999999999998</v>
      </c>
      <c r="Q10">
        <v>-0.59299999999999997</v>
      </c>
      <c r="R10">
        <v>-0.75800000000000001</v>
      </c>
      <c r="S10">
        <v>-0.75600000000000001</v>
      </c>
      <c r="T10">
        <v>-0.76100000000000001</v>
      </c>
      <c r="U10">
        <v>-0.622</v>
      </c>
      <c r="V10">
        <v>-0.3</v>
      </c>
      <c r="W10">
        <v>-0.153</v>
      </c>
      <c r="X10">
        <v>-0.16</v>
      </c>
      <c r="Y10">
        <v>-6.8000000000000005E-2</v>
      </c>
      <c r="Z10">
        <v>0.255</v>
      </c>
      <c r="AA10">
        <v>0.27</v>
      </c>
      <c r="AB10">
        <v>-7.9000000000000001E-2</v>
      </c>
      <c r="AC10">
        <v>-0.28599999999999998</v>
      </c>
      <c r="AD10">
        <v>-0.22</v>
      </c>
      <c r="AE10">
        <v>-0.13500000000000001</v>
      </c>
      <c r="AF10">
        <v>-0.32400000000000001</v>
      </c>
      <c r="AG10">
        <v>-0.48</v>
      </c>
      <c r="AH10">
        <v>-0.4</v>
      </c>
      <c r="AI10">
        <v>-0.23599999999999999</v>
      </c>
      <c r="AJ10">
        <v>-0.127</v>
      </c>
      <c r="AK10">
        <v>-0.45600000000000002</v>
      </c>
      <c r="AL10">
        <v>-0.70499999999999996</v>
      </c>
      <c r="AM10">
        <v>-0.63900000000000001</v>
      </c>
      <c r="AN10">
        <v>-0.73399999999999999</v>
      </c>
      <c r="AO10">
        <v>-0.751</v>
      </c>
      <c r="AP10">
        <v>-0.73399999999999999</v>
      </c>
      <c r="AQ10">
        <v>-0.68700000000000006</v>
      </c>
      <c r="AR10">
        <v>-0.32</v>
      </c>
      <c r="AS10">
        <v>-0.45500000000000002</v>
      </c>
      <c r="AT10">
        <v>-0.68799999999999994</v>
      </c>
      <c r="AU10">
        <v>-0.74399999999999999</v>
      </c>
      <c r="AV10">
        <v>-0.83</v>
      </c>
      <c r="AW10">
        <v>-0.58299999999999996</v>
      </c>
      <c r="AX10">
        <v>0.26800000000000002</v>
      </c>
      <c r="AY10">
        <v>0.35199999999999998</v>
      </c>
      <c r="AZ10">
        <v>0.3</v>
      </c>
      <c r="BA10">
        <v>-0.13</v>
      </c>
      <c r="BB10">
        <v>-0.23300000000000001</v>
      </c>
      <c r="BC10">
        <v>-0.129</v>
      </c>
      <c r="BD10">
        <v>-0.33800000000000002</v>
      </c>
      <c r="BE10">
        <v>-0.373</v>
      </c>
      <c r="BF10">
        <v>-0.5</v>
      </c>
      <c r="BG10">
        <v>-0.60499999999999998</v>
      </c>
      <c r="BH10">
        <v>-0.57599999999999996</v>
      </c>
      <c r="BI10">
        <v>-0.23200000000000001</v>
      </c>
      <c r="BJ10">
        <v>-0.20200000000000001</v>
      </c>
      <c r="BK10">
        <v>-0.42299999999999999</v>
      </c>
      <c r="BL10">
        <v>-0.60699999999999998</v>
      </c>
    </row>
    <row r="11" spans="1:64" x14ac:dyDescent="0.25">
      <c r="A11">
        <v>-0.495</v>
      </c>
      <c r="B11">
        <v>-0.46300000000000002</v>
      </c>
      <c r="C11">
        <v>-0.27900000000000003</v>
      </c>
      <c r="D11">
        <v>-0.314</v>
      </c>
      <c r="E11">
        <v>-0.55300000000000005</v>
      </c>
      <c r="F11">
        <v>-0.68100000000000005</v>
      </c>
      <c r="G11">
        <v>-0.628</v>
      </c>
      <c r="H11">
        <v>-0.253</v>
      </c>
      <c r="I11">
        <v>-0.186</v>
      </c>
      <c r="J11">
        <v>-0.192</v>
      </c>
      <c r="K11">
        <v>-9.8000000000000004E-2</v>
      </c>
      <c r="L11">
        <v>-0.193</v>
      </c>
      <c r="M11">
        <v>-0.11600000000000001</v>
      </c>
      <c r="N11">
        <v>-0.14599999999999999</v>
      </c>
      <c r="O11">
        <v>-0.20699999999999999</v>
      </c>
      <c r="P11">
        <v>-0.30499999999999999</v>
      </c>
      <c r="Q11">
        <v>-0.56299999999999994</v>
      </c>
      <c r="R11">
        <v>-0.73199999999999998</v>
      </c>
      <c r="S11">
        <v>-0.71099999999999997</v>
      </c>
      <c r="T11">
        <v>-0.61899999999999999</v>
      </c>
      <c r="U11">
        <v>-0.626</v>
      </c>
      <c r="V11">
        <v>-0.51100000000000001</v>
      </c>
      <c r="W11">
        <v>-0.108</v>
      </c>
      <c r="X11">
        <v>0.156</v>
      </c>
      <c r="Y11">
        <v>-4.7E-2</v>
      </c>
      <c r="Z11">
        <v>7.0000000000000007E-2</v>
      </c>
      <c r="AA11">
        <v>0.254</v>
      </c>
      <c r="AB11">
        <v>-0.20699999999999999</v>
      </c>
      <c r="AC11">
        <v>-0.36099999999999999</v>
      </c>
      <c r="AD11">
        <v>-0.245</v>
      </c>
      <c r="AE11">
        <v>-0.16200000000000001</v>
      </c>
      <c r="AF11">
        <v>-0.36</v>
      </c>
      <c r="AG11">
        <v>-0.56799999999999995</v>
      </c>
      <c r="AH11">
        <v>-0.44400000000000001</v>
      </c>
      <c r="AI11">
        <v>-0.187</v>
      </c>
      <c r="AJ11">
        <v>-0.24199999999999999</v>
      </c>
      <c r="AK11">
        <v>-0.55400000000000005</v>
      </c>
      <c r="AL11">
        <v>-0.60499999999999998</v>
      </c>
      <c r="AM11">
        <v>-0.60099999999999998</v>
      </c>
      <c r="AN11">
        <v>-0.69699999999999995</v>
      </c>
      <c r="AO11">
        <v>-0.67700000000000005</v>
      </c>
      <c r="AP11">
        <v>-0.68</v>
      </c>
      <c r="AQ11">
        <v>-0.73399999999999999</v>
      </c>
      <c r="AR11">
        <v>-0.63700000000000001</v>
      </c>
      <c r="AS11">
        <v>-0.55400000000000005</v>
      </c>
      <c r="AT11">
        <v>-0.66200000000000003</v>
      </c>
      <c r="AU11">
        <v>-0.70599999999999996</v>
      </c>
      <c r="AV11">
        <v>-0.745</v>
      </c>
      <c r="AW11">
        <v>-0.46400000000000002</v>
      </c>
      <c r="AX11">
        <v>0.13</v>
      </c>
      <c r="AY11">
        <v>4.9000000000000002E-2</v>
      </c>
      <c r="AZ11">
        <v>-7.2999999999999995E-2</v>
      </c>
      <c r="BA11">
        <v>-0.14000000000000001</v>
      </c>
      <c r="BB11">
        <v>-0.05</v>
      </c>
      <c r="BC11">
        <v>-0.32500000000000001</v>
      </c>
      <c r="BD11">
        <v>-0.51800000000000002</v>
      </c>
      <c r="BE11">
        <v>-0.442</v>
      </c>
      <c r="BF11">
        <v>-0.47699999999999998</v>
      </c>
      <c r="BG11">
        <v>-0.48699999999999999</v>
      </c>
      <c r="BH11">
        <v>-0.36099999999999999</v>
      </c>
      <c r="BI11">
        <v>-0.32600000000000001</v>
      </c>
      <c r="BJ11">
        <v>-0.36</v>
      </c>
      <c r="BK11">
        <v>-0.41799999999999998</v>
      </c>
      <c r="BL11">
        <v>-0.54900000000000004</v>
      </c>
    </row>
    <row r="12" spans="1:64" x14ac:dyDescent="0.25">
      <c r="A12">
        <v>-0.46</v>
      </c>
      <c r="B12">
        <v>-0.45900000000000002</v>
      </c>
      <c r="C12">
        <v>-0.41299999999999998</v>
      </c>
      <c r="D12">
        <v>-0.41499999999999998</v>
      </c>
      <c r="E12">
        <v>-0.38600000000000001</v>
      </c>
      <c r="F12">
        <v>-0.36099999999999999</v>
      </c>
      <c r="G12">
        <v>-0.42899999999999999</v>
      </c>
      <c r="H12">
        <v>-0.35799999999999998</v>
      </c>
      <c r="I12">
        <v>-0.221</v>
      </c>
      <c r="J12">
        <v>-0.17799999999999999</v>
      </c>
      <c r="K12">
        <v>-0.20799999999999999</v>
      </c>
      <c r="L12">
        <v>-0.153</v>
      </c>
      <c r="M12">
        <v>-0.22700000000000001</v>
      </c>
      <c r="N12">
        <v>-0.318</v>
      </c>
      <c r="O12">
        <v>-0.253</v>
      </c>
      <c r="P12">
        <v>-0.20100000000000001</v>
      </c>
      <c r="Q12">
        <v>-0.53800000000000003</v>
      </c>
      <c r="R12">
        <v>-0.751</v>
      </c>
      <c r="S12">
        <v>-0.64700000000000002</v>
      </c>
      <c r="T12">
        <v>-0.60199999999999998</v>
      </c>
      <c r="U12">
        <v>-0.59199999999999997</v>
      </c>
      <c r="V12">
        <v>-0.44600000000000001</v>
      </c>
      <c r="W12">
        <v>-0.109</v>
      </c>
      <c r="X12">
        <v>0.222</v>
      </c>
      <c r="Y12">
        <v>-8.5999999999999993E-2</v>
      </c>
      <c r="Z12">
        <v>-0.13400000000000001</v>
      </c>
      <c r="AA12">
        <v>6.9000000000000006E-2</v>
      </c>
      <c r="AB12">
        <v>-0.22500000000000001</v>
      </c>
      <c r="AC12">
        <v>-0.251</v>
      </c>
      <c r="AD12">
        <v>-0.155</v>
      </c>
      <c r="AE12">
        <v>-8.1000000000000003E-2</v>
      </c>
      <c r="AF12">
        <v>-0.27700000000000002</v>
      </c>
      <c r="AG12">
        <v>-0.53700000000000003</v>
      </c>
      <c r="AH12">
        <v>-0.44</v>
      </c>
      <c r="AI12">
        <v>-0.40200000000000002</v>
      </c>
      <c r="AJ12">
        <v>-0.61</v>
      </c>
      <c r="AK12">
        <v>-0.64900000000000002</v>
      </c>
      <c r="AL12">
        <v>-0.56100000000000005</v>
      </c>
      <c r="AM12">
        <v>-0.54800000000000004</v>
      </c>
      <c r="AN12">
        <v>-0.61099999999999999</v>
      </c>
      <c r="AO12">
        <v>-0.58899999999999997</v>
      </c>
      <c r="AP12">
        <v>-0.60699999999999998</v>
      </c>
      <c r="AQ12">
        <v>-0.75</v>
      </c>
      <c r="AR12">
        <v>-0.72599999999999998</v>
      </c>
      <c r="AS12">
        <v>-0.66800000000000004</v>
      </c>
      <c r="AT12">
        <v>-0.73899999999999999</v>
      </c>
      <c r="AU12">
        <v>-0.65500000000000003</v>
      </c>
      <c r="AV12">
        <v>-0.60299999999999998</v>
      </c>
      <c r="AW12">
        <v>-0.32800000000000001</v>
      </c>
      <c r="AX12">
        <v>3.6999999999999998E-2</v>
      </c>
      <c r="AY12">
        <v>-9.1999999999999998E-2</v>
      </c>
      <c r="AZ12">
        <v>-0.14899999999999999</v>
      </c>
      <c r="BA12">
        <v>7.0000000000000001E-3</v>
      </c>
      <c r="BB12">
        <v>-8.3000000000000004E-2</v>
      </c>
      <c r="BC12">
        <v>-0.499</v>
      </c>
      <c r="BD12">
        <v>-0.58699999999999997</v>
      </c>
      <c r="BE12">
        <v>-0.41599999999999998</v>
      </c>
      <c r="BF12">
        <v>-0.28699999999999998</v>
      </c>
      <c r="BG12">
        <v>-0.12</v>
      </c>
      <c r="BH12">
        <v>-0.109</v>
      </c>
      <c r="BI12">
        <v>-0.42399999999999999</v>
      </c>
      <c r="BJ12">
        <v>-0.499</v>
      </c>
      <c r="BK12">
        <v>-0.48499999999999999</v>
      </c>
      <c r="BL12">
        <v>-0.51400000000000001</v>
      </c>
    </row>
    <row r="13" spans="1:64" x14ac:dyDescent="0.25">
      <c r="A13">
        <v>-0.33500000000000002</v>
      </c>
      <c r="B13">
        <v>-0.313</v>
      </c>
      <c r="C13">
        <v>-0.39300000000000002</v>
      </c>
      <c r="D13">
        <v>-0.53800000000000003</v>
      </c>
      <c r="E13">
        <v>-0.38700000000000001</v>
      </c>
      <c r="F13">
        <v>-0.13600000000000001</v>
      </c>
      <c r="G13">
        <v>-0.29799999999999999</v>
      </c>
      <c r="H13">
        <v>-0.47</v>
      </c>
      <c r="I13">
        <v>-0.26700000000000002</v>
      </c>
      <c r="J13">
        <v>-0.122</v>
      </c>
      <c r="K13">
        <v>-0.156</v>
      </c>
      <c r="L13">
        <v>7.0000000000000001E-3</v>
      </c>
      <c r="M13">
        <v>-0.26900000000000002</v>
      </c>
      <c r="N13">
        <v>-0.312</v>
      </c>
      <c r="O13">
        <v>-0.13600000000000001</v>
      </c>
      <c r="P13">
        <v>-0.157</v>
      </c>
      <c r="Q13">
        <v>-0.54900000000000004</v>
      </c>
      <c r="R13">
        <v>-0.70199999999999996</v>
      </c>
      <c r="S13">
        <v>-0.58299999999999996</v>
      </c>
      <c r="T13">
        <v>-0.70899999999999996</v>
      </c>
      <c r="U13">
        <v>-0.60599999999999998</v>
      </c>
      <c r="V13">
        <v>-0.20599999999999999</v>
      </c>
      <c r="W13">
        <v>-3.0000000000000001E-3</v>
      </c>
      <c r="X13">
        <v>9.6000000000000002E-2</v>
      </c>
      <c r="Y13">
        <v>-8.2000000000000003E-2</v>
      </c>
      <c r="Z13">
        <v>-0.23599999999999999</v>
      </c>
      <c r="AA13">
        <v>-0.13500000000000001</v>
      </c>
      <c r="AB13">
        <v>-9.2999999999999999E-2</v>
      </c>
      <c r="AC13">
        <v>-0.13300000000000001</v>
      </c>
      <c r="AD13">
        <v>-0.161</v>
      </c>
      <c r="AE13">
        <v>-5.5E-2</v>
      </c>
      <c r="AF13">
        <v>-0.17399999999999999</v>
      </c>
      <c r="AG13">
        <v>-0.57999999999999996</v>
      </c>
      <c r="AH13">
        <v>-0.59399999999999997</v>
      </c>
      <c r="AI13">
        <v>-0.56899999999999995</v>
      </c>
      <c r="AJ13">
        <v>-0.72699999999999998</v>
      </c>
      <c r="AK13">
        <v>-0.74199999999999999</v>
      </c>
      <c r="AL13">
        <v>-0.60199999999999998</v>
      </c>
      <c r="AM13">
        <v>-0.49199999999999999</v>
      </c>
      <c r="AN13">
        <v>-0.624</v>
      </c>
      <c r="AO13">
        <v>-0.61099999999999999</v>
      </c>
      <c r="AP13">
        <v>-0.50800000000000001</v>
      </c>
      <c r="AQ13">
        <v>-0.68500000000000005</v>
      </c>
      <c r="AR13">
        <v>-0.71299999999999997</v>
      </c>
      <c r="AS13">
        <v>-0.72799999999999998</v>
      </c>
      <c r="AT13">
        <v>-0.77700000000000002</v>
      </c>
      <c r="AU13">
        <v>-0.65400000000000003</v>
      </c>
      <c r="AV13">
        <v>-0.54100000000000004</v>
      </c>
      <c r="AW13">
        <v>-0.36</v>
      </c>
      <c r="AX13">
        <v>-5.7000000000000002E-2</v>
      </c>
      <c r="AY13">
        <v>-4.0000000000000001E-3</v>
      </c>
      <c r="AZ13">
        <v>-0.01</v>
      </c>
      <c r="BA13">
        <v>0.02</v>
      </c>
      <c r="BB13">
        <v>-0.20100000000000001</v>
      </c>
      <c r="BC13">
        <v>-0.48</v>
      </c>
      <c r="BD13">
        <v>-0.629</v>
      </c>
      <c r="BE13">
        <v>-0.46100000000000002</v>
      </c>
      <c r="BF13">
        <v>8.3000000000000004E-2</v>
      </c>
      <c r="BG13">
        <v>0.16400000000000001</v>
      </c>
      <c r="BH13">
        <v>-0.14599999999999999</v>
      </c>
      <c r="BI13">
        <v>-0.42499999999999999</v>
      </c>
      <c r="BJ13">
        <v>-0.496</v>
      </c>
      <c r="BK13">
        <v>-0.46400000000000002</v>
      </c>
      <c r="BL13">
        <v>-0.45900000000000002</v>
      </c>
    </row>
    <row r="14" spans="1:64" x14ac:dyDescent="0.25">
      <c r="A14">
        <v>-1E-3</v>
      </c>
      <c r="B14">
        <v>-6.7000000000000004E-2</v>
      </c>
      <c r="C14">
        <v>-0.38</v>
      </c>
      <c r="D14">
        <v>-0.48899999999999999</v>
      </c>
      <c r="E14">
        <v>-0.37</v>
      </c>
      <c r="F14">
        <v>-0.33600000000000002</v>
      </c>
      <c r="G14">
        <v>-0.29199999999999998</v>
      </c>
      <c r="H14">
        <v>-0.376</v>
      </c>
      <c r="I14">
        <v>-0.34699999999999998</v>
      </c>
      <c r="J14">
        <v>-0.28499999999999998</v>
      </c>
      <c r="K14">
        <v>-0.13300000000000001</v>
      </c>
      <c r="L14">
        <v>4.3999999999999997E-2</v>
      </c>
      <c r="M14">
        <v>-0.23799999999999999</v>
      </c>
      <c r="N14">
        <v>-0.17599999999999999</v>
      </c>
      <c r="O14">
        <v>0.13800000000000001</v>
      </c>
      <c r="P14">
        <v>1E-3</v>
      </c>
      <c r="Q14">
        <v>-0.41699999999999998</v>
      </c>
      <c r="R14">
        <v>-0.47799999999999998</v>
      </c>
      <c r="S14">
        <v>-0.56799999999999995</v>
      </c>
      <c r="T14">
        <v>-0.77700000000000002</v>
      </c>
      <c r="U14">
        <v>-0.67200000000000004</v>
      </c>
      <c r="V14">
        <v>-0.252</v>
      </c>
      <c r="W14">
        <v>-0.02</v>
      </c>
      <c r="X14">
        <v>-0.11</v>
      </c>
      <c r="Y14">
        <v>-0.04</v>
      </c>
      <c r="Z14">
        <v>-5.5E-2</v>
      </c>
      <c r="AA14">
        <v>-7.6999999999999999E-2</v>
      </c>
      <c r="AB14">
        <v>0.157</v>
      </c>
      <c r="AC14">
        <v>-0.17899999999999999</v>
      </c>
      <c r="AD14">
        <v>-0.38600000000000001</v>
      </c>
      <c r="AE14">
        <v>-0.21299999999999999</v>
      </c>
      <c r="AF14">
        <v>-0.21099999999999999</v>
      </c>
      <c r="AG14">
        <v>-0.44600000000000001</v>
      </c>
      <c r="AH14">
        <v>-0.55700000000000005</v>
      </c>
      <c r="AI14">
        <v>-0.60299999999999998</v>
      </c>
      <c r="AJ14">
        <v>-0.71399999999999997</v>
      </c>
      <c r="AK14">
        <v>-0.71799999999999997</v>
      </c>
      <c r="AL14">
        <v>-0.59099999999999997</v>
      </c>
      <c r="AM14">
        <v>-0.6</v>
      </c>
      <c r="AN14">
        <v>-0.70099999999999996</v>
      </c>
      <c r="AO14">
        <v>-0.56899999999999995</v>
      </c>
      <c r="AP14">
        <v>-0.43</v>
      </c>
      <c r="AQ14">
        <v>-0.56100000000000005</v>
      </c>
      <c r="AR14">
        <v>-0.63700000000000001</v>
      </c>
      <c r="AS14">
        <v>-0.77700000000000002</v>
      </c>
      <c r="AT14">
        <v>-0.83899999999999997</v>
      </c>
      <c r="AU14">
        <v>-0.71</v>
      </c>
      <c r="AV14">
        <v>-0.59199999999999997</v>
      </c>
      <c r="AW14">
        <v>-0.44600000000000001</v>
      </c>
      <c r="AX14">
        <v>-0.128</v>
      </c>
      <c r="AY14">
        <v>3.1E-2</v>
      </c>
      <c r="AZ14">
        <v>5.1999999999999998E-2</v>
      </c>
      <c r="BA14">
        <v>-0.107</v>
      </c>
      <c r="BB14">
        <v>-0.20399999999999999</v>
      </c>
      <c r="BC14">
        <v>-0.40400000000000003</v>
      </c>
      <c r="BD14">
        <v>-0.60799999999999998</v>
      </c>
      <c r="BE14">
        <v>-0.505</v>
      </c>
      <c r="BF14">
        <v>0.182</v>
      </c>
      <c r="BG14">
        <v>0.153</v>
      </c>
      <c r="BH14">
        <v>-0.27100000000000002</v>
      </c>
      <c r="BI14">
        <v>-0.371</v>
      </c>
      <c r="BJ14">
        <v>-0.41199999999999998</v>
      </c>
      <c r="BK14">
        <v>-0.40300000000000002</v>
      </c>
      <c r="BL14">
        <v>-0.45900000000000002</v>
      </c>
    </row>
    <row r="15" spans="1:64" x14ac:dyDescent="0.25">
      <c r="A15">
        <v>0.252</v>
      </c>
      <c r="B15">
        <v>8.5999999999999993E-2</v>
      </c>
      <c r="C15">
        <v>-0.375</v>
      </c>
      <c r="D15">
        <v>-0.33100000000000002</v>
      </c>
      <c r="E15">
        <v>-0.28899999999999998</v>
      </c>
      <c r="F15">
        <v>-0.52700000000000002</v>
      </c>
      <c r="G15">
        <v>-0.33</v>
      </c>
      <c r="H15">
        <v>-0.23100000000000001</v>
      </c>
      <c r="I15">
        <v>-0.37</v>
      </c>
      <c r="J15">
        <v>-0.432</v>
      </c>
      <c r="K15">
        <v>-0.183</v>
      </c>
      <c r="L15">
        <v>-3.4000000000000002E-2</v>
      </c>
      <c r="M15">
        <v>-0.188</v>
      </c>
      <c r="N15">
        <v>-7.6999999999999999E-2</v>
      </c>
      <c r="O15">
        <v>0.28599999999999998</v>
      </c>
      <c r="P15">
        <v>0.253</v>
      </c>
      <c r="Q15">
        <v>-0.14899999999999999</v>
      </c>
      <c r="R15">
        <v>-0.35</v>
      </c>
      <c r="S15">
        <v>-0.68200000000000005</v>
      </c>
      <c r="T15">
        <v>-0.83499999999999996</v>
      </c>
      <c r="U15">
        <v>-0.71199999999999997</v>
      </c>
      <c r="V15">
        <v>-0.46700000000000003</v>
      </c>
      <c r="W15">
        <v>-0.30399999999999999</v>
      </c>
      <c r="X15">
        <v>-0.22800000000000001</v>
      </c>
      <c r="Y15">
        <v>-2E-3</v>
      </c>
      <c r="Z15">
        <v>0.16200000000000001</v>
      </c>
      <c r="AA15">
        <v>0.115</v>
      </c>
      <c r="AB15">
        <v>0.32300000000000001</v>
      </c>
      <c r="AC15">
        <v>-0.2</v>
      </c>
      <c r="AD15">
        <v>-0.57599999999999996</v>
      </c>
      <c r="AE15">
        <v>-0.41499999999999998</v>
      </c>
      <c r="AF15">
        <v>-0.3</v>
      </c>
      <c r="AG15">
        <v>-0.32400000000000001</v>
      </c>
      <c r="AH15">
        <v>-0.45400000000000001</v>
      </c>
      <c r="AI15">
        <v>-0.67</v>
      </c>
      <c r="AJ15">
        <v>-0.70399999999999996</v>
      </c>
      <c r="AK15">
        <v>-0.63800000000000001</v>
      </c>
      <c r="AL15">
        <v>-0.55600000000000005</v>
      </c>
      <c r="AM15">
        <v>-0.69499999999999995</v>
      </c>
      <c r="AN15">
        <v>-0.8</v>
      </c>
      <c r="AO15">
        <v>-0.65400000000000003</v>
      </c>
      <c r="AP15">
        <v>-0.51700000000000002</v>
      </c>
      <c r="AQ15">
        <v>-0.50900000000000001</v>
      </c>
      <c r="AR15">
        <v>-0.56499999999999995</v>
      </c>
      <c r="AS15">
        <v>-0.77300000000000002</v>
      </c>
      <c r="AT15">
        <v>-0.84499999999999997</v>
      </c>
      <c r="AU15">
        <v>-0.751</v>
      </c>
      <c r="AV15">
        <v>-0.68899999999999995</v>
      </c>
      <c r="AW15">
        <v>-0.502</v>
      </c>
      <c r="AX15">
        <v>-6.8000000000000005E-2</v>
      </c>
      <c r="AY15">
        <v>-8.0000000000000002E-3</v>
      </c>
      <c r="AZ15">
        <v>7.0000000000000001E-3</v>
      </c>
      <c r="BA15">
        <v>-0.248</v>
      </c>
      <c r="BB15">
        <v>-0.14599999999999999</v>
      </c>
      <c r="BC15">
        <v>-0.39200000000000002</v>
      </c>
      <c r="BD15">
        <v>-0.64300000000000002</v>
      </c>
      <c r="BE15">
        <v>-0.505</v>
      </c>
      <c r="BF15">
        <v>3.6999999999999998E-2</v>
      </c>
      <c r="BG15">
        <v>-8.0000000000000002E-3</v>
      </c>
      <c r="BH15">
        <v>-0.34599999999999997</v>
      </c>
      <c r="BI15">
        <v>-0.33700000000000002</v>
      </c>
      <c r="BJ15">
        <v>-0.23799999999999999</v>
      </c>
      <c r="BK15">
        <v>-0.39900000000000002</v>
      </c>
      <c r="BL15">
        <v>-0.52900000000000003</v>
      </c>
    </row>
    <row r="16" spans="1:64" x14ac:dyDescent="0.25">
      <c r="A16">
        <v>0.246</v>
      </c>
      <c r="B16">
        <v>7.0999999999999994E-2</v>
      </c>
      <c r="C16">
        <v>-0.23</v>
      </c>
      <c r="D16">
        <v>-0.04</v>
      </c>
      <c r="E16">
        <v>-0.23300000000000001</v>
      </c>
      <c r="F16">
        <v>-0.57699999999999996</v>
      </c>
      <c r="G16">
        <v>-0.29699999999999999</v>
      </c>
      <c r="H16">
        <v>-0.2</v>
      </c>
      <c r="I16">
        <v>-0.41499999999999998</v>
      </c>
      <c r="J16">
        <v>-0.441</v>
      </c>
      <c r="K16">
        <v>-0.27400000000000002</v>
      </c>
      <c r="L16">
        <v>-0.14799999999999999</v>
      </c>
      <c r="M16">
        <v>-0.11700000000000001</v>
      </c>
      <c r="N16">
        <v>2.9000000000000001E-2</v>
      </c>
      <c r="O16">
        <v>0.38</v>
      </c>
      <c r="P16">
        <v>0.42099999999999999</v>
      </c>
      <c r="Q16">
        <v>3.5999999999999997E-2</v>
      </c>
      <c r="R16">
        <v>-0.35799999999999998</v>
      </c>
      <c r="S16">
        <v>-0.71599999999999997</v>
      </c>
      <c r="T16">
        <v>-0.8</v>
      </c>
      <c r="U16">
        <v>-0.68</v>
      </c>
      <c r="V16">
        <v>-0.53500000000000003</v>
      </c>
      <c r="W16">
        <v>-0.45200000000000001</v>
      </c>
      <c r="X16">
        <v>-0.48299999999999998</v>
      </c>
      <c r="Y16">
        <v>-0.113</v>
      </c>
      <c r="Z16">
        <v>0.14799999999999999</v>
      </c>
      <c r="AA16">
        <v>0.221</v>
      </c>
      <c r="AB16">
        <v>0.45400000000000001</v>
      </c>
      <c r="AC16">
        <v>-2.9000000000000001E-2</v>
      </c>
      <c r="AD16">
        <v>-0.50900000000000001</v>
      </c>
      <c r="AE16">
        <v>-0.441</v>
      </c>
      <c r="AF16">
        <v>-0.42899999999999999</v>
      </c>
      <c r="AG16">
        <v>-0.41099999999999998</v>
      </c>
      <c r="AH16">
        <v>-0.51100000000000001</v>
      </c>
      <c r="AI16">
        <v>-0.67200000000000004</v>
      </c>
      <c r="AJ16">
        <v>-0.69199999999999995</v>
      </c>
      <c r="AK16">
        <v>-0.59499999999999997</v>
      </c>
      <c r="AL16">
        <v>-0.49299999999999999</v>
      </c>
      <c r="AM16">
        <v>-0.70699999999999996</v>
      </c>
      <c r="AN16">
        <v>-0.83799999999999997</v>
      </c>
      <c r="AO16">
        <v>-0.71599999999999997</v>
      </c>
      <c r="AP16">
        <v>-0.53900000000000003</v>
      </c>
      <c r="AQ16">
        <v>-0.54</v>
      </c>
      <c r="AR16">
        <v>-0.65300000000000002</v>
      </c>
      <c r="AS16">
        <v>-0.73799999999999999</v>
      </c>
      <c r="AT16">
        <v>-0.77200000000000002</v>
      </c>
      <c r="AU16">
        <v>-0.73799999999999999</v>
      </c>
      <c r="AV16">
        <v>-0.75900000000000001</v>
      </c>
      <c r="AW16">
        <v>-0.58099999999999996</v>
      </c>
      <c r="AX16">
        <v>6.2E-2</v>
      </c>
      <c r="AY16">
        <v>1.2E-2</v>
      </c>
      <c r="AZ16">
        <v>-0.20100000000000001</v>
      </c>
      <c r="BA16">
        <v>-0.20200000000000001</v>
      </c>
      <c r="BB16">
        <v>0.05</v>
      </c>
      <c r="BC16">
        <v>-0.36799999999999999</v>
      </c>
      <c r="BD16">
        <v>-0.69399999999999995</v>
      </c>
      <c r="BE16">
        <v>-0.47299999999999998</v>
      </c>
      <c r="BF16">
        <v>-0.115</v>
      </c>
      <c r="BG16">
        <v>-0.33</v>
      </c>
      <c r="BH16">
        <v>-0.376</v>
      </c>
      <c r="BI16">
        <v>-0.23499999999999999</v>
      </c>
      <c r="BJ16">
        <v>-8.1000000000000003E-2</v>
      </c>
      <c r="BK16">
        <v>-0.49399999999999999</v>
      </c>
      <c r="BL16">
        <v>-0.622</v>
      </c>
    </row>
    <row r="17" spans="1:64" x14ac:dyDescent="0.25">
      <c r="A17">
        <v>0.22600000000000001</v>
      </c>
      <c r="B17">
        <v>3.0000000000000001E-3</v>
      </c>
      <c r="C17">
        <v>-8.2000000000000003E-2</v>
      </c>
      <c r="D17">
        <v>0.13300000000000001</v>
      </c>
      <c r="E17">
        <v>-0.22800000000000001</v>
      </c>
      <c r="F17">
        <v>-0.52300000000000002</v>
      </c>
      <c r="G17">
        <v>-0.19800000000000001</v>
      </c>
      <c r="H17">
        <v>-0.122</v>
      </c>
      <c r="I17">
        <v>-0.43099999999999999</v>
      </c>
      <c r="J17">
        <v>-0.437</v>
      </c>
      <c r="K17">
        <v>-0.39500000000000002</v>
      </c>
      <c r="L17">
        <v>-0.29599999999999999</v>
      </c>
      <c r="M17">
        <v>-0.122</v>
      </c>
      <c r="N17">
        <v>0.17299999999999999</v>
      </c>
      <c r="O17">
        <v>0.52400000000000002</v>
      </c>
      <c r="P17">
        <v>0.47199999999999998</v>
      </c>
      <c r="Q17">
        <v>-3.0000000000000001E-3</v>
      </c>
      <c r="R17">
        <v>-0.39800000000000002</v>
      </c>
      <c r="S17">
        <v>-0.66900000000000004</v>
      </c>
      <c r="T17">
        <v>-0.66700000000000004</v>
      </c>
      <c r="U17">
        <v>-0.61399999999999999</v>
      </c>
      <c r="V17">
        <v>-0.57099999999999995</v>
      </c>
      <c r="W17">
        <v>-0.44700000000000001</v>
      </c>
      <c r="X17">
        <v>-0.626</v>
      </c>
      <c r="Y17">
        <v>-0.30599999999999999</v>
      </c>
      <c r="Z17">
        <v>6.2E-2</v>
      </c>
      <c r="AA17">
        <v>0.221</v>
      </c>
      <c r="AB17">
        <v>0.47</v>
      </c>
      <c r="AC17">
        <v>6.5000000000000002E-2</v>
      </c>
      <c r="AD17">
        <v>-0.21299999999999999</v>
      </c>
      <c r="AE17">
        <v>-0.372</v>
      </c>
      <c r="AF17">
        <v>-0.56399999999999995</v>
      </c>
      <c r="AG17">
        <v>-0.58599999999999997</v>
      </c>
      <c r="AH17">
        <v>-0.68300000000000005</v>
      </c>
      <c r="AI17">
        <v>-0.69499999999999995</v>
      </c>
      <c r="AJ17">
        <v>-0.69199999999999995</v>
      </c>
      <c r="AK17">
        <v>-0.66300000000000003</v>
      </c>
      <c r="AL17">
        <v>-0.53700000000000003</v>
      </c>
      <c r="AM17">
        <v>-0.63600000000000001</v>
      </c>
      <c r="AN17">
        <v>-0.82199999999999995</v>
      </c>
      <c r="AO17">
        <v>-0.73399999999999999</v>
      </c>
      <c r="AP17">
        <v>-0.39500000000000002</v>
      </c>
      <c r="AQ17">
        <v>-0.57199999999999995</v>
      </c>
      <c r="AR17">
        <v>-0.755</v>
      </c>
      <c r="AS17">
        <v>-0.77</v>
      </c>
      <c r="AT17">
        <v>-0.70499999999999996</v>
      </c>
      <c r="AU17">
        <v>-0.68100000000000005</v>
      </c>
      <c r="AV17">
        <v>-0.77900000000000003</v>
      </c>
      <c r="AW17">
        <v>-0.65800000000000003</v>
      </c>
      <c r="AX17">
        <v>0</v>
      </c>
      <c r="AY17">
        <v>-6.9000000000000006E-2</v>
      </c>
      <c r="AZ17">
        <v>-0.33300000000000002</v>
      </c>
      <c r="BA17">
        <v>-0.112</v>
      </c>
      <c r="BB17">
        <v>0.192</v>
      </c>
      <c r="BC17">
        <v>-0.32700000000000001</v>
      </c>
      <c r="BD17">
        <v>-0.70399999999999996</v>
      </c>
      <c r="BE17">
        <v>-0.45100000000000001</v>
      </c>
      <c r="BF17">
        <v>-3.6999999999999998E-2</v>
      </c>
      <c r="BG17">
        <v>-0.49199999999999999</v>
      </c>
      <c r="BH17">
        <v>-0.45700000000000002</v>
      </c>
      <c r="BI17">
        <v>-9.2999999999999999E-2</v>
      </c>
      <c r="BJ17">
        <v>-0.19900000000000001</v>
      </c>
      <c r="BK17">
        <v>-0.57699999999999996</v>
      </c>
      <c r="BL17">
        <v>-0.68500000000000005</v>
      </c>
    </row>
    <row r="18" spans="1:64" x14ac:dyDescent="0.25">
      <c r="A18">
        <v>-0.13700000000000001</v>
      </c>
      <c r="B18">
        <v>-0.24</v>
      </c>
      <c r="C18">
        <v>-2.5999999999999999E-2</v>
      </c>
      <c r="D18">
        <v>4.8000000000000001E-2</v>
      </c>
      <c r="E18">
        <v>-0.23200000000000001</v>
      </c>
      <c r="F18">
        <v>-0.28499999999999998</v>
      </c>
      <c r="G18">
        <v>-0.13</v>
      </c>
      <c r="H18">
        <v>-0.27600000000000002</v>
      </c>
      <c r="I18">
        <v>-0.34699999999999998</v>
      </c>
      <c r="J18">
        <v>-0.22600000000000001</v>
      </c>
      <c r="K18">
        <v>-0.52800000000000002</v>
      </c>
      <c r="L18">
        <v>-0.51900000000000002</v>
      </c>
      <c r="M18">
        <v>-0.112</v>
      </c>
      <c r="N18">
        <v>0.22900000000000001</v>
      </c>
      <c r="O18">
        <v>0.48299999999999998</v>
      </c>
      <c r="P18">
        <v>0.34699999999999998</v>
      </c>
      <c r="Q18">
        <v>-8.5000000000000006E-2</v>
      </c>
      <c r="R18">
        <v>-0.32200000000000001</v>
      </c>
      <c r="S18">
        <v>-0.49099999999999999</v>
      </c>
      <c r="T18">
        <v>-0.49199999999999999</v>
      </c>
      <c r="U18">
        <v>-0.47799999999999998</v>
      </c>
      <c r="V18">
        <v>-0.44700000000000001</v>
      </c>
      <c r="W18">
        <v>-0.46100000000000002</v>
      </c>
      <c r="X18">
        <v>-0.61799999999999999</v>
      </c>
      <c r="Y18">
        <v>-0.23300000000000001</v>
      </c>
      <c r="Z18">
        <v>1.0999999999999999E-2</v>
      </c>
      <c r="AA18">
        <v>-1.0999999999999999E-2</v>
      </c>
      <c r="AB18">
        <v>0.188</v>
      </c>
      <c r="AC18">
        <v>-3.6999999999999998E-2</v>
      </c>
      <c r="AD18">
        <v>-2.4E-2</v>
      </c>
      <c r="AE18">
        <v>-0.26100000000000001</v>
      </c>
      <c r="AF18">
        <v>-0.54500000000000004</v>
      </c>
      <c r="AG18">
        <v>-0.57899999999999996</v>
      </c>
      <c r="AH18">
        <v>-0.69599999999999995</v>
      </c>
      <c r="AI18">
        <v>-0.68400000000000005</v>
      </c>
      <c r="AJ18">
        <v>-0.69099999999999995</v>
      </c>
      <c r="AK18">
        <v>-0.73699999999999999</v>
      </c>
      <c r="AL18">
        <v>-0.68</v>
      </c>
      <c r="AM18">
        <v>-0.64100000000000001</v>
      </c>
      <c r="AN18">
        <v>-0.76700000000000002</v>
      </c>
      <c r="AO18">
        <v>-0.70699999999999996</v>
      </c>
      <c r="AP18">
        <v>-0.46100000000000002</v>
      </c>
      <c r="AQ18">
        <v>-0.628</v>
      </c>
      <c r="AR18">
        <v>-0.75</v>
      </c>
      <c r="AS18">
        <v>-0.70299999999999996</v>
      </c>
      <c r="AT18">
        <v>-0.61499999999999999</v>
      </c>
      <c r="AU18">
        <v>-0.63900000000000001</v>
      </c>
      <c r="AV18">
        <v>-0.76200000000000001</v>
      </c>
      <c r="AW18">
        <v>-0.65800000000000003</v>
      </c>
      <c r="AX18">
        <v>-0.31900000000000001</v>
      </c>
      <c r="AY18">
        <v>-0.36499999999999999</v>
      </c>
      <c r="AZ18">
        <v>-0.30199999999999999</v>
      </c>
      <c r="BA18">
        <v>-4.9000000000000002E-2</v>
      </c>
      <c r="BB18">
        <v>0.23300000000000001</v>
      </c>
      <c r="BC18">
        <v>-0.24299999999999999</v>
      </c>
      <c r="BD18">
        <v>-0.70799999999999996</v>
      </c>
      <c r="BE18">
        <v>-0.51300000000000001</v>
      </c>
      <c r="BF18">
        <v>8.1000000000000003E-2</v>
      </c>
      <c r="BG18">
        <v>-0.36199999999999999</v>
      </c>
      <c r="BH18">
        <v>-0.49199999999999999</v>
      </c>
      <c r="BI18">
        <v>-0.20799999999999999</v>
      </c>
      <c r="BJ18">
        <v>-0.438</v>
      </c>
      <c r="BK18">
        <v>-0.498</v>
      </c>
      <c r="BL18">
        <v>-0.46100000000000002</v>
      </c>
    </row>
    <row r="19" spans="1:64" x14ac:dyDescent="0.25">
      <c r="A19">
        <v>-0.245</v>
      </c>
      <c r="B19">
        <v>-0.372</v>
      </c>
      <c r="C19">
        <v>-9.7000000000000003E-2</v>
      </c>
      <c r="D19">
        <v>-2.7E-2</v>
      </c>
      <c r="E19">
        <v>-0.309</v>
      </c>
      <c r="F19">
        <v>-2.4E-2</v>
      </c>
      <c r="G19">
        <v>3.7999999999999999E-2</v>
      </c>
      <c r="H19">
        <v>-0.46</v>
      </c>
      <c r="I19">
        <v>-0.28299999999999997</v>
      </c>
      <c r="J19">
        <v>8.7999999999999995E-2</v>
      </c>
      <c r="K19">
        <v>-0.54200000000000004</v>
      </c>
      <c r="L19">
        <v>-0.58099999999999996</v>
      </c>
      <c r="M19">
        <v>-0.115</v>
      </c>
      <c r="N19">
        <v>4.2999999999999997E-2</v>
      </c>
      <c r="O19">
        <v>0.33900000000000002</v>
      </c>
      <c r="P19">
        <v>0.36599999999999999</v>
      </c>
      <c r="Q19">
        <v>-0.13</v>
      </c>
      <c r="R19">
        <v>-0.41</v>
      </c>
      <c r="S19">
        <v>-0.42699999999999999</v>
      </c>
      <c r="T19">
        <v>-0.438</v>
      </c>
      <c r="U19">
        <v>-0.28999999999999998</v>
      </c>
      <c r="V19">
        <v>2.1999999999999999E-2</v>
      </c>
      <c r="W19">
        <v>-0.41699999999999998</v>
      </c>
      <c r="X19">
        <v>-0.53800000000000003</v>
      </c>
      <c r="Y19">
        <v>-0.16800000000000001</v>
      </c>
      <c r="Z19">
        <v>-0.14299999999999999</v>
      </c>
      <c r="AA19">
        <v>-0.114</v>
      </c>
      <c r="AB19">
        <v>-0.121</v>
      </c>
      <c r="AC19">
        <v>-0.26200000000000001</v>
      </c>
      <c r="AD19">
        <v>-8.1000000000000003E-2</v>
      </c>
      <c r="AE19">
        <v>-0.20599999999999999</v>
      </c>
      <c r="AF19">
        <v>-0.53100000000000003</v>
      </c>
      <c r="AG19">
        <v>-0.60299999999999998</v>
      </c>
      <c r="AH19">
        <v>-0.59299999999999997</v>
      </c>
      <c r="AI19">
        <v>-0.63800000000000001</v>
      </c>
      <c r="AJ19">
        <v>-0.72599999999999998</v>
      </c>
      <c r="AK19">
        <v>-0.78</v>
      </c>
      <c r="AL19">
        <v>-0.76400000000000001</v>
      </c>
      <c r="AM19">
        <v>-0.70099999999999996</v>
      </c>
      <c r="AN19">
        <v>-0.65100000000000002</v>
      </c>
      <c r="AO19">
        <v>-0.58699999999999997</v>
      </c>
      <c r="AP19">
        <v>-0.58499999999999996</v>
      </c>
      <c r="AQ19">
        <v>-0.66100000000000003</v>
      </c>
      <c r="AR19">
        <v>-0.70499999999999996</v>
      </c>
      <c r="AS19">
        <v>-0.58099999999999996</v>
      </c>
      <c r="AT19">
        <v>-0.45400000000000001</v>
      </c>
      <c r="AU19">
        <v>-0.60599999999999998</v>
      </c>
      <c r="AV19">
        <v>-0.72099999999999997</v>
      </c>
      <c r="AW19">
        <v>-0.66600000000000004</v>
      </c>
      <c r="AX19">
        <v>-0.61499999999999999</v>
      </c>
      <c r="AY19">
        <v>-0.55700000000000005</v>
      </c>
      <c r="AZ19">
        <v>-0.311</v>
      </c>
      <c r="BA19">
        <v>2.7E-2</v>
      </c>
      <c r="BB19">
        <v>0.28999999999999998</v>
      </c>
      <c r="BC19">
        <v>-0.14499999999999999</v>
      </c>
      <c r="BD19">
        <v>-0.625</v>
      </c>
      <c r="BE19">
        <v>-0.437</v>
      </c>
      <c r="BF19">
        <v>6.2E-2</v>
      </c>
      <c r="BG19">
        <v>-0.152</v>
      </c>
      <c r="BH19">
        <v>-0.47799999999999998</v>
      </c>
      <c r="BI19">
        <v>-0.41599999999999998</v>
      </c>
      <c r="BJ19">
        <v>-0.51600000000000001</v>
      </c>
      <c r="BK19">
        <v>-0.46400000000000002</v>
      </c>
      <c r="BL19">
        <v>-0.30099999999999999</v>
      </c>
    </row>
    <row r="20" spans="1:64" x14ac:dyDescent="0.25">
      <c r="A20">
        <v>-0.27</v>
      </c>
      <c r="B20">
        <v>-0.33500000000000002</v>
      </c>
      <c r="C20">
        <v>-0.26200000000000001</v>
      </c>
      <c r="D20">
        <v>-0.17100000000000001</v>
      </c>
      <c r="E20">
        <v>-0.316</v>
      </c>
      <c r="F20">
        <v>-6.0999999999999999E-2</v>
      </c>
      <c r="G20">
        <v>0.129</v>
      </c>
      <c r="H20">
        <v>-0.29799999999999999</v>
      </c>
      <c r="I20">
        <v>-0.17699999999999999</v>
      </c>
      <c r="J20">
        <v>6.3E-2</v>
      </c>
      <c r="K20">
        <v>-0.46500000000000002</v>
      </c>
      <c r="L20">
        <v>-0.51</v>
      </c>
      <c r="M20">
        <v>-0.25600000000000001</v>
      </c>
      <c r="N20">
        <v>-0.13600000000000001</v>
      </c>
      <c r="O20">
        <v>0.26900000000000002</v>
      </c>
      <c r="P20">
        <v>0.35699999999999998</v>
      </c>
      <c r="Q20">
        <v>-0.18</v>
      </c>
      <c r="R20">
        <v>-0.45100000000000001</v>
      </c>
      <c r="S20">
        <v>-0.40100000000000002</v>
      </c>
      <c r="T20">
        <v>-0.29499999999999998</v>
      </c>
      <c r="U20">
        <v>5.0000000000000001E-3</v>
      </c>
      <c r="V20">
        <v>0.27200000000000002</v>
      </c>
      <c r="W20">
        <v>-0.30499999999999999</v>
      </c>
      <c r="X20">
        <v>-0.40899999999999997</v>
      </c>
      <c r="Y20">
        <v>-0.23899999999999999</v>
      </c>
      <c r="Z20">
        <v>-0.42199999999999999</v>
      </c>
      <c r="AA20">
        <v>-0.23</v>
      </c>
      <c r="AB20">
        <v>-0.25700000000000001</v>
      </c>
      <c r="AC20">
        <v>-0.38300000000000001</v>
      </c>
      <c r="AD20">
        <v>-8.4000000000000005E-2</v>
      </c>
      <c r="AE20">
        <v>-0.158</v>
      </c>
      <c r="AF20">
        <v>-0.55600000000000005</v>
      </c>
      <c r="AG20">
        <v>-0.64500000000000002</v>
      </c>
      <c r="AH20">
        <v>-0.57999999999999996</v>
      </c>
      <c r="AI20">
        <v>-0.52500000000000002</v>
      </c>
      <c r="AJ20">
        <v>-0.65600000000000003</v>
      </c>
      <c r="AK20">
        <v>-0.77700000000000002</v>
      </c>
      <c r="AL20">
        <v>-0.77</v>
      </c>
      <c r="AM20">
        <v>-0.69799999999999995</v>
      </c>
      <c r="AN20">
        <v>-0.58899999999999997</v>
      </c>
      <c r="AO20">
        <v>-0.47299999999999998</v>
      </c>
      <c r="AP20">
        <v>-0.58199999999999996</v>
      </c>
      <c r="AQ20">
        <v>-0.64100000000000001</v>
      </c>
      <c r="AR20">
        <v>-0.50600000000000001</v>
      </c>
      <c r="AS20">
        <v>-0.435</v>
      </c>
      <c r="AT20">
        <v>-0.44900000000000001</v>
      </c>
      <c r="AU20">
        <v>-0.59599999999999997</v>
      </c>
      <c r="AV20">
        <v>-0.70899999999999996</v>
      </c>
      <c r="AW20">
        <v>-0.745</v>
      </c>
      <c r="AX20">
        <v>-0.73099999999999998</v>
      </c>
      <c r="AY20">
        <v>-0.504</v>
      </c>
      <c r="AZ20">
        <v>-0.307</v>
      </c>
      <c r="BA20">
        <v>-3.7999999999999999E-2</v>
      </c>
      <c r="BB20">
        <v>0.16300000000000001</v>
      </c>
      <c r="BC20">
        <v>-6.9000000000000006E-2</v>
      </c>
      <c r="BD20">
        <v>-0.376</v>
      </c>
      <c r="BE20">
        <v>-0.21</v>
      </c>
      <c r="BF20">
        <v>2.9000000000000001E-2</v>
      </c>
      <c r="BG20">
        <v>-0.20799999999999999</v>
      </c>
      <c r="BH20">
        <v>-0.44</v>
      </c>
      <c r="BI20">
        <v>-0.34100000000000003</v>
      </c>
      <c r="BJ20">
        <v>-0.442</v>
      </c>
      <c r="BK20">
        <v>-0.55300000000000005</v>
      </c>
      <c r="BL20">
        <v>-0.44800000000000001</v>
      </c>
    </row>
    <row r="21" spans="1:64" x14ac:dyDescent="0.25">
      <c r="A21">
        <v>-0.45100000000000001</v>
      </c>
      <c r="B21">
        <v>-0.29899999999999999</v>
      </c>
      <c r="C21">
        <v>-0.23599999999999999</v>
      </c>
      <c r="D21">
        <v>-0.26500000000000001</v>
      </c>
      <c r="E21">
        <v>-0.28100000000000003</v>
      </c>
      <c r="F21">
        <v>-0.14499999999999999</v>
      </c>
      <c r="G21">
        <v>0.14099999999999999</v>
      </c>
      <c r="H21">
        <v>2.4E-2</v>
      </c>
      <c r="I21">
        <v>-1.4E-2</v>
      </c>
      <c r="J21">
        <v>-9.7000000000000003E-2</v>
      </c>
      <c r="K21">
        <v>-0.44700000000000001</v>
      </c>
      <c r="L21">
        <v>-0.44700000000000001</v>
      </c>
      <c r="M21">
        <v>-0.26300000000000001</v>
      </c>
      <c r="N21">
        <v>-9.6000000000000002E-2</v>
      </c>
      <c r="O21">
        <v>0.15</v>
      </c>
      <c r="P21">
        <v>0.17499999999999999</v>
      </c>
      <c r="Q21">
        <v>-0.28499999999999998</v>
      </c>
      <c r="R21">
        <v>-0.40699999999999997</v>
      </c>
      <c r="S21">
        <v>-0.25900000000000001</v>
      </c>
      <c r="T21">
        <v>-0.115</v>
      </c>
      <c r="U21">
        <v>0.14899999999999999</v>
      </c>
      <c r="V21">
        <v>0.27200000000000002</v>
      </c>
      <c r="W21">
        <v>-8.5999999999999993E-2</v>
      </c>
      <c r="X21">
        <v>-0.27400000000000002</v>
      </c>
      <c r="Y21">
        <v>-0.30199999999999999</v>
      </c>
      <c r="Z21">
        <v>-0.50800000000000001</v>
      </c>
      <c r="AA21">
        <v>-0.49199999999999999</v>
      </c>
      <c r="AB21">
        <v>-0.443</v>
      </c>
      <c r="AC21">
        <v>-0.314</v>
      </c>
      <c r="AD21">
        <v>-2.8000000000000001E-2</v>
      </c>
      <c r="AE21">
        <v>-0.318</v>
      </c>
      <c r="AF21">
        <v>-0.58399999999999996</v>
      </c>
      <c r="AG21">
        <v>-0.59899999999999998</v>
      </c>
      <c r="AH21">
        <v>-0.68100000000000005</v>
      </c>
      <c r="AI21">
        <v>-0.59599999999999997</v>
      </c>
      <c r="AJ21">
        <v>-0.64</v>
      </c>
      <c r="AK21">
        <v>-0.77300000000000002</v>
      </c>
      <c r="AL21">
        <v>-0.75800000000000001</v>
      </c>
      <c r="AM21">
        <v>-0.66700000000000004</v>
      </c>
      <c r="AN21">
        <v>-0.57999999999999996</v>
      </c>
      <c r="AO21">
        <v>-0.44600000000000001</v>
      </c>
      <c r="AP21">
        <v>-0.51800000000000002</v>
      </c>
      <c r="AQ21">
        <v>-0.59</v>
      </c>
      <c r="AR21">
        <v>-0.20599999999999999</v>
      </c>
      <c r="AS21">
        <v>-0.432</v>
      </c>
      <c r="AT21">
        <v>-0.63100000000000001</v>
      </c>
      <c r="AU21">
        <v>-0.625</v>
      </c>
      <c r="AV21">
        <v>-0.73299999999999998</v>
      </c>
      <c r="AW21">
        <v>-0.77400000000000002</v>
      </c>
      <c r="AX21">
        <v>-0.71099999999999997</v>
      </c>
      <c r="AY21">
        <v>-0.42199999999999999</v>
      </c>
      <c r="AZ21">
        <v>-0.28999999999999998</v>
      </c>
      <c r="BA21">
        <v>-0.17699999999999999</v>
      </c>
      <c r="BB21">
        <v>-2.4E-2</v>
      </c>
      <c r="BC21">
        <v>6.3E-2</v>
      </c>
      <c r="BD21">
        <v>-8.5999999999999993E-2</v>
      </c>
      <c r="BE21">
        <v>-0.14599999999999999</v>
      </c>
      <c r="BF21">
        <v>-1.0999999999999999E-2</v>
      </c>
      <c r="BG21">
        <v>-0.40500000000000003</v>
      </c>
      <c r="BH21">
        <v>-0.502</v>
      </c>
      <c r="BI21">
        <v>-0.27</v>
      </c>
      <c r="BJ21">
        <v>-0.55800000000000005</v>
      </c>
      <c r="BK21">
        <v>-0.68899999999999995</v>
      </c>
      <c r="BL21">
        <v>-0.58299999999999996</v>
      </c>
    </row>
    <row r="22" spans="1:64" x14ac:dyDescent="0.25">
      <c r="A22">
        <v>-0.52800000000000002</v>
      </c>
      <c r="B22">
        <v>-0.373</v>
      </c>
      <c r="C22">
        <v>-0.10199999999999999</v>
      </c>
      <c r="D22">
        <v>-6.2E-2</v>
      </c>
      <c r="E22">
        <v>-0.215</v>
      </c>
      <c r="F22">
        <v>-0.22800000000000001</v>
      </c>
      <c r="G22">
        <v>0.1</v>
      </c>
      <c r="H22">
        <v>0.18099999999999999</v>
      </c>
      <c r="I22">
        <v>0.13400000000000001</v>
      </c>
      <c r="J22">
        <v>-0.04</v>
      </c>
      <c r="K22">
        <v>-0.45900000000000002</v>
      </c>
      <c r="L22">
        <v>-0.42899999999999999</v>
      </c>
      <c r="M22">
        <v>-0.17</v>
      </c>
      <c r="N22">
        <v>-0.106</v>
      </c>
      <c r="O22">
        <v>-8.5999999999999993E-2</v>
      </c>
      <c r="P22">
        <v>-1.6E-2</v>
      </c>
      <c r="Q22">
        <v>-0.30299999999999999</v>
      </c>
      <c r="R22">
        <v>-0.27400000000000002</v>
      </c>
      <c r="S22">
        <v>5.2999999999999999E-2</v>
      </c>
      <c r="T22">
        <v>3.5999999999999997E-2</v>
      </c>
      <c r="U22">
        <v>-7.6999999999999999E-2</v>
      </c>
      <c r="V22">
        <v>6.6000000000000003E-2</v>
      </c>
      <c r="W22">
        <v>0.10199999999999999</v>
      </c>
      <c r="X22">
        <v>-0.22700000000000001</v>
      </c>
      <c r="Y22">
        <v>-0.30599999999999999</v>
      </c>
      <c r="Z22">
        <v>-0.40400000000000003</v>
      </c>
      <c r="AA22">
        <v>-0.55300000000000005</v>
      </c>
      <c r="AB22">
        <v>-0.57699999999999996</v>
      </c>
      <c r="AC22">
        <v>-0.26500000000000001</v>
      </c>
      <c r="AD22">
        <v>-3.5000000000000003E-2</v>
      </c>
      <c r="AE22">
        <v>-0.44900000000000001</v>
      </c>
      <c r="AF22">
        <v>-0.52300000000000002</v>
      </c>
      <c r="AG22">
        <v>-0.51700000000000002</v>
      </c>
      <c r="AH22">
        <v>-0.71599999999999997</v>
      </c>
      <c r="AI22">
        <v>-0.60399999999999998</v>
      </c>
      <c r="AJ22">
        <v>-0.63500000000000001</v>
      </c>
      <c r="AK22">
        <v>-0.77500000000000002</v>
      </c>
      <c r="AL22">
        <v>-0.75</v>
      </c>
      <c r="AM22">
        <v>-0.53400000000000003</v>
      </c>
      <c r="AN22">
        <v>-0.36299999999999999</v>
      </c>
      <c r="AO22">
        <v>-0.47499999999999998</v>
      </c>
      <c r="AP22">
        <v>-0.504</v>
      </c>
      <c r="AQ22">
        <v>-0.48</v>
      </c>
      <c r="AR22">
        <v>-0.26500000000000001</v>
      </c>
      <c r="AS22">
        <v>-0.52400000000000002</v>
      </c>
      <c r="AT22">
        <v>-0.68300000000000005</v>
      </c>
      <c r="AU22">
        <v>-0.69399999999999995</v>
      </c>
      <c r="AV22">
        <v>-0.73099999999999998</v>
      </c>
      <c r="AW22">
        <v>-0.70499999999999996</v>
      </c>
      <c r="AX22">
        <v>-0.64500000000000002</v>
      </c>
      <c r="AY22">
        <v>-0.377</v>
      </c>
      <c r="AZ22">
        <v>-0.29199999999999998</v>
      </c>
      <c r="BA22">
        <v>-0.219</v>
      </c>
      <c r="BB22">
        <v>-1.9E-2</v>
      </c>
      <c r="BC22">
        <v>-1.2E-2</v>
      </c>
      <c r="BD22">
        <v>-0.17899999999999999</v>
      </c>
      <c r="BE22">
        <v>-0.21199999999999999</v>
      </c>
      <c r="BF22">
        <v>-0.113</v>
      </c>
      <c r="BG22">
        <v>-0.47299999999999998</v>
      </c>
      <c r="BH22">
        <v>-0.58199999999999996</v>
      </c>
      <c r="BI22">
        <v>-0.29299999999999998</v>
      </c>
      <c r="BJ22">
        <v>-0.48699999999999999</v>
      </c>
      <c r="BK22">
        <v>-0.72199999999999998</v>
      </c>
      <c r="BL22">
        <v>-0.64300000000000002</v>
      </c>
    </row>
    <row r="23" spans="1:64" x14ac:dyDescent="0.25">
      <c r="A23">
        <v>-0.45800000000000002</v>
      </c>
      <c r="B23">
        <v>-0.435</v>
      </c>
      <c r="C23">
        <v>-9.9000000000000005E-2</v>
      </c>
      <c r="D23">
        <v>0.13900000000000001</v>
      </c>
      <c r="E23">
        <v>-0.06</v>
      </c>
      <c r="F23">
        <v>-0.26100000000000001</v>
      </c>
      <c r="G23">
        <v>-2.7E-2</v>
      </c>
      <c r="H23">
        <v>0.249</v>
      </c>
      <c r="I23">
        <v>0.23699999999999999</v>
      </c>
      <c r="J23">
        <v>0.10100000000000001</v>
      </c>
      <c r="K23">
        <v>-0.30599999999999999</v>
      </c>
      <c r="L23">
        <v>-0.34499999999999997</v>
      </c>
      <c r="M23">
        <v>-0.156</v>
      </c>
      <c r="N23">
        <v>-0.17499999999999999</v>
      </c>
      <c r="O23">
        <v>-3.3000000000000002E-2</v>
      </c>
      <c r="P23">
        <v>-0.09</v>
      </c>
      <c r="Q23">
        <v>-0.182</v>
      </c>
      <c r="R23">
        <v>3.6999999999999998E-2</v>
      </c>
      <c r="S23">
        <v>0.21</v>
      </c>
      <c r="T23">
        <v>0.17799999999999999</v>
      </c>
      <c r="U23">
        <v>-0.28299999999999997</v>
      </c>
      <c r="V23">
        <v>-0.376</v>
      </c>
      <c r="W23">
        <v>-9.4E-2</v>
      </c>
      <c r="X23">
        <v>-0.20699999999999999</v>
      </c>
      <c r="Y23">
        <v>-0.23499999999999999</v>
      </c>
      <c r="Z23">
        <v>-0.32800000000000001</v>
      </c>
      <c r="AA23">
        <v>-0.38700000000000001</v>
      </c>
      <c r="AB23">
        <v>-0.52800000000000002</v>
      </c>
      <c r="AC23">
        <v>-0.45300000000000001</v>
      </c>
      <c r="AD23">
        <v>-0.13200000000000001</v>
      </c>
      <c r="AE23">
        <v>-0.31900000000000001</v>
      </c>
      <c r="AF23">
        <v>-0.28999999999999998</v>
      </c>
      <c r="AG23">
        <v>-0.54</v>
      </c>
      <c r="AH23">
        <v>-0.752</v>
      </c>
      <c r="AI23">
        <v>-0.53900000000000003</v>
      </c>
      <c r="AJ23">
        <v>-0.57799999999999996</v>
      </c>
      <c r="AK23">
        <v>-0.752</v>
      </c>
      <c r="AL23">
        <v>-0.70899999999999996</v>
      </c>
      <c r="AM23">
        <v>-0.442</v>
      </c>
      <c r="AN23">
        <v>-0.27700000000000002</v>
      </c>
      <c r="AO23">
        <v>-0.55800000000000005</v>
      </c>
      <c r="AP23">
        <v>-0.51800000000000002</v>
      </c>
      <c r="AQ23">
        <v>-0.39</v>
      </c>
      <c r="AR23">
        <v>-0.42099999999999999</v>
      </c>
      <c r="AS23">
        <v>-0.56200000000000006</v>
      </c>
      <c r="AT23">
        <v>-0.63900000000000001</v>
      </c>
      <c r="AU23">
        <v>-0.73</v>
      </c>
      <c r="AV23">
        <v>-0.746</v>
      </c>
      <c r="AW23">
        <v>-0.59699999999999998</v>
      </c>
      <c r="AX23">
        <v>-0.501</v>
      </c>
      <c r="AY23">
        <v>-0.33800000000000002</v>
      </c>
      <c r="AZ23">
        <v>-0.35</v>
      </c>
      <c r="BA23">
        <v>-0.216</v>
      </c>
      <c r="BB23">
        <v>-2.1000000000000001E-2</v>
      </c>
      <c r="BC23">
        <v>-0.107</v>
      </c>
      <c r="BD23">
        <v>-0.26500000000000001</v>
      </c>
      <c r="BE23">
        <v>-0.249</v>
      </c>
      <c r="BF23">
        <v>-0.24399999999999999</v>
      </c>
      <c r="BG23">
        <v>-0.44800000000000001</v>
      </c>
      <c r="BH23">
        <v>-0.57699999999999996</v>
      </c>
      <c r="BI23">
        <v>-0.442</v>
      </c>
      <c r="BJ23">
        <v>-0.38300000000000001</v>
      </c>
      <c r="BK23">
        <v>-0.74099999999999999</v>
      </c>
      <c r="BL23">
        <v>-0.74099999999999999</v>
      </c>
    </row>
    <row r="24" spans="1:64" x14ac:dyDescent="0.25">
      <c r="A24">
        <v>-0.26700000000000002</v>
      </c>
      <c r="B24">
        <v>-0.34899999999999998</v>
      </c>
      <c r="C24">
        <v>-9.2999999999999999E-2</v>
      </c>
      <c r="D24">
        <v>0.217</v>
      </c>
      <c r="E24">
        <v>-6.5000000000000002E-2</v>
      </c>
      <c r="F24">
        <v>-0.27400000000000002</v>
      </c>
      <c r="G24">
        <v>-0.106</v>
      </c>
      <c r="H24">
        <v>0.30599999999999999</v>
      </c>
      <c r="I24">
        <v>0.29399999999999998</v>
      </c>
      <c r="J24">
        <v>0.156</v>
      </c>
      <c r="K24">
        <v>-0.121</v>
      </c>
      <c r="L24">
        <v>-0.21299999999999999</v>
      </c>
      <c r="M24">
        <v>-7.1999999999999995E-2</v>
      </c>
      <c r="N24">
        <v>-0.05</v>
      </c>
      <c r="O24">
        <v>0.25700000000000001</v>
      </c>
      <c r="P24">
        <v>5.8999999999999997E-2</v>
      </c>
      <c r="Q24">
        <v>-0.01</v>
      </c>
      <c r="R24">
        <v>0.114</v>
      </c>
      <c r="S24">
        <v>0.17799999999999999</v>
      </c>
      <c r="T24">
        <v>0.219</v>
      </c>
      <c r="U24">
        <v>-0.433</v>
      </c>
      <c r="V24">
        <v>-0.66700000000000004</v>
      </c>
      <c r="W24">
        <v>-0.47299999999999998</v>
      </c>
      <c r="X24">
        <v>-0.21299999999999999</v>
      </c>
      <c r="Y24">
        <v>0</v>
      </c>
      <c r="Z24">
        <v>-0.219</v>
      </c>
      <c r="AA24">
        <v>-0.31</v>
      </c>
      <c r="AB24">
        <v>-0.38200000000000001</v>
      </c>
      <c r="AC24">
        <v>-0.52900000000000003</v>
      </c>
      <c r="AD24">
        <v>-0.32400000000000001</v>
      </c>
      <c r="AE24">
        <v>-0.11799999999999999</v>
      </c>
      <c r="AF24">
        <v>-0.113</v>
      </c>
      <c r="AG24">
        <v>-0.55300000000000005</v>
      </c>
      <c r="AH24">
        <v>-0.71499999999999997</v>
      </c>
      <c r="AI24">
        <v>-0.55500000000000005</v>
      </c>
      <c r="AJ24">
        <v>-0.60799999999999998</v>
      </c>
      <c r="AK24">
        <v>-0.67600000000000005</v>
      </c>
      <c r="AL24">
        <v>-0.63500000000000001</v>
      </c>
      <c r="AM24">
        <v>-0.55300000000000005</v>
      </c>
      <c r="AN24">
        <v>-0.45600000000000002</v>
      </c>
      <c r="AO24">
        <v>-0.47</v>
      </c>
      <c r="AP24">
        <v>-0.435</v>
      </c>
      <c r="AQ24">
        <v>-0.46300000000000002</v>
      </c>
      <c r="AR24">
        <v>-0.47699999999999998</v>
      </c>
      <c r="AS24">
        <v>-0.51500000000000001</v>
      </c>
      <c r="AT24">
        <v>-0.69599999999999995</v>
      </c>
      <c r="AU24">
        <v>-0.748</v>
      </c>
      <c r="AV24">
        <v>-0.76800000000000002</v>
      </c>
      <c r="AW24">
        <v>-0.56699999999999995</v>
      </c>
      <c r="AX24">
        <v>-0.17499999999999999</v>
      </c>
      <c r="AY24">
        <v>-0.29199999999999998</v>
      </c>
      <c r="AZ24">
        <v>-0.34</v>
      </c>
      <c r="BA24">
        <v>-0.214</v>
      </c>
      <c r="BB24">
        <v>-7.3999999999999996E-2</v>
      </c>
      <c r="BC24">
        <v>6.3E-2</v>
      </c>
      <c r="BD24">
        <v>-0.15</v>
      </c>
      <c r="BE24">
        <v>-0.35199999999999998</v>
      </c>
      <c r="BF24">
        <v>-0.315</v>
      </c>
      <c r="BG24">
        <v>-0.34899999999999998</v>
      </c>
      <c r="BH24">
        <v>-0.59</v>
      </c>
      <c r="BI24">
        <v>-0.60499999999999998</v>
      </c>
      <c r="BJ24">
        <v>-0.56200000000000006</v>
      </c>
      <c r="BK24">
        <v>-0.72499999999999998</v>
      </c>
      <c r="BL24">
        <v>-0.753</v>
      </c>
    </row>
    <row r="25" spans="1:64" x14ac:dyDescent="0.25">
      <c r="A25">
        <v>-0.245</v>
      </c>
      <c r="B25">
        <v>-0.20699999999999999</v>
      </c>
      <c r="C25">
        <v>9.0999999999999998E-2</v>
      </c>
      <c r="D25">
        <v>0.152</v>
      </c>
      <c r="E25">
        <v>-0.26300000000000001</v>
      </c>
      <c r="F25">
        <v>-0.39900000000000002</v>
      </c>
      <c r="G25">
        <v>-0.111</v>
      </c>
      <c r="H25">
        <v>0.378</v>
      </c>
      <c r="I25">
        <v>0.32300000000000001</v>
      </c>
      <c r="J25">
        <v>0.19</v>
      </c>
      <c r="K25">
        <v>-5.6000000000000001E-2</v>
      </c>
      <c r="L25">
        <v>-7.3999999999999996E-2</v>
      </c>
      <c r="M25">
        <v>0.126</v>
      </c>
      <c r="N25">
        <v>6.4000000000000001E-2</v>
      </c>
      <c r="O25">
        <v>0.36099999999999999</v>
      </c>
      <c r="P25">
        <v>0.35099999999999998</v>
      </c>
      <c r="Q25">
        <v>0.11799999999999999</v>
      </c>
      <c r="R25">
        <v>-8.0000000000000002E-3</v>
      </c>
      <c r="S25">
        <v>4.0000000000000001E-3</v>
      </c>
      <c r="T25">
        <v>9.1999999999999998E-2</v>
      </c>
      <c r="U25">
        <v>-0.40699999999999997</v>
      </c>
      <c r="V25">
        <v>-0.68100000000000005</v>
      </c>
      <c r="W25">
        <v>-0.59299999999999997</v>
      </c>
      <c r="X25">
        <v>-0.28799999999999998</v>
      </c>
      <c r="Y25">
        <v>8.7999999999999995E-2</v>
      </c>
      <c r="Z25">
        <v>-6.8000000000000005E-2</v>
      </c>
      <c r="AA25">
        <v>-0.30599999999999999</v>
      </c>
      <c r="AB25">
        <v>-0.20599999999999999</v>
      </c>
      <c r="AC25">
        <v>-0.41</v>
      </c>
      <c r="AD25">
        <v>-0.42699999999999999</v>
      </c>
      <c r="AE25">
        <v>-0.13300000000000001</v>
      </c>
      <c r="AF25">
        <v>-9.9000000000000005E-2</v>
      </c>
      <c r="AG25">
        <v>-0.49399999999999999</v>
      </c>
      <c r="AH25">
        <v>-0.64</v>
      </c>
      <c r="AI25">
        <v>-0.66800000000000004</v>
      </c>
      <c r="AJ25">
        <v>-0.67100000000000004</v>
      </c>
      <c r="AK25">
        <v>-0.57299999999999995</v>
      </c>
      <c r="AL25">
        <v>-0.59699999999999998</v>
      </c>
      <c r="AM25">
        <v>-0.54100000000000004</v>
      </c>
      <c r="AN25">
        <v>-0.52500000000000002</v>
      </c>
      <c r="AO25">
        <v>-0.46800000000000003</v>
      </c>
      <c r="AP25">
        <v>-0.44500000000000001</v>
      </c>
      <c r="AQ25">
        <v>-0.60199999999999998</v>
      </c>
      <c r="AR25">
        <v>-0.50800000000000001</v>
      </c>
      <c r="AS25">
        <v>-0.501</v>
      </c>
      <c r="AT25">
        <v>-0.72899999999999998</v>
      </c>
      <c r="AU25">
        <v>-0.71399999999999997</v>
      </c>
      <c r="AV25">
        <v>-0.76300000000000001</v>
      </c>
      <c r="AW25">
        <v>-0.44700000000000001</v>
      </c>
      <c r="AX25">
        <v>0.14199999999999999</v>
      </c>
      <c r="AY25">
        <v>-0.26300000000000001</v>
      </c>
      <c r="AZ25">
        <v>-0.34399999999999997</v>
      </c>
      <c r="BA25">
        <v>-0.14799999999999999</v>
      </c>
      <c r="BB25">
        <v>-7.8E-2</v>
      </c>
      <c r="BC25">
        <v>8.5999999999999993E-2</v>
      </c>
      <c r="BD25">
        <v>-0.13400000000000001</v>
      </c>
      <c r="BE25">
        <v>-0.53</v>
      </c>
      <c r="BF25">
        <v>-0.40300000000000002</v>
      </c>
      <c r="BG25">
        <v>-0.41199999999999998</v>
      </c>
      <c r="BH25">
        <v>-0.71199999999999997</v>
      </c>
      <c r="BI25">
        <v>-0.70299999999999996</v>
      </c>
      <c r="BJ25">
        <v>-0.76700000000000002</v>
      </c>
      <c r="BK25">
        <v>-0.76800000000000002</v>
      </c>
      <c r="BL25">
        <v>-0.73399999999999999</v>
      </c>
    </row>
    <row r="26" spans="1:64" x14ac:dyDescent="0.25">
      <c r="A26">
        <v>-0.317</v>
      </c>
      <c r="B26">
        <v>-7.5999999999999998E-2</v>
      </c>
      <c r="C26">
        <v>0.14399999999999999</v>
      </c>
      <c r="D26">
        <v>0.06</v>
      </c>
      <c r="E26">
        <v>-0.30299999999999999</v>
      </c>
      <c r="F26">
        <v>-0.46800000000000003</v>
      </c>
      <c r="G26">
        <v>-9.1999999999999998E-2</v>
      </c>
      <c r="H26">
        <v>0.27600000000000002</v>
      </c>
      <c r="I26">
        <v>0.23699999999999999</v>
      </c>
      <c r="J26">
        <v>0.17499999999999999</v>
      </c>
      <c r="K26">
        <v>3.3000000000000002E-2</v>
      </c>
      <c r="L26">
        <v>6.6000000000000003E-2</v>
      </c>
      <c r="M26">
        <v>0.19600000000000001</v>
      </c>
      <c r="N26">
        <v>4.2999999999999997E-2</v>
      </c>
      <c r="O26">
        <v>0.28999999999999998</v>
      </c>
      <c r="P26">
        <v>0.313</v>
      </c>
      <c r="Q26">
        <v>0.11700000000000001</v>
      </c>
      <c r="R26">
        <v>-2.3E-2</v>
      </c>
      <c r="S26">
        <v>-0.155</v>
      </c>
      <c r="T26">
        <v>-4.8000000000000001E-2</v>
      </c>
      <c r="U26">
        <v>-0.185</v>
      </c>
      <c r="V26">
        <v>-0.44</v>
      </c>
      <c r="W26">
        <v>-0.59399999999999997</v>
      </c>
      <c r="X26">
        <v>-0.45400000000000001</v>
      </c>
      <c r="Y26">
        <v>-9.2999999999999999E-2</v>
      </c>
      <c r="Z26">
        <v>-0.13</v>
      </c>
      <c r="AA26">
        <v>-0.114</v>
      </c>
      <c r="AB26">
        <v>0.14799999999999999</v>
      </c>
      <c r="AC26">
        <v>-0.17799999999999999</v>
      </c>
      <c r="AD26">
        <v>-0.438</v>
      </c>
      <c r="AE26">
        <v>-0.28399999999999997</v>
      </c>
      <c r="AF26">
        <v>-0.315</v>
      </c>
      <c r="AG26">
        <v>-0.43</v>
      </c>
      <c r="AH26">
        <v>-0.45500000000000002</v>
      </c>
      <c r="AI26">
        <v>-0.63900000000000001</v>
      </c>
      <c r="AJ26">
        <v>-0.65600000000000003</v>
      </c>
      <c r="AK26">
        <v>-0.5</v>
      </c>
      <c r="AL26">
        <v>-0.48299999999999998</v>
      </c>
      <c r="AM26">
        <v>-0.39</v>
      </c>
      <c r="AN26">
        <v>-0.47399999999999998</v>
      </c>
      <c r="AO26">
        <v>-0.47899999999999998</v>
      </c>
      <c r="AP26">
        <v>-0.56000000000000005</v>
      </c>
      <c r="AQ26">
        <v>-0.69499999999999995</v>
      </c>
      <c r="AR26">
        <v>-0.627</v>
      </c>
      <c r="AS26">
        <v>-0.53</v>
      </c>
      <c r="AT26">
        <v>-0.59699999999999998</v>
      </c>
      <c r="AU26">
        <v>-0.61099999999999999</v>
      </c>
      <c r="AV26">
        <v>-0.57999999999999996</v>
      </c>
      <c r="AW26">
        <v>-0.186</v>
      </c>
      <c r="AX26">
        <v>8.0000000000000002E-3</v>
      </c>
      <c r="AY26">
        <v>-0.27900000000000003</v>
      </c>
      <c r="AZ26">
        <v>-0.21199999999999999</v>
      </c>
      <c r="BA26">
        <v>5.8000000000000003E-2</v>
      </c>
      <c r="BB26">
        <v>-6.9000000000000006E-2</v>
      </c>
      <c r="BC26">
        <v>-0.14499999999999999</v>
      </c>
      <c r="BD26">
        <v>-0.31900000000000001</v>
      </c>
      <c r="BE26">
        <v>-0.55900000000000005</v>
      </c>
      <c r="BF26">
        <v>-0.46400000000000002</v>
      </c>
      <c r="BG26">
        <v>-0.54800000000000004</v>
      </c>
      <c r="BH26">
        <v>-0.73499999999999999</v>
      </c>
      <c r="BI26">
        <v>-0.74</v>
      </c>
      <c r="BJ26">
        <v>-0.77900000000000003</v>
      </c>
      <c r="BK26">
        <v>-0.72299999999999998</v>
      </c>
      <c r="BL26">
        <v>-0.53400000000000003</v>
      </c>
    </row>
    <row r="27" spans="1:64" x14ac:dyDescent="0.25">
      <c r="A27">
        <v>-0.38300000000000001</v>
      </c>
      <c r="B27">
        <v>-7.1999999999999995E-2</v>
      </c>
      <c r="C27">
        <v>0.128</v>
      </c>
      <c r="D27">
        <v>2.1999999999999999E-2</v>
      </c>
      <c r="E27">
        <v>-0.24099999999999999</v>
      </c>
      <c r="F27">
        <v>-0.38100000000000001</v>
      </c>
      <c r="G27">
        <v>-0.154</v>
      </c>
      <c r="H27">
        <v>-0.01</v>
      </c>
      <c r="I27">
        <v>0.13500000000000001</v>
      </c>
      <c r="J27">
        <v>0.22800000000000001</v>
      </c>
      <c r="K27">
        <v>0.20499999999999999</v>
      </c>
      <c r="L27">
        <v>0.19400000000000001</v>
      </c>
      <c r="M27">
        <v>0.24299999999999999</v>
      </c>
      <c r="N27">
        <v>0.12</v>
      </c>
      <c r="O27">
        <v>0.25900000000000001</v>
      </c>
      <c r="P27">
        <v>0.24099999999999999</v>
      </c>
      <c r="Q27">
        <v>0.14899999999999999</v>
      </c>
      <c r="R27">
        <v>7.0999999999999994E-2</v>
      </c>
      <c r="S27">
        <v>-0.21</v>
      </c>
      <c r="T27">
        <v>-0.185</v>
      </c>
      <c r="U27">
        <v>-0.157</v>
      </c>
      <c r="V27">
        <v>-0.216</v>
      </c>
      <c r="W27">
        <v>-0.51</v>
      </c>
      <c r="X27">
        <v>-0.51500000000000001</v>
      </c>
      <c r="Y27">
        <v>-0.249</v>
      </c>
      <c r="Z27">
        <v>-0.23699999999999999</v>
      </c>
      <c r="AA27">
        <v>6.5000000000000002E-2</v>
      </c>
      <c r="AB27">
        <v>0.39300000000000002</v>
      </c>
      <c r="AC27">
        <v>-7.5999999999999998E-2</v>
      </c>
      <c r="AD27">
        <v>-0.375</v>
      </c>
      <c r="AE27">
        <v>-0.36399999999999999</v>
      </c>
      <c r="AF27">
        <v>-0.50800000000000001</v>
      </c>
      <c r="AG27">
        <v>-0.45800000000000002</v>
      </c>
      <c r="AH27">
        <v>-0.39900000000000002</v>
      </c>
      <c r="AI27">
        <v>-0.59299999999999997</v>
      </c>
      <c r="AJ27">
        <v>-0.63600000000000001</v>
      </c>
      <c r="AK27">
        <v>-0.44700000000000001</v>
      </c>
      <c r="AL27">
        <v>-0.29399999999999998</v>
      </c>
      <c r="AM27">
        <v>-0.30099999999999999</v>
      </c>
      <c r="AN27">
        <v>-0.34200000000000003</v>
      </c>
      <c r="AO27">
        <v>-0.41799999999999998</v>
      </c>
      <c r="AP27">
        <v>-0.67300000000000004</v>
      </c>
      <c r="AQ27">
        <v>-0.748</v>
      </c>
      <c r="AR27">
        <v>-0.67400000000000004</v>
      </c>
      <c r="AS27">
        <v>-0.58799999999999997</v>
      </c>
      <c r="AT27">
        <v>-0.439</v>
      </c>
      <c r="AU27">
        <v>-0.39</v>
      </c>
      <c r="AV27">
        <v>-0.35099999999999998</v>
      </c>
      <c r="AW27">
        <v>-0.154</v>
      </c>
      <c r="AX27">
        <v>-0.14399999999999999</v>
      </c>
      <c r="AY27">
        <v>-0.23699999999999999</v>
      </c>
      <c r="AZ27">
        <v>-5.0999999999999997E-2</v>
      </c>
      <c r="BA27">
        <v>0.19700000000000001</v>
      </c>
      <c r="BB27">
        <v>-5.6000000000000001E-2</v>
      </c>
      <c r="BC27">
        <v>-0.32600000000000001</v>
      </c>
      <c r="BD27">
        <v>-0.49099999999999999</v>
      </c>
      <c r="BE27">
        <v>-0.505</v>
      </c>
      <c r="BF27">
        <v>-0.497</v>
      </c>
      <c r="BG27">
        <v>-0.626</v>
      </c>
      <c r="BH27">
        <v>-0.67400000000000004</v>
      </c>
      <c r="BI27">
        <v>-0.67700000000000005</v>
      </c>
      <c r="BJ27">
        <v>-0.65400000000000003</v>
      </c>
      <c r="BK27">
        <v>-0.59299999999999997</v>
      </c>
      <c r="BL27">
        <v>-0.42299999999999999</v>
      </c>
    </row>
    <row r="28" spans="1:64" x14ac:dyDescent="0.25">
      <c r="A28">
        <v>-0.30299999999999999</v>
      </c>
      <c r="B28">
        <v>-3.6999999999999998E-2</v>
      </c>
      <c r="C28">
        <v>0.16400000000000001</v>
      </c>
      <c r="D28">
        <v>-2.1000000000000001E-2</v>
      </c>
      <c r="E28">
        <v>-0.17899999999999999</v>
      </c>
      <c r="F28">
        <v>-0.106</v>
      </c>
      <c r="G28">
        <v>-0.193</v>
      </c>
      <c r="H28">
        <v>-0.442</v>
      </c>
      <c r="I28">
        <v>-1.2999999999999999E-2</v>
      </c>
      <c r="J28">
        <v>0.42599999999999999</v>
      </c>
      <c r="K28">
        <v>0.432</v>
      </c>
      <c r="L28">
        <v>0.216</v>
      </c>
      <c r="M28">
        <v>0.378</v>
      </c>
      <c r="N28">
        <v>0.42</v>
      </c>
      <c r="O28">
        <v>0.26700000000000002</v>
      </c>
      <c r="P28">
        <v>0.19500000000000001</v>
      </c>
      <c r="Q28">
        <v>0.14699999999999999</v>
      </c>
      <c r="R28">
        <v>0.114</v>
      </c>
      <c r="S28">
        <v>-7.4999999999999997E-2</v>
      </c>
      <c r="T28">
        <v>-0.151</v>
      </c>
      <c r="U28">
        <v>-0.32600000000000001</v>
      </c>
      <c r="V28">
        <v>-0.44400000000000001</v>
      </c>
      <c r="W28">
        <v>-0.50900000000000001</v>
      </c>
      <c r="X28">
        <v>-0.55300000000000005</v>
      </c>
      <c r="Y28">
        <v>-0.371</v>
      </c>
      <c r="Z28">
        <v>-0.17100000000000001</v>
      </c>
      <c r="AA28">
        <v>0.09</v>
      </c>
      <c r="AB28">
        <v>0.32200000000000001</v>
      </c>
      <c r="AC28">
        <v>-9.5000000000000001E-2</v>
      </c>
      <c r="AD28">
        <v>-0.28799999999999998</v>
      </c>
      <c r="AE28">
        <v>-0.30499999999999999</v>
      </c>
      <c r="AF28">
        <v>-0.46500000000000002</v>
      </c>
      <c r="AG28">
        <v>-0.42199999999999999</v>
      </c>
      <c r="AH28">
        <v>-0.5</v>
      </c>
      <c r="AI28">
        <v>-0.54400000000000004</v>
      </c>
      <c r="AJ28">
        <v>-0.49299999999999999</v>
      </c>
      <c r="AK28">
        <v>-0.39300000000000002</v>
      </c>
      <c r="AL28">
        <v>-0.23</v>
      </c>
      <c r="AM28">
        <v>-0.29699999999999999</v>
      </c>
      <c r="AN28">
        <v>-0.22900000000000001</v>
      </c>
      <c r="AO28">
        <v>-0.32800000000000001</v>
      </c>
      <c r="AP28">
        <v>-0.72899999999999998</v>
      </c>
      <c r="AQ28">
        <v>-0.752</v>
      </c>
      <c r="AR28">
        <v>-0.65800000000000003</v>
      </c>
      <c r="AS28">
        <v>-0.60499999999999998</v>
      </c>
      <c r="AT28">
        <v>-0.40500000000000003</v>
      </c>
      <c r="AU28">
        <v>-0.28799999999999998</v>
      </c>
      <c r="AV28">
        <v>-0.4</v>
      </c>
      <c r="AW28">
        <v>-0.27200000000000002</v>
      </c>
      <c r="AX28">
        <v>9.7000000000000003E-2</v>
      </c>
      <c r="AY28">
        <v>-8.2000000000000003E-2</v>
      </c>
      <c r="AZ28">
        <v>-0.109</v>
      </c>
      <c r="BA28">
        <v>9.5000000000000001E-2</v>
      </c>
      <c r="BB28">
        <v>-0.129</v>
      </c>
      <c r="BC28">
        <v>-0.41199999999999998</v>
      </c>
      <c r="BD28">
        <v>-0.58299999999999996</v>
      </c>
      <c r="BE28">
        <v>-0.51700000000000002</v>
      </c>
      <c r="BF28">
        <v>-0.52200000000000002</v>
      </c>
      <c r="BG28">
        <v>-0.61599999999999999</v>
      </c>
      <c r="BH28">
        <v>-0.53600000000000003</v>
      </c>
      <c r="BI28">
        <v>-0.58699999999999997</v>
      </c>
      <c r="BJ28">
        <v>-0.52400000000000002</v>
      </c>
      <c r="BK28">
        <v>-0.48</v>
      </c>
      <c r="BL28">
        <v>-0.45</v>
      </c>
    </row>
    <row r="29" spans="1:64" x14ac:dyDescent="0.25">
      <c r="A29">
        <v>-0.124</v>
      </c>
      <c r="B29">
        <v>-2.1999999999999999E-2</v>
      </c>
      <c r="C29">
        <v>2.5999999999999999E-2</v>
      </c>
      <c r="D29">
        <v>5.3999999999999999E-2</v>
      </c>
      <c r="E29">
        <v>5.5E-2</v>
      </c>
      <c r="F29">
        <v>8.8999999999999996E-2</v>
      </c>
      <c r="G29">
        <v>-0.20799999999999999</v>
      </c>
      <c r="H29">
        <v>-0.55000000000000004</v>
      </c>
      <c r="I29">
        <v>-6.3E-2</v>
      </c>
      <c r="J29">
        <v>0.54400000000000004</v>
      </c>
      <c r="K29">
        <v>0.52900000000000003</v>
      </c>
      <c r="L29">
        <v>0.24399999999999999</v>
      </c>
      <c r="M29">
        <v>0.373</v>
      </c>
      <c r="N29">
        <v>0.49</v>
      </c>
      <c r="O29">
        <v>0.35599999999999998</v>
      </c>
      <c r="P29">
        <v>0.312</v>
      </c>
      <c r="Q29">
        <v>0.14199999999999999</v>
      </c>
      <c r="R29">
        <v>8.8999999999999996E-2</v>
      </c>
      <c r="S29">
        <v>0.183</v>
      </c>
      <c r="T29">
        <v>2.3E-2</v>
      </c>
      <c r="U29">
        <v>-0.48199999999999998</v>
      </c>
      <c r="V29">
        <v>-0.64500000000000002</v>
      </c>
      <c r="W29">
        <v>-0.498</v>
      </c>
      <c r="X29">
        <v>-0.52700000000000002</v>
      </c>
      <c r="Y29">
        <v>-0.42799999999999999</v>
      </c>
      <c r="Z29">
        <v>-0.19500000000000001</v>
      </c>
      <c r="AA29">
        <v>-9.2999999999999999E-2</v>
      </c>
      <c r="AB29">
        <v>0.112</v>
      </c>
      <c r="AC29">
        <v>-4.2000000000000003E-2</v>
      </c>
      <c r="AD29">
        <v>-0.156</v>
      </c>
      <c r="AE29">
        <v>-0.219</v>
      </c>
      <c r="AF29">
        <v>-0.27700000000000002</v>
      </c>
      <c r="AG29">
        <v>-0.42299999999999999</v>
      </c>
      <c r="AH29">
        <v>-0.57699999999999996</v>
      </c>
      <c r="AI29">
        <v>-0.39</v>
      </c>
      <c r="AJ29">
        <v>-0.217</v>
      </c>
      <c r="AK29">
        <v>-0.38200000000000001</v>
      </c>
      <c r="AL29">
        <v>-0.35499999999999998</v>
      </c>
      <c r="AM29">
        <v>-0.314</v>
      </c>
      <c r="AN29">
        <v>-0.124</v>
      </c>
      <c r="AO29">
        <v>-0.27400000000000002</v>
      </c>
      <c r="AP29">
        <v>-0.66400000000000003</v>
      </c>
      <c r="AQ29">
        <v>-0.68400000000000005</v>
      </c>
      <c r="AR29">
        <v>-0.67200000000000004</v>
      </c>
      <c r="AS29">
        <v>-0.63400000000000001</v>
      </c>
      <c r="AT29">
        <v>-0.38900000000000001</v>
      </c>
      <c r="AU29">
        <v>-0.26300000000000001</v>
      </c>
      <c r="AV29">
        <v>-0.35799999999999998</v>
      </c>
      <c r="AW29">
        <v>-0.20100000000000001</v>
      </c>
      <c r="AX29">
        <v>0.18099999999999999</v>
      </c>
      <c r="AY29">
        <v>4.5999999999999999E-2</v>
      </c>
      <c r="AZ29">
        <v>-0.10199999999999999</v>
      </c>
      <c r="BA29">
        <v>-0.16200000000000001</v>
      </c>
      <c r="BB29">
        <v>-0.45400000000000001</v>
      </c>
      <c r="BC29">
        <v>-0.35499999999999998</v>
      </c>
      <c r="BD29">
        <v>-0.47799999999999998</v>
      </c>
      <c r="BE29">
        <v>-0.50800000000000001</v>
      </c>
      <c r="BF29">
        <v>-0.47399999999999998</v>
      </c>
      <c r="BG29">
        <v>-0.52700000000000002</v>
      </c>
      <c r="BH29">
        <v>-0.48399999999999999</v>
      </c>
      <c r="BI29">
        <v>-0.622</v>
      </c>
      <c r="BJ29">
        <v>-0.52200000000000002</v>
      </c>
      <c r="BK29">
        <v>-0.53500000000000003</v>
      </c>
      <c r="BL29">
        <v>-0.626</v>
      </c>
    </row>
    <row r="30" spans="1:64" x14ac:dyDescent="0.25">
      <c r="A30">
        <v>-0.15</v>
      </c>
      <c r="B30">
        <v>-0.23200000000000001</v>
      </c>
      <c r="C30">
        <v>-0.19400000000000001</v>
      </c>
      <c r="D30">
        <v>0.20499999999999999</v>
      </c>
      <c r="E30">
        <v>0.24199999999999999</v>
      </c>
      <c r="F30">
        <v>1.4999999999999999E-2</v>
      </c>
      <c r="G30">
        <v>-0.28699999999999998</v>
      </c>
      <c r="H30">
        <v>-0.3</v>
      </c>
      <c r="I30">
        <v>0.20699999999999999</v>
      </c>
      <c r="J30">
        <v>0.39300000000000002</v>
      </c>
      <c r="K30">
        <v>0.48699999999999999</v>
      </c>
      <c r="L30">
        <v>0.28199999999999997</v>
      </c>
      <c r="M30">
        <v>0.19700000000000001</v>
      </c>
      <c r="N30">
        <v>0.42399999999999999</v>
      </c>
      <c r="O30">
        <v>0.54800000000000004</v>
      </c>
      <c r="P30">
        <v>0.57399999999999995</v>
      </c>
      <c r="Q30">
        <v>0.22</v>
      </c>
      <c r="R30">
        <v>-5.8000000000000003E-2</v>
      </c>
      <c r="S30">
        <v>0.14799999999999999</v>
      </c>
      <c r="T30">
        <v>4.5999999999999999E-2</v>
      </c>
      <c r="U30">
        <v>-0.52700000000000002</v>
      </c>
      <c r="V30">
        <v>-0.69399999999999995</v>
      </c>
      <c r="W30">
        <v>-0.44800000000000001</v>
      </c>
      <c r="X30">
        <v>-0.317</v>
      </c>
      <c r="Y30">
        <v>-0.36</v>
      </c>
      <c r="Z30">
        <v>-0.255</v>
      </c>
      <c r="AA30">
        <v>-0.16500000000000001</v>
      </c>
      <c r="AB30">
        <v>-0.108</v>
      </c>
      <c r="AC30">
        <v>-0.184</v>
      </c>
      <c r="AD30">
        <v>-0.17199999999999999</v>
      </c>
      <c r="AE30">
        <v>-0.109</v>
      </c>
      <c r="AF30">
        <v>-0.11600000000000001</v>
      </c>
      <c r="AG30">
        <v>-0.38400000000000001</v>
      </c>
      <c r="AH30">
        <v>-0.44600000000000001</v>
      </c>
      <c r="AI30">
        <v>-0.248</v>
      </c>
      <c r="AJ30">
        <v>-0.14000000000000001</v>
      </c>
      <c r="AK30">
        <v>-0.377</v>
      </c>
      <c r="AL30">
        <v>-0.48199999999999998</v>
      </c>
      <c r="AM30">
        <v>-0.24299999999999999</v>
      </c>
      <c r="AN30">
        <v>-0.06</v>
      </c>
      <c r="AO30">
        <v>-0.14399999999999999</v>
      </c>
      <c r="AP30">
        <v>-0.47199999999999998</v>
      </c>
      <c r="AQ30">
        <v>-0.65700000000000003</v>
      </c>
      <c r="AR30">
        <v>-0.70599999999999996</v>
      </c>
      <c r="AS30">
        <v>-0.629</v>
      </c>
      <c r="AT30">
        <v>-0.222</v>
      </c>
      <c r="AU30">
        <v>-0.18</v>
      </c>
      <c r="AV30">
        <v>-0.34300000000000003</v>
      </c>
      <c r="AW30">
        <v>-0.124</v>
      </c>
      <c r="AX30">
        <v>3.1E-2</v>
      </c>
      <c r="AY30">
        <v>1.4E-2</v>
      </c>
      <c r="AZ30">
        <v>-5.0000000000000001E-3</v>
      </c>
      <c r="BA30">
        <v>-0.371</v>
      </c>
      <c r="BB30">
        <v>-0.65300000000000002</v>
      </c>
      <c r="BC30">
        <v>-0.28399999999999997</v>
      </c>
      <c r="BD30">
        <v>-0.23100000000000001</v>
      </c>
      <c r="BE30">
        <v>-0.48599999999999999</v>
      </c>
      <c r="BF30">
        <v>-0.41699999999999998</v>
      </c>
      <c r="BG30">
        <v>-0.43099999999999999</v>
      </c>
      <c r="BH30">
        <v>-0.59</v>
      </c>
      <c r="BI30">
        <v>-0.63400000000000001</v>
      </c>
      <c r="BJ30">
        <v>-0.49099999999999999</v>
      </c>
      <c r="BK30">
        <v>-0.60799999999999998</v>
      </c>
      <c r="BL30">
        <v>-0.75900000000000001</v>
      </c>
    </row>
    <row r="31" spans="1:64" x14ac:dyDescent="0.25">
      <c r="A31">
        <v>-0.38500000000000001</v>
      </c>
      <c r="B31">
        <v>-0.39200000000000002</v>
      </c>
      <c r="C31">
        <v>-0.30599999999999999</v>
      </c>
      <c r="D31">
        <v>8.5000000000000006E-2</v>
      </c>
      <c r="E31">
        <v>7.6999999999999999E-2</v>
      </c>
      <c r="F31">
        <v>-9.8000000000000004E-2</v>
      </c>
      <c r="G31">
        <v>-0.23699999999999999</v>
      </c>
      <c r="H31">
        <v>-4.5999999999999999E-2</v>
      </c>
      <c r="I31">
        <v>0.32800000000000001</v>
      </c>
      <c r="J31">
        <v>0.376</v>
      </c>
      <c r="K31">
        <v>0.43099999999999999</v>
      </c>
      <c r="L31">
        <v>0.18099999999999999</v>
      </c>
      <c r="M31">
        <v>0.17599999999999999</v>
      </c>
      <c r="N31">
        <v>0.51900000000000002</v>
      </c>
      <c r="O31">
        <v>0.72099999999999997</v>
      </c>
      <c r="P31">
        <v>0.67300000000000004</v>
      </c>
      <c r="Q31">
        <v>0.182</v>
      </c>
      <c r="R31">
        <v>-0.27500000000000002</v>
      </c>
      <c r="S31">
        <v>-0.21299999999999999</v>
      </c>
      <c r="T31">
        <v>-0.156</v>
      </c>
      <c r="U31">
        <v>-0.45</v>
      </c>
      <c r="V31">
        <v>-0.63300000000000001</v>
      </c>
      <c r="W31">
        <v>-0.42299999999999999</v>
      </c>
      <c r="X31">
        <v>-0.106</v>
      </c>
      <c r="Y31">
        <v>-0.23200000000000001</v>
      </c>
      <c r="Z31">
        <v>-0.13800000000000001</v>
      </c>
      <c r="AA31">
        <v>-4.1000000000000002E-2</v>
      </c>
      <c r="AB31">
        <v>-0.33200000000000002</v>
      </c>
      <c r="AC31">
        <v>-0.39900000000000002</v>
      </c>
      <c r="AD31">
        <v>-0.34499999999999997</v>
      </c>
      <c r="AE31">
        <v>-4.2999999999999997E-2</v>
      </c>
      <c r="AF31">
        <v>8.3000000000000004E-2</v>
      </c>
      <c r="AG31">
        <v>-0.223</v>
      </c>
      <c r="AH31">
        <v>-0.17799999999999999</v>
      </c>
      <c r="AI31">
        <v>-0.27300000000000002</v>
      </c>
      <c r="AJ31">
        <v>-0.224</v>
      </c>
      <c r="AK31">
        <v>-0.36</v>
      </c>
      <c r="AL31">
        <v>-0.501</v>
      </c>
      <c r="AM31">
        <v>-0.157</v>
      </c>
      <c r="AN31">
        <v>-0.05</v>
      </c>
      <c r="AO31">
        <v>-1.4E-2</v>
      </c>
      <c r="AP31">
        <v>-0.33</v>
      </c>
      <c r="AQ31">
        <v>-0.70199999999999996</v>
      </c>
      <c r="AR31">
        <v>-0.74299999999999999</v>
      </c>
      <c r="AS31">
        <v>-0.60699999999999998</v>
      </c>
      <c r="AT31">
        <v>-7.2999999999999995E-2</v>
      </c>
      <c r="AU31">
        <v>-0.153</v>
      </c>
      <c r="AV31">
        <v>-0.436</v>
      </c>
      <c r="AW31">
        <v>-0.192</v>
      </c>
      <c r="AX31">
        <v>-2.3E-2</v>
      </c>
      <c r="AY31">
        <v>-0.12</v>
      </c>
      <c r="AZ31">
        <v>-0.186</v>
      </c>
      <c r="BA31">
        <v>-0.495</v>
      </c>
      <c r="BB31">
        <v>-0.65200000000000002</v>
      </c>
      <c r="BC31">
        <v>-0.23899999999999999</v>
      </c>
      <c r="BD31">
        <v>-9.6000000000000002E-2</v>
      </c>
      <c r="BE31">
        <v>-0.45100000000000001</v>
      </c>
      <c r="BF31">
        <v>-0.434</v>
      </c>
      <c r="BG31">
        <v>-0.48199999999999998</v>
      </c>
      <c r="BH31">
        <v>-0.66300000000000003</v>
      </c>
      <c r="BI31">
        <v>-0.55300000000000005</v>
      </c>
      <c r="BJ31">
        <v>-0.41599999999999998</v>
      </c>
      <c r="BK31">
        <v>-0.67200000000000004</v>
      </c>
      <c r="BL31">
        <v>-0.78900000000000003</v>
      </c>
    </row>
    <row r="32" spans="1:64" x14ac:dyDescent="0.25">
      <c r="A32">
        <v>-0.40699999999999997</v>
      </c>
      <c r="B32">
        <v>-0.35299999999999998</v>
      </c>
      <c r="C32">
        <v>-0.317</v>
      </c>
      <c r="D32">
        <v>-0.21099999999999999</v>
      </c>
      <c r="E32">
        <v>-0.156</v>
      </c>
      <c r="F32">
        <v>-0.216</v>
      </c>
      <c r="G32">
        <v>-0.129</v>
      </c>
      <c r="H32">
        <v>2.3E-2</v>
      </c>
      <c r="I32">
        <v>0.246</v>
      </c>
      <c r="J32">
        <v>0.46</v>
      </c>
      <c r="K32">
        <v>0.44600000000000001</v>
      </c>
      <c r="L32">
        <v>0.20100000000000001</v>
      </c>
      <c r="M32">
        <v>0.34300000000000003</v>
      </c>
      <c r="N32">
        <v>0.57899999999999996</v>
      </c>
      <c r="O32">
        <v>0.73899999999999999</v>
      </c>
      <c r="P32">
        <v>0.73499999999999999</v>
      </c>
      <c r="Q32">
        <v>0.107</v>
      </c>
      <c r="R32">
        <v>-0.48799999999999999</v>
      </c>
      <c r="S32">
        <v>-0.41699999999999998</v>
      </c>
      <c r="T32">
        <v>-0.435</v>
      </c>
      <c r="U32">
        <v>-0.48899999999999999</v>
      </c>
      <c r="V32">
        <v>-0.49399999999999999</v>
      </c>
      <c r="W32">
        <v>-0.377</v>
      </c>
      <c r="X32">
        <v>-0.06</v>
      </c>
      <c r="Y32">
        <v>-8.4000000000000005E-2</v>
      </c>
      <c r="Z32">
        <v>-2.3E-2</v>
      </c>
      <c r="AA32">
        <v>-0.13600000000000001</v>
      </c>
      <c r="AB32">
        <v>-0.47899999999999998</v>
      </c>
      <c r="AC32">
        <v>-0.36099999999999999</v>
      </c>
      <c r="AD32">
        <v>-0.27200000000000002</v>
      </c>
      <c r="AE32">
        <v>-6.8000000000000005E-2</v>
      </c>
      <c r="AF32">
        <v>0.22800000000000001</v>
      </c>
      <c r="AG32">
        <v>-5.1999999999999998E-2</v>
      </c>
      <c r="AH32">
        <v>-9.4E-2</v>
      </c>
      <c r="AI32">
        <v>-0.26200000000000001</v>
      </c>
      <c r="AJ32">
        <v>-0.36499999999999999</v>
      </c>
      <c r="AK32">
        <v>-0.35199999999999998</v>
      </c>
      <c r="AL32">
        <v>-0.438</v>
      </c>
      <c r="AM32">
        <v>-0.122</v>
      </c>
      <c r="AN32">
        <v>9.8000000000000004E-2</v>
      </c>
      <c r="AO32">
        <v>-5.8999999999999997E-2</v>
      </c>
      <c r="AP32">
        <v>-0.42499999999999999</v>
      </c>
      <c r="AQ32">
        <v>-0.56200000000000006</v>
      </c>
      <c r="AR32">
        <v>-0.55100000000000005</v>
      </c>
      <c r="AS32">
        <v>-0.47399999999999998</v>
      </c>
      <c r="AT32">
        <v>-0.13300000000000001</v>
      </c>
      <c r="AU32">
        <v>-0.109</v>
      </c>
      <c r="AV32">
        <v>-0.39900000000000002</v>
      </c>
      <c r="AW32">
        <v>-0.3</v>
      </c>
      <c r="AX32">
        <v>-6.0999999999999999E-2</v>
      </c>
      <c r="AY32">
        <v>-0.26300000000000001</v>
      </c>
      <c r="AZ32">
        <v>-0.39700000000000002</v>
      </c>
      <c r="BA32">
        <v>-0.45500000000000002</v>
      </c>
      <c r="BB32">
        <v>-0.53200000000000003</v>
      </c>
      <c r="BC32">
        <v>-0.36</v>
      </c>
      <c r="BD32">
        <v>-0.20799999999999999</v>
      </c>
      <c r="BE32">
        <v>-0.372</v>
      </c>
      <c r="BF32">
        <v>-0.45400000000000001</v>
      </c>
      <c r="BG32">
        <v>-0.54</v>
      </c>
      <c r="BH32">
        <v>-0.64400000000000002</v>
      </c>
      <c r="BI32">
        <v>-0.56699999999999995</v>
      </c>
      <c r="BJ32">
        <v>-0.49099999999999999</v>
      </c>
      <c r="BK32">
        <v>-0.71</v>
      </c>
      <c r="BL32">
        <v>-0.746</v>
      </c>
    </row>
    <row r="33" spans="1:64" x14ac:dyDescent="0.25">
      <c r="A33">
        <v>-0.32600000000000001</v>
      </c>
      <c r="B33">
        <v>-0.249</v>
      </c>
      <c r="C33">
        <v>-0.17599999999999999</v>
      </c>
      <c r="D33">
        <v>-0.34100000000000003</v>
      </c>
      <c r="E33">
        <v>-0.32800000000000001</v>
      </c>
      <c r="F33">
        <v>-0.26</v>
      </c>
      <c r="G33">
        <v>-7.5999999999999998E-2</v>
      </c>
      <c r="H33">
        <v>9.0999999999999998E-2</v>
      </c>
      <c r="I33">
        <v>0.13800000000000001</v>
      </c>
      <c r="J33">
        <v>0.54300000000000004</v>
      </c>
      <c r="K33">
        <v>0.56299999999999994</v>
      </c>
      <c r="L33">
        <v>0.33700000000000002</v>
      </c>
      <c r="M33">
        <v>0.433</v>
      </c>
      <c r="N33">
        <v>0.46200000000000002</v>
      </c>
      <c r="O33">
        <v>0.63900000000000001</v>
      </c>
      <c r="P33">
        <v>0.71699999999999997</v>
      </c>
      <c r="Q33">
        <v>0.221</v>
      </c>
      <c r="R33">
        <v>-0.53200000000000003</v>
      </c>
      <c r="S33">
        <v>-0.48199999999999998</v>
      </c>
      <c r="T33">
        <v>-0.63800000000000001</v>
      </c>
      <c r="U33">
        <v>-0.61599999999999999</v>
      </c>
      <c r="V33">
        <v>-0.41499999999999998</v>
      </c>
      <c r="W33">
        <v>-0.309</v>
      </c>
      <c r="X33">
        <v>2.1999999999999999E-2</v>
      </c>
      <c r="Y33">
        <v>6.3E-2</v>
      </c>
      <c r="Z33">
        <v>5.2999999999999999E-2</v>
      </c>
      <c r="AA33">
        <v>-0.33800000000000002</v>
      </c>
      <c r="AB33">
        <v>-0.63</v>
      </c>
      <c r="AC33">
        <v>-0.42399999999999999</v>
      </c>
      <c r="AD33">
        <v>-0.108</v>
      </c>
      <c r="AE33">
        <v>8.0000000000000002E-3</v>
      </c>
      <c r="AF33">
        <v>0.17899999999999999</v>
      </c>
      <c r="AG33">
        <v>-5.6000000000000001E-2</v>
      </c>
      <c r="AH33">
        <v>-0.124</v>
      </c>
      <c r="AI33">
        <v>-0.28499999999999998</v>
      </c>
      <c r="AJ33">
        <v>-0.434</v>
      </c>
      <c r="AK33">
        <v>-0.33300000000000002</v>
      </c>
      <c r="AL33">
        <v>-0.35799999999999998</v>
      </c>
      <c r="AM33">
        <v>-1.2E-2</v>
      </c>
      <c r="AN33">
        <v>0.25600000000000001</v>
      </c>
      <c r="AO33">
        <v>-0.20599999999999999</v>
      </c>
      <c r="AP33">
        <v>-0.54</v>
      </c>
      <c r="AQ33">
        <v>-0.48199999999999998</v>
      </c>
      <c r="AR33">
        <v>-0.17100000000000001</v>
      </c>
      <c r="AS33">
        <v>-0.29599999999999999</v>
      </c>
      <c r="AT33">
        <v>-0.28799999999999998</v>
      </c>
      <c r="AU33">
        <v>-4.7E-2</v>
      </c>
      <c r="AV33">
        <v>-0.31900000000000001</v>
      </c>
      <c r="AW33">
        <v>-0.499</v>
      </c>
      <c r="AX33">
        <v>-0.29199999999999998</v>
      </c>
      <c r="AY33">
        <v>-0.37</v>
      </c>
      <c r="AZ33">
        <v>-0.35799999999999998</v>
      </c>
      <c r="BA33">
        <v>-0.30499999999999999</v>
      </c>
      <c r="BB33">
        <v>-0.49299999999999999</v>
      </c>
      <c r="BC33">
        <v>-0.47599999999999998</v>
      </c>
      <c r="BD33">
        <v>-0.40799999999999997</v>
      </c>
      <c r="BE33">
        <v>-0.496</v>
      </c>
      <c r="BF33">
        <v>-0.49299999999999999</v>
      </c>
      <c r="BG33">
        <v>-0.44700000000000001</v>
      </c>
      <c r="BH33">
        <v>-0.621</v>
      </c>
      <c r="BI33">
        <v>-0.61699999999999999</v>
      </c>
      <c r="BJ33">
        <v>-0.52</v>
      </c>
      <c r="BK33">
        <v>-0.67900000000000005</v>
      </c>
      <c r="BL33">
        <v>-0.63900000000000001</v>
      </c>
    </row>
    <row r="34" spans="1:64" x14ac:dyDescent="0.25">
      <c r="A34">
        <v>-0.38600000000000001</v>
      </c>
      <c r="B34">
        <v>-0.21099999999999999</v>
      </c>
      <c r="C34">
        <v>-8.5999999999999993E-2</v>
      </c>
      <c r="D34">
        <v>-0.45200000000000001</v>
      </c>
      <c r="E34">
        <v>-0.35899999999999999</v>
      </c>
      <c r="F34">
        <v>-3.4000000000000002E-2</v>
      </c>
      <c r="G34">
        <v>-5.2999999999999999E-2</v>
      </c>
      <c r="H34">
        <v>1.2E-2</v>
      </c>
      <c r="I34">
        <v>0.17</v>
      </c>
      <c r="J34">
        <v>0.52800000000000002</v>
      </c>
      <c r="K34">
        <v>0.45100000000000001</v>
      </c>
      <c r="L34">
        <v>0.308</v>
      </c>
      <c r="M34">
        <v>0.45100000000000001</v>
      </c>
      <c r="N34">
        <v>0.23</v>
      </c>
      <c r="O34">
        <v>0.45700000000000002</v>
      </c>
      <c r="P34">
        <v>0.53700000000000003</v>
      </c>
      <c r="Q34">
        <v>0.254</v>
      </c>
      <c r="R34">
        <v>-0.17199999999999999</v>
      </c>
      <c r="S34">
        <v>-0.441</v>
      </c>
      <c r="T34">
        <v>-0.65400000000000003</v>
      </c>
      <c r="U34">
        <v>-0.63500000000000001</v>
      </c>
      <c r="V34">
        <v>-0.496</v>
      </c>
      <c r="W34">
        <v>-0.29299999999999998</v>
      </c>
      <c r="X34">
        <v>0.1</v>
      </c>
      <c r="Y34">
        <v>0.114</v>
      </c>
      <c r="Z34">
        <v>4.2999999999999997E-2</v>
      </c>
      <c r="AA34">
        <v>-0.39</v>
      </c>
      <c r="AB34">
        <v>-0.54800000000000004</v>
      </c>
      <c r="AC34">
        <v>-0.48399999999999999</v>
      </c>
      <c r="AD34">
        <v>-0.28000000000000003</v>
      </c>
      <c r="AE34">
        <v>0.17100000000000001</v>
      </c>
      <c r="AF34">
        <v>0.189</v>
      </c>
      <c r="AG34">
        <v>-0.20699999999999999</v>
      </c>
      <c r="AH34">
        <v>-0.34</v>
      </c>
      <c r="AI34">
        <v>-0.4</v>
      </c>
      <c r="AJ34">
        <v>-0.30599999999999999</v>
      </c>
      <c r="AK34">
        <v>-0.222</v>
      </c>
      <c r="AL34">
        <v>-0.35199999999999998</v>
      </c>
      <c r="AM34">
        <v>0.11700000000000001</v>
      </c>
      <c r="AN34">
        <v>0.22800000000000001</v>
      </c>
      <c r="AO34">
        <v>-0.34899999999999998</v>
      </c>
      <c r="AP34">
        <v>-0.58899999999999997</v>
      </c>
      <c r="AQ34">
        <v>-0.49299999999999999</v>
      </c>
      <c r="AR34">
        <v>-0.19</v>
      </c>
      <c r="AS34">
        <v>-9.2999999999999999E-2</v>
      </c>
      <c r="AT34">
        <v>-0.1</v>
      </c>
      <c r="AU34">
        <v>-0.186</v>
      </c>
      <c r="AV34">
        <v>-0.30499999999999999</v>
      </c>
      <c r="AW34">
        <v>-0.441</v>
      </c>
      <c r="AX34">
        <v>-0.33600000000000002</v>
      </c>
      <c r="AY34">
        <v>-0.32200000000000001</v>
      </c>
      <c r="AZ34">
        <v>-0.249</v>
      </c>
      <c r="BA34">
        <v>-7.8E-2</v>
      </c>
      <c r="BB34">
        <v>-0.26</v>
      </c>
      <c r="BC34">
        <v>-0.53300000000000003</v>
      </c>
      <c r="BD34">
        <v>-0.56000000000000005</v>
      </c>
      <c r="BE34">
        <v>-0.52800000000000002</v>
      </c>
      <c r="BF34">
        <v>-0.503</v>
      </c>
      <c r="BG34">
        <v>-0.30199999999999999</v>
      </c>
      <c r="BH34">
        <v>-0.48299999999999998</v>
      </c>
      <c r="BI34">
        <v>-0.52400000000000002</v>
      </c>
      <c r="BJ34">
        <v>-0.35699999999999998</v>
      </c>
      <c r="BK34">
        <v>-0.67200000000000004</v>
      </c>
      <c r="BL34">
        <v>-0.72099999999999997</v>
      </c>
    </row>
    <row r="35" spans="1:64" x14ac:dyDescent="0.25">
      <c r="A35">
        <v>-0.48199999999999998</v>
      </c>
      <c r="B35">
        <v>-0.30499999999999999</v>
      </c>
      <c r="C35">
        <v>-0.309</v>
      </c>
      <c r="D35">
        <v>-0.6</v>
      </c>
      <c r="E35">
        <v>-0.28999999999999998</v>
      </c>
      <c r="F35">
        <v>0.26900000000000002</v>
      </c>
      <c r="G35">
        <v>4.7E-2</v>
      </c>
      <c r="H35">
        <v>-0.107</v>
      </c>
      <c r="I35">
        <v>0.22700000000000001</v>
      </c>
      <c r="J35">
        <v>0.58099999999999996</v>
      </c>
      <c r="K35">
        <v>0.34100000000000003</v>
      </c>
      <c r="L35">
        <v>0.26700000000000002</v>
      </c>
      <c r="M35">
        <v>0.45200000000000001</v>
      </c>
      <c r="N35">
        <v>5.3999999999999999E-2</v>
      </c>
      <c r="O35">
        <v>0.20399999999999999</v>
      </c>
      <c r="P35">
        <v>0.28899999999999998</v>
      </c>
      <c r="Q35">
        <v>0.29799999999999999</v>
      </c>
      <c r="R35">
        <v>0.155</v>
      </c>
      <c r="S35">
        <v>-0.29599999999999999</v>
      </c>
      <c r="T35">
        <v>-0.50800000000000001</v>
      </c>
      <c r="U35">
        <v>-0.53700000000000003</v>
      </c>
      <c r="V35">
        <v>-0.51700000000000002</v>
      </c>
      <c r="W35">
        <v>-0.28699999999999998</v>
      </c>
      <c r="X35">
        <v>-2E-3</v>
      </c>
      <c r="Y35">
        <v>4.4999999999999998E-2</v>
      </c>
      <c r="Z35">
        <v>-0.20100000000000001</v>
      </c>
      <c r="AA35">
        <v>-0.44900000000000001</v>
      </c>
      <c r="AB35">
        <v>-0.26600000000000001</v>
      </c>
      <c r="AC35">
        <v>-0.33400000000000002</v>
      </c>
      <c r="AD35">
        <v>-0.434</v>
      </c>
      <c r="AE35">
        <v>0.17599999999999999</v>
      </c>
      <c r="AF35">
        <v>0.27300000000000002</v>
      </c>
      <c r="AG35">
        <v>-0.35499999999999998</v>
      </c>
      <c r="AH35">
        <v>-0.55000000000000004</v>
      </c>
      <c r="AI35">
        <v>-0.50900000000000001</v>
      </c>
      <c r="AJ35">
        <v>-0.16800000000000001</v>
      </c>
      <c r="AK35">
        <v>5.0000000000000001E-3</v>
      </c>
      <c r="AL35">
        <v>-0.24</v>
      </c>
      <c r="AM35">
        <v>1.2E-2</v>
      </c>
      <c r="AN35">
        <v>-1.2999999999999999E-2</v>
      </c>
      <c r="AO35">
        <v>-0.40899999999999997</v>
      </c>
      <c r="AP35">
        <v>-0.51700000000000002</v>
      </c>
      <c r="AQ35">
        <v>-0.36</v>
      </c>
      <c r="AR35">
        <v>-0.26100000000000001</v>
      </c>
      <c r="AS35">
        <v>-0.14199999999999999</v>
      </c>
      <c r="AT35">
        <v>2.7E-2</v>
      </c>
      <c r="AU35">
        <v>-0.36399999999999999</v>
      </c>
      <c r="AV35">
        <v>-0.44700000000000001</v>
      </c>
      <c r="AW35">
        <v>-0.379</v>
      </c>
      <c r="AX35">
        <v>-0.26900000000000002</v>
      </c>
      <c r="AY35">
        <v>-0.22700000000000001</v>
      </c>
      <c r="AZ35">
        <v>-0.29699999999999999</v>
      </c>
      <c r="BA35">
        <v>-4.2000000000000003E-2</v>
      </c>
      <c r="BB35">
        <v>8.0000000000000002E-3</v>
      </c>
      <c r="BC35">
        <v>-0.48</v>
      </c>
      <c r="BD35">
        <v>-0.57299999999999995</v>
      </c>
      <c r="BE35">
        <v>-0.47199999999999998</v>
      </c>
      <c r="BF35">
        <v>-0.45700000000000002</v>
      </c>
      <c r="BG35">
        <v>-0.32900000000000001</v>
      </c>
      <c r="BH35">
        <v>-0.438</v>
      </c>
      <c r="BI35">
        <v>-0.43</v>
      </c>
      <c r="BJ35">
        <v>-0.378</v>
      </c>
      <c r="BK35">
        <v>-0.623</v>
      </c>
      <c r="BL35">
        <v>-0.71199999999999997</v>
      </c>
    </row>
    <row r="36" spans="1:64" x14ac:dyDescent="0.25">
      <c r="A36">
        <v>-0.66300000000000003</v>
      </c>
      <c r="B36">
        <v>-0.56999999999999995</v>
      </c>
      <c r="C36">
        <v>-0.46200000000000002</v>
      </c>
      <c r="D36">
        <v>-0.55500000000000005</v>
      </c>
      <c r="E36">
        <v>-0.307</v>
      </c>
      <c r="F36">
        <v>0.23699999999999999</v>
      </c>
      <c r="G36">
        <v>0.215</v>
      </c>
      <c r="H36">
        <v>0.16400000000000001</v>
      </c>
      <c r="I36">
        <v>0.20699999999999999</v>
      </c>
      <c r="J36">
        <v>0.48299999999999998</v>
      </c>
      <c r="K36">
        <v>0.39300000000000002</v>
      </c>
      <c r="L36">
        <v>0.33400000000000002</v>
      </c>
      <c r="M36">
        <v>0.42599999999999999</v>
      </c>
      <c r="N36">
        <v>1.2999999999999999E-2</v>
      </c>
      <c r="O36">
        <v>-3.5000000000000003E-2</v>
      </c>
      <c r="P36">
        <v>2.3E-2</v>
      </c>
      <c r="Q36">
        <v>0.16500000000000001</v>
      </c>
      <c r="R36">
        <v>9.6000000000000002E-2</v>
      </c>
      <c r="S36">
        <v>-2.5000000000000001E-2</v>
      </c>
      <c r="T36">
        <v>-0.247</v>
      </c>
      <c r="U36">
        <v>-0.442</v>
      </c>
      <c r="V36">
        <v>-0.435</v>
      </c>
      <c r="W36">
        <v>-0.217</v>
      </c>
      <c r="X36">
        <v>3.4000000000000002E-2</v>
      </c>
      <c r="Y36">
        <v>-9.6000000000000002E-2</v>
      </c>
      <c r="Z36">
        <v>-0.57199999999999995</v>
      </c>
      <c r="AA36">
        <v>-0.627</v>
      </c>
      <c r="AB36">
        <v>-0.16700000000000001</v>
      </c>
      <c r="AC36">
        <v>-8.5999999999999993E-2</v>
      </c>
      <c r="AD36">
        <v>-0.151</v>
      </c>
      <c r="AE36">
        <v>0.13900000000000001</v>
      </c>
      <c r="AF36">
        <v>6.4000000000000001E-2</v>
      </c>
      <c r="AG36">
        <v>-0.46700000000000003</v>
      </c>
      <c r="AH36">
        <v>-0.61799999999999999</v>
      </c>
      <c r="AI36">
        <v>-0.46899999999999997</v>
      </c>
      <c r="AJ36">
        <v>-0.26</v>
      </c>
      <c r="AK36">
        <v>-6.0000000000000001E-3</v>
      </c>
      <c r="AL36">
        <v>-9.9000000000000005E-2</v>
      </c>
      <c r="AM36">
        <v>-0.24</v>
      </c>
      <c r="AN36">
        <v>-0.23799999999999999</v>
      </c>
      <c r="AO36">
        <v>-0.36899999999999999</v>
      </c>
      <c r="AP36">
        <v>-0.35099999999999998</v>
      </c>
      <c r="AQ36">
        <v>-0.17</v>
      </c>
      <c r="AR36">
        <v>-0.216</v>
      </c>
      <c r="AS36">
        <v>-0.187</v>
      </c>
      <c r="AT36">
        <v>-0.10199999999999999</v>
      </c>
      <c r="AU36">
        <v>-0.42199999999999999</v>
      </c>
      <c r="AV36">
        <v>-0.58399999999999996</v>
      </c>
      <c r="AW36">
        <v>-0.53800000000000003</v>
      </c>
      <c r="AX36">
        <v>-0.35699999999999998</v>
      </c>
      <c r="AY36">
        <v>-0.20599999999999999</v>
      </c>
      <c r="AZ36">
        <v>-0.20899999999999999</v>
      </c>
      <c r="BA36">
        <v>-2.5999999999999999E-2</v>
      </c>
      <c r="BB36">
        <v>-2E-3</v>
      </c>
      <c r="BC36">
        <v>-0.44500000000000001</v>
      </c>
      <c r="BD36">
        <v>-0.61699999999999999</v>
      </c>
      <c r="BE36">
        <v>-0.433</v>
      </c>
      <c r="BF36">
        <v>-9.8000000000000004E-2</v>
      </c>
      <c r="BG36">
        <v>-0.312</v>
      </c>
      <c r="BH36">
        <v>-0.45300000000000001</v>
      </c>
      <c r="BI36">
        <v>-0.495</v>
      </c>
      <c r="BJ36">
        <v>-0.63100000000000001</v>
      </c>
      <c r="BK36">
        <v>-0.61299999999999999</v>
      </c>
      <c r="BL36">
        <v>-0.54800000000000004</v>
      </c>
    </row>
    <row r="37" spans="1:64" x14ac:dyDescent="0.25">
      <c r="A37">
        <v>-0.64300000000000002</v>
      </c>
      <c r="B37">
        <v>-0.61699999999999999</v>
      </c>
      <c r="C37">
        <v>-0.439</v>
      </c>
      <c r="D37">
        <v>-0.434</v>
      </c>
      <c r="E37">
        <v>-0.43099999999999999</v>
      </c>
      <c r="F37">
        <v>8.6999999999999994E-2</v>
      </c>
      <c r="G37">
        <v>0.39800000000000002</v>
      </c>
      <c r="H37">
        <v>0.42699999999999999</v>
      </c>
      <c r="I37">
        <v>0.161</v>
      </c>
      <c r="J37">
        <v>0.29799999999999999</v>
      </c>
      <c r="K37">
        <v>0.38100000000000001</v>
      </c>
      <c r="L37">
        <v>0.38600000000000001</v>
      </c>
      <c r="M37">
        <v>0.40200000000000002</v>
      </c>
      <c r="N37">
        <v>2.1000000000000001E-2</v>
      </c>
      <c r="O37">
        <v>-0.17100000000000001</v>
      </c>
      <c r="P37">
        <v>-0.17</v>
      </c>
      <c r="Q37">
        <v>1.7999999999999999E-2</v>
      </c>
      <c r="R37">
        <v>5.8999999999999997E-2</v>
      </c>
      <c r="S37">
        <v>0.23300000000000001</v>
      </c>
      <c r="T37">
        <v>-3.2000000000000001E-2</v>
      </c>
      <c r="U37">
        <v>-0.33400000000000002</v>
      </c>
      <c r="V37">
        <v>-0.29399999999999998</v>
      </c>
      <c r="W37">
        <v>-0.124</v>
      </c>
      <c r="X37">
        <v>0.22</v>
      </c>
      <c r="Y37">
        <v>-0.19400000000000001</v>
      </c>
      <c r="Z37">
        <v>-0.72799999999999998</v>
      </c>
      <c r="AA37">
        <v>-0.70699999999999996</v>
      </c>
      <c r="AB37">
        <v>-0.29299999999999998</v>
      </c>
      <c r="AC37">
        <v>-4.5999999999999999E-2</v>
      </c>
      <c r="AD37">
        <v>0.214</v>
      </c>
      <c r="AE37">
        <v>0.19</v>
      </c>
      <c r="AF37">
        <v>-0.23899999999999999</v>
      </c>
      <c r="AG37">
        <v>-0.55900000000000005</v>
      </c>
      <c r="AH37">
        <v>-0.59</v>
      </c>
      <c r="AI37">
        <v>-0.35799999999999998</v>
      </c>
      <c r="AJ37">
        <v>-0.308</v>
      </c>
      <c r="AK37">
        <v>-0.16200000000000001</v>
      </c>
      <c r="AL37">
        <v>-0.18099999999999999</v>
      </c>
      <c r="AM37">
        <v>-0.42799999999999999</v>
      </c>
      <c r="AN37">
        <v>-0.41499999999999998</v>
      </c>
      <c r="AO37">
        <v>-0.38500000000000001</v>
      </c>
      <c r="AP37">
        <v>-0.215</v>
      </c>
      <c r="AQ37">
        <v>-0.11</v>
      </c>
      <c r="AR37">
        <v>-0.22500000000000001</v>
      </c>
      <c r="AS37">
        <v>-0.13200000000000001</v>
      </c>
      <c r="AT37">
        <v>-0.16600000000000001</v>
      </c>
      <c r="AU37">
        <v>-0.46800000000000003</v>
      </c>
      <c r="AV37">
        <v>-0.56399999999999995</v>
      </c>
      <c r="AW37">
        <v>-0.60899999999999999</v>
      </c>
      <c r="AX37">
        <v>-0.55800000000000005</v>
      </c>
      <c r="AY37">
        <v>-0.316</v>
      </c>
      <c r="AZ37">
        <v>-0.13</v>
      </c>
      <c r="BA37">
        <v>-1.4999999999999999E-2</v>
      </c>
      <c r="BB37">
        <v>-8.7999999999999995E-2</v>
      </c>
      <c r="BC37">
        <v>-0.39100000000000001</v>
      </c>
      <c r="BD37">
        <v>-0.57399999999999995</v>
      </c>
      <c r="BE37">
        <v>-0.34699999999999998</v>
      </c>
      <c r="BF37">
        <v>0.19900000000000001</v>
      </c>
      <c r="BG37">
        <v>-0.21199999999999999</v>
      </c>
      <c r="BH37">
        <v>-0.48899999999999999</v>
      </c>
      <c r="BI37">
        <v>-0.61</v>
      </c>
      <c r="BJ37">
        <v>-0.71699999999999997</v>
      </c>
      <c r="BK37">
        <v>-0.629</v>
      </c>
      <c r="BL37">
        <v>-0.43</v>
      </c>
    </row>
    <row r="38" spans="1:64" x14ac:dyDescent="0.25">
      <c r="A38">
        <v>-0.40699999999999997</v>
      </c>
      <c r="B38">
        <v>-0.44600000000000001</v>
      </c>
      <c r="C38">
        <v>-0.38800000000000001</v>
      </c>
      <c r="D38">
        <v>-0.47299999999999998</v>
      </c>
      <c r="E38">
        <v>-0.52900000000000003</v>
      </c>
      <c r="F38">
        <v>-4.9000000000000002E-2</v>
      </c>
      <c r="G38">
        <v>0.5</v>
      </c>
      <c r="H38">
        <v>0.503</v>
      </c>
      <c r="I38">
        <v>0.186</v>
      </c>
      <c r="J38">
        <v>6.5000000000000002E-2</v>
      </c>
      <c r="K38">
        <v>0.20699999999999999</v>
      </c>
      <c r="L38">
        <v>0.39</v>
      </c>
      <c r="M38">
        <v>0.35299999999999998</v>
      </c>
      <c r="N38">
        <v>7.0999999999999994E-2</v>
      </c>
      <c r="O38">
        <v>-0.13400000000000001</v>
      </c>
      <c r="P38">
        <v>-0.252</v>
      </c>
      <c r="Q38">
        <v>4.2999999999999997E-2</v>
      </c>
      <c r="R38">
        <v>0.189</v>
      </c>
      <c r="S38">
        <v>0.315</v>
      </c>
      <c r="T38">
        <v>0.29499999999999998</v>
      </c>
      <c r="U38">
        <v>-0.111</v>
      </c>
      <c r="V38">
        <v>-0.20300000000000001</v>
      </c>
      <c r="W38">
        <v>-0.13200000000000001</v>
      </c>
      <c r="X38">
        <v>-3.0000000000000001E-3</v>
      </c>
      <c r="Y38">
        <v>-0.28499999999999998</v>
      </c>
      <c r="Z38">
        <v>-0.66600000000000004</v>
      </c>
      <c r="AA38">
        <v>-0.69199999999999995</v>
      </c>
      <c r="AB38">
        <v>-0.45300000000000001</v>
      </c>
      <c r="AC38">
        <v>-0.107</v>
      </c>
      <c r="AD38">
        <v>0.153</v>
      </c>
      <c r="AE38">
        <v>0.08</v>
      </c>
      <c r="AF38">
        <v>-0.33900000000000002</v>
      </c>
      <c r="AG38">
        <v>-0.54900000000000004</v>
      </c>
      <c r="AH38">
        <v>-0.44</v>
      </c>
      <c r="AI38">
        <v>-0.19700000000000001</v>
      </c>
      <c r="AJ38">
        <v>-0.15</v>
      </c>
      <c r="AK38">
        <v>-0.24299999999999999</v>
      </c>
      <c r="AL38">
        <v>-0.46200000000000002</v>
      </c>
      <c r="AM38">
        <v>-0.51400000000000001</v>
      </c>
      <c r="AN38">
        <v>-0.42299999999999999</v>
      </c>
      <c r="AO38">
        <v>-0.35199999999999998</v>
      </c>
      <c r="AP38">
        <v>-0.14299999999999999</v>
      </c>
      <c r="AQ38">
        <v>-4.5999999999999999E-2</v>
      </c>
      <c r="AR38">
        <v>-0.28999999999999998</v>
      </c>
      <c r="AS38">
        <v>-0.27700000000000002</v>
      </c>
      <c r="AT38">
        <v>-0.27700000000000002</v>
      </c>
      <c r="AU38">
        <v>-0.40100000000000002</v>
      </c>
      <c r="AV38">
        <v>-0.32200000000000001</v>
      </c>
      <c r="AW38">
        <v>-0.50900000000000001</v>
      </c>
      <c r="AX38">
        <v>-0.64300000000000002</v>
      </c>
      <c r="AY38">
        <v>-0.34200000000000003</v>
      </c>
      <c r="AZ38">
        <v>-0.27700000000000002</v>
      </c>
      <c r="BA38">
        <v>-8.3000000000000004E-2</v>
      </c>
      <c r="BB38">
        <v>-2.9000000000000001E-2</v>
      </c>
      <c r="BC38">
        <v>-0.45800000000000002</v>
      </c>
      <c r="BD38">
        <v>-0.5</v>
      </c>
      <c r="BE38">
        <v>-0.20799999999999999</v>
      </c>
      <c r="BF38">
        <v>0.20599999999999999</v>
      </c>
      <c r="BG38">
        <v>-8.2000000000000003E-2</v>
      </c>
      <c r="BH38">
        <v>-0.55100000000000005</v>
      </c>
      <c r="BI38">
        <v>-0.65700000000000003</v>
      </c>
      <c r="BJ38">
        <v>-0.63900000000000001</v>
      </c>
      <c r="BK38">
        <v>-0.55200000000000005</v>
      </c>
      <c r="BL38">
        <v>-0.46400000000000002</v>
      </c>
    </row>
    <row r="39" spans="1:64" x14ac:dyDescent="0.25">
      <c r="A39">
        <v>-0.23400000000000001</v>
      </c>
      <c r="B39">
        <v>-0.182</v>
      </c>
      <c r="C39">
        <v>-0.40600000000000003</v>
      </c>
      <c r="D39">
        <v>-0.51300000000000001</v>
      </c>
      <c r="E39">
        <v>-0.46200000000000002</v>
      </c>
      <c r="F39">
        <v>-0.17699999999999999</v>
      </c>
      <c r="G39">
        <v>0.48799999999999999</v>
      </c>
      <c r="H39">
        <v>0.53900000000000003</v>
      </c>
      <c r="I39">
        <v>0.27100000000000002</v>
      </c>
      <c r="J39">
        <v>-5.7000000000000002E-2</v>
      </c>
      <c r="K39">
        <v>7.0999999999999994E-2</v>
      </c>
      <c r="L39">
        <v>0.47199999999999998</v>
      </c>
      <c r="M39">
        <v>0.36</v>
      </c>
      <c r="N39">
        <v>0.121</v>
      </c>
      <c r="O39">
        <v>-6.0999999999999999E-2</v>
      </c>
      <c r="P39">
        <v>-0.16600000000000001</v>
      </c>
      <c r="Q39">
        <v>0.17899999999999999</v>
      </c>
      <c r="R39">
        <v>0.20699999999999999</v>
      </c>
      <c r="S39">
        <v>0.37</v>
      </c>
      <c r="T39">
        <v>0.56699999999999995</v>
      </c>
      <c r="U39">
        <v>5.6000000000000001E-2</v>
      </c>
      <c r="V39">
        <v>-0.33500000000000002</v>
      </c>
      <c r="W39">
        <v>-0.20100000000000001</v>
      </c>
      <c r="X39">
        <v>-0.317</v>
      </c>
      <c r="Y39">
        <v>-0.4</v>
      </c>
      <c r="Z39">
        <v>-0.44</v>
      </c>
      <c r="AA39">
        <v>-0.63</v>
      </c>
      <c r="AB39">
        <v>-0.60499999999999998</v>
      </c>
      <c r="AC39">
        <v>-0.27700000000000002</v>
      </c>
      <c r="AD39">
        <v>-7.9000000000000001E-2</v>
      </c>
      <c r="AE39">
        <v>-0.13</v>
      </c>
      <c r="AF39">
        <v>-0.35099999999999998</v>
      </c>
      <c r="AG39">
        <v>-0.502</v>
      </c>
      <c r="AH39">
        <v>-0.38300000000000001</v>
      </c>
      <c r="AI39">
        <v>-7.5999999999999998E-2</v>
      </c>
      <c r="AJ39">
        <v>0.16900000000000001</v>
      </c>
      <c r="AK39">
        <v>-0.2</v>
      </c>
      <c r="AL39">
        <v>-0.628</v>
      </c>
      <c r="AM39">
        <v>-0.59199999999999997</v>
      </c>
      <c r="AN39">
        <v>-0.36399999999999999</v>
      </c>
      <c r="AO39">
        <v>-0.35099999999999998</v>
      </c>
      <c r="AP39">
        <v>-0.189</v>
      </c>
      <c r="AQ39">
        <v>-3.4000000000000002E-2</v>
      </c>
      <c r="AR39">
        <v>-0.34799999999999998</v>
      </c>
      <c r="AS39">
        <v>-0.50800000000000001</v>
      </c>
      <c r="AT39">
        <v>-0.53500000000000003</v>
      </c>
      <c r="AU39">
        <v>-0.42299999999999999</v>
      </c>
      <c r="AV39">
        <v>-8.3000000000000004E-2</v>
      </c>
      <c r="AW39">
        <v>-0.36599999999999999</v>
      </c>
      <c r="AX39">
        <v>-0.59699999999999998</v>
      </c>
      <c r="AY39">
        <v>-0.35099999999999998</v>
      </c>
      <c r="AZ39">
        <v>-0.45500000000000002</v>
      </c>
      <c r="BA39">
        <v>-0.125</v>
      </c>
      <c r="BB39">
        <v>0.157</v>
      </c>
      <c r="BC39">
        <v>-0.47899999999999998</v>
      </c>
      <c r="BD39">
        <v>-0.52200000000000002</v>
      </c>
      <c r="BE39">
        <v>-0.13300000000000001</v>
      </c>
      <c r="BF39">
        <v>5.8000000000000003E-2</v>
      </c>
      <c r="BG39">
        <v>-0.249</v>
      </c>
      <c r="BH39">
        <v>-0.56399999999999995</v>
      </c>
      <c r="BI39">
        <v>-0.69199999999999995</v>
      </c>
      <c r="BJ39">
        <v>-0.66300000000000003</v>
      </c>
      <c r="BK39">
        <v>-0.56399999999999995</v>
      </c>
      <c r="BL39">
        <v>-0.56799999999999995</v>
      </c>
    </row>
    <row r="40" spans="1:64" x14ac:dyDescent="0.25">
      <c r="A40">
        <v>-0.34100000000000003</v>
      </c>
      <c r="B40">
        <v>-0.28499999999999998</v>
      </c>
      <c r="C40">
        <v>-0.45800000000000002</v>
      </c>
      <c r="D40">
        <v>-0.46700000000000003</v>
      </c>
      <c r="E40">
        <v>-0.157</v>
      </c>
      <c r="F40">
        <v>0.01</v>
      </c>
      <c r="G40">
        <v>0.36399999999999999</v>
      </c>
      <c r="H40">
        <v>0.51</v>
      </c>
      <c r="I40">
        <v>0.26500000000000001</v>
      </c>
      <c r="J40">
        <v>0.12</v>
      </c>
      <c r="K40">
        <v>0.20399999999999999</v>
      </c>
      <c r="L40">
        <v>0.33200000000000002</v>
      </c>
      <c r="M40">
        <v>0.14599999999999999</v>
      </c>
      <c r="N40">
        <v>0.151</v>
      </c>
      <c r="O40">
        <v>9.0999999999999998E-2</v>
      </c>
      <c r="P40">
        <v>0.20699999999999999</v>
      </c>
      <c r="Q40">
        <v>0.32800000000000001</v>
      </c>
      <c r="R40">
        <v>0.11</v>
      </c>
      <c r="S40">
        <v>0.44800000000000001</v>
      </c>
      <c r="T40">
        <v>0.55900000000000005</v>
      </c>
      <c r="U40">
        <v>-8.1000000000000003E-2</v>
      </c>
      <c r="V40">
        <v>-0.53400000000000003</v>
      </c>
      <c r="W40">
        <v>-0.32</v>
      </c>
      <c r="X40">
        <v>-0.29799999999999999</v>
      </c>
      <c r="Y40">
        <v>-0.29699999999999999</v>
      </c>
      <c r="Z40">
        <v>-0.26900000000000002</v>
      </c>
      <c r="AA40">
        <v>-0.51400000000000001</v>
      </c>
      <c r="AB40">
        <v>-0.48499999999999999</v>
      </c>
      <c r="AC40">
        <v>-0.39700000000000002</v>
      </c>
      <c r="AD40">
        <v>-0.505</v>
      </c>
      <c r="AE40">
        <v>-0.32600000000000001</v>
      </c>
      <c r="AF40">
        <v>-0.28799999999999998</v>
      </c>
      <c r="AG40">
        <v>-0.27100000000000002</v>
      </c>
      <c r="AH40">
        <v>-0.29899999999999999</v>
      </c>
      <c r="AI40">
        <v>-5.2999999999999999E-2</v>
      </c>
      <c r="AJ40">
        <v>0.40200000000000002</v>
      </c>
      <c r="AK40">
        <v>-6.8000000000000005E-2</v>
      </c>
      <c r="AL40">
        <v>-0.57599999999999996</v>
      </c>
      <c r="AM40">
        <v>-0.498</v>
      </c>
      <c r="AN40">
        <v>-0.27100000000000002</v>
      </c>
      <c r="AO40">
        <v>-0.28999999999999998</v>
      </c>
      <c r="AP40">
        <v>-0.32800000000000001</v>
      </c>
      <c r="AQ40">
        <v>-0.24099999999999999</v>
      </c>
      <c r="AR40">
        <v>-0.48</v>
      </c>
      <c r="AS40">
        <v>-0.61</v>
      </c>
      <c r="AT40">
        <v>-0.58699999999999997</v>
      </c>
      <c r="AU40">
        <v>-0.46</v>
      </c>
      <c r="AV40">
        <v>-0.27800000000000002</v>
      </c>
      <c r="AW40">
        <v>-0.372</v>
      </c>
      <c r="AX40">
        <v>-0.433</v>
      </c>
      <c r="AY40">
        <v>-0.32900000000000001</v>
      </c>
      <c r="AZ40">
        <v>-0.48199999999999998</v>
      </c>
      <c r="BA40">
        <v>-0.1</v>
      </c>
      <c r="BB40">
        <v>0.23899999999999999</v>
      </c>
      <c r="BC40">
        <v>-0.314</v>
      </c>
      <c r="BD40">
        <v>-0.44800000000000001</v>
      </c>
      <c r="BE40">
        <v>-0.20899999999999999</v>
      </c>
      <c r="BF40">
        <v>-0.314</v>
      </c>
      <c r="BG40">
        <v>-0.52200000000000002</v>
      </c>
      <c r="BH40">
        <v>-0.54200000000000004</v>
      </c>
      <c r="BI40">
        <v>-0.69399999999999995</v>
      </c>
      <c r="BJ40">
        <v>-0.73199999999999998</v>
      </c>
      <c r="BK40">
        <v>-0.67200000000000004</v>
      </c>
      <c r="BL40">
        <v>-0.626</v>
      </c>
    </row>
    <row r="41" spans="1:64" x14ac:dyDescent="0.25">
      <c r="A41">
        <v>-0.30599999999999999</v>
      </c>
      <c r="B41">
        <v>-0.33200000000000002</v>
      </c>
      <c r="C41">
        <v>-0.53400000000000003</v>
      </c>
      <c r="D41">
        <v>-0.52200000000000002</v>
      </c>
      <c r="E41">
        <v>1.4999999999999999E-2</v>
      </c>
      <c r="F41">
        <v>0.193</v>
      </c>
      <c r="G41">
        <v>0.27600000000000002</v>
      </c>
      <c r="H41">
        <v>0.44600000000000001</v>
      </c>
      <c r="I41">
        <v>0.193</v>
      </c>
      <c r="J41">
        <v>0.20599999999999999</v>
      </c>
      <c r="K41">
        <v>0.32600000000000001</v>
      </c>
      <c r="L41">
        <v>4.4999999999999998E-2</v>
      </c>
      <c r="M41">
        <v>-6.8000000000000005E-2</v>
      </c>
      <c r="N41">
        <v>0.29799999999999999</v>
      </c>
      <c r="O41">
        <v>0.33500000000000002</v>
      </c>
      <c r="P41">
        <v>0.42899999999999999</v>
      </c>
      <c r="Q41">
        <v>0.47099999999999997</v>
      </c>
      <c r="R41">
        <v>0.221</v>
      </c>
      <c r="S41">
        <v>0.51500000000000001</v>
      </c>
      <c r="T41">
        <v>0.501</v>
      </c>
      <c r="U41">
        <v>-0.32400000000000001</v>
      </c>
      <c r="V41">
        <v>-0.65700000000000003</v>
      </c>
      <c r="W41">
        <v>-0.58199999999999996</v>
      </c>
      <c r="X41">
        <v>-0.48299999999999998</v>
      </c>
      <c r="Y41">
        <v>-0.22</v>
      </c>
      <c r="Z41">
        <v>-0.23100000000000001</v>
      </c>
      <c r="AA41">
        <v>-0.36299999999999999</v>
      </c>
      <c r="AB41">
        <v>-6.3E-2</v>
      </c>
      <c r="AC41">
        <v>-0.376</v>
      </c>
      <c r="AD41">
        <v>-0.72199999999999998</v>
      </c>
      <c r="AE41">
        <v>-0.55900000000000005</v>
      </c>
      <c r="AF41">
        <v>-0.32800000000000001</v>
      </c>
      <c r="AG41">
        <v>-0.12</v>
      </c>
      <c r="AH41">
        <v>-0.109</v>
      </c>
      <c r="AI41">
        <v>-2.8000000000000001E-2</v>
      </c>
      <c r="AJ41">
        <v>0.42599999999999999</v>
      </c>
      <c r="AK41">
        <v>9.6000000000000002E-2</v>
      </c>
      <c r="AL41">
        <v>-0.38900000000000001</v>
      </c>
      <c r="AM41">
        <v>-0.46300000000000002</v>
      </c>
      <c r="AN41">
        <v>-0.34699999999999998</v>
      </c>
      <c r="AO41">
        <v>-0.249</v>
      </c>
      <c r="AP41">
        <v>-0.41199999999999998</v>
      </c>
      <c r="AQ41">
        <v>-0.442</v>
      </c>
      <c r="AR41">
        <v>-0.56899999999999995</v>
      </c>
      <c r="AS41">
        <v>-0.627</v>
      </c>
      <c r="AT41">
        <v>-0.54300000000000004</v>
      </c>
      <c r="AU41">
        <v>-0.496</v>
      </c>
      <c r="AV41">
        <v>-0.46500000000000002</v>
      </c>
      <c r="AW41">
        <v>-0.43</v>
      </c>
      <c r="AX41">
        <v>-0.28499999999999998</v>
      </c>
      <c r="AY41">
        <v>-0.18</v>
      </c>
      <c r="AZ41">
        <v>-0.39600000000000002</v>
      </c>
      <c r="BA41">
        <v>-0.111</v>
      </c>
      <c r="BB41">
        <v>6.8000000000000005E-2</v>
      </c>
      <c r="BC41">
        <v>-0.26500000000000001</v>
      </c>
      <c r="BD41">
        <v>-0.30199999999999999</v>
      </c>
      <c r="BE41">
        <v>-0.28999999999999998</v>
      </c>
      <c r="BF41">
        <v>-0.48499999999999999</v>
      </c>
      <c r="BG41">
        <v>-0.59799999999999998</v>
      </c>
      <c r="BH41">
        <v>-0.51200000000000001</v>
      </c>
      <c r="BI41">
        <v>-0.627</v>
      </c>
      <c r="BJ41">
        <v>-0.71199999999999997</v>
      </c>
      <c r="BK41">
        <v>-0.71899999999999997</v>
      </c>
      <c r="BL41">
        <v>-0.66500000000000004</v>
      </c>
    </row>
    <row r="42" spans="1:64" x14ac:dyDescent="0.25">
      <c r="A42">
        <v>-0.187</v>
      </c>
      <c r="B42">
        <v>-0.20399999999999999</v>
      </c>
      <c r="C42">
        <v>-0.42799999999999999</v>
      </c>
      <c r="D42">
        <v>-0.502</v>
      </c>
      <c r="E42">
        <v>-0.14499999999999999</v>
      </c>
      <c r="F42">
        <v>-5.3999999999999999E-2</v>
      </c>
      <c r="G42">
        <v>0.25900000000000001</v>
      </c>
      <c r="H42">
        <v>0.503</v>
      </c>
      <c r="I42">
        <v>0.18</v>
      </c>
      <c r="J42">
        <v>1.4E-2</v>
      </c>
      <c r="K42">
        <v>0.14499999999999999</v>
      </c>
      <c r="L42">
        <v>0.04</v>
      </c>
      <c r="M42">
        <v>4.2999999999999997E-2</v>
      </c>
      <c r="N42">
        <v>0.47699999999999998</v>
      </c>
      <c r="O42">
        <v>0.47599999999999998</v>
      </c>
      <c r="P42">
        <v>0.44900000000000001</v>
      </c>
      <c r="Q42">
        <v>0.47399999999999998</v>
      </c>
      <c r="R42">
        <v>0.42199999999999999</v>
      </c>
      <c r="S42">
        <v>0.55600000000000005</v>
      </c>
      <c r="T42">
        <v>0.48099999999999998</v>
      </c>
      <c r="U42">
        <v>-0.39</v>
      </c>
      <c r="V42">
        <v>-0.65300000000000002</v>
      </c>
      <c r="W42">
        <v>-0.66700000000000004</v>
      </c>
      <c r="X42">
        <v>-0.70799999999999996</v>
      </c>
      <c r="Y42">
        <v>-0.34</v>
      </c>
      <c r="Z42">
        <v>-0.29499999999999998</v>
      </c>
      <c r="AA42">
        <v>-0.28699999999999998</v>
      </c>
      <c r="AB42">
        <v>0.01</v>
      </c>
      <c r="AC42">
        <v>-0.27600000000000002</v>
      </c>
      <c r="AD42">
        <v>-0.68799999999999994</v>
      </c>
      <c r="AE42">
        <v>-0.69699999999999995</v>
      </c>
      <c r="AF42">
        <v>-0.41699999999999998</v>
      </c>
      <c r="AG42">
        <v>-5.7000000000000002E-2</v>
      </c>
      <c r="AH42">
        <v>7.2999999999999995E-2</v>
      </c>
      <c r="AI42">
        <v>-2.8000000000000001E-2</v>
      </c>
      <c r="AJ42">
        <v>0.216</v>
      </c>
      <c r="AK42">
        <v>0.161</v>
      </c>
      <c r="AL42">
        <v>-0.20499999999999999</v>
      </c>
      <c r="AM42">
        <v>-0.47499999999999998</v>
      </c>
      <c r="AN42">
        <v>-0.443</v>
      </c>
      <c r="AO42">
        <v>-0.19800000000000001</v>
      </c>
      <c r="AP42">
        <v>-0.22</v>
      </c>
      <c r="AQ42">
        <v>-0.39400000000000002</v>
      </c>
      <c r="AR42">
        <v>-0.40500000000000003</v>
      </c>
      <c r="AS42">
        <v>-0.439</v>
      </c>
      <c r="AT42">
        <v>-0.56299999999999994</v>
      </c>
      <c r="AU42">
        <v>-0.52300000000000002</v>
      </c>
      <c r="AV42">
        <v>-0.434</v>
      </c>
      <c r="AW42">
        <v>-0.41799999999999998</v>
      </c>
      <c r="AX42">
        <v>-0.156</v>
      </c>
      <c r="AY42">
        <v>-2.8000000000000001E-2</v>
      </c>
      <c r="AZ42">
        <v>-0.31900000000000001</v>
      </c>
      <c r="BA42">
        <v>-0.157</v>
      </c>
      <c r="BB42">
        <v>-5.8999999999999997E-2</v>
      </c>
      <c r="BC42">
        <v>-0.26</v>
      </c>
      <c r="BD42">
        <v>-0.33700000000000002</v>
      </c>
      <c r="BE42">
        <v>-0.47599999999999998</v>
      </c>
      <c r="BF42">
        <v>-0.54900000000000004</v>
      </c>
      <c r="BG42">
        <v>-0.51800000000000002</v>
      </c>
      <c r="BH42">
        <v>-0.48299999999999998</v>
      </c>
      <c r="BI42">
        <v>-0.52300000000000002</v>
      </c>
      <c r="BJ42">
        <v>-0.63</v>
      </c>
      <c r="BK42">
        <v>-0.74099999999999999</v>
      </c>
      <c r="BL42">
        <v>-0.7</v>
      </c>
    </row>
    <row r="43" spans="1:64" x14ac:dyDescent="0.25">
      <c r="A43">
        <v>-2.1999999999999999E-2</v>
      </c>
      <c r="B43">
        <v>-0.113</v>
      </c>
      <c r="C43">
        <v>-0.24</v>
      </c>
      <c r="D43">
        <v>-0.34599999999999997</v>
      </c>
      <c r="E43">
        <v>-0.20399999999999999</v>
      </c>
      <c r="F43">
        <v>-0.16500000000000001</v>
      </c>
      <c r="G43">
        <v>0.27200000000000002</v>
      </c>
      <c r="H43">
        <v>0.54</v>
      </c>
      <c r="I43">
        <v>0.23200000000000001</v>
      </c>
      <c r="J43">
        <v>-4.4999999999999998E-2</v>
      </c>
      <c r="K43">
        <v>-0.01</v>
      </c>
      <c r="L43">
        <v>0.17100000000000001</v>
      </c>
      <c r="M43">
        <v>0.29699999999999999</v>
      </c>
      <c r="N43">
        <v>0.501</v>
      </c>
      <c r="O43">
        <v>0.47899999999999998</v>
      </c>
      <c r="P43">
        <v>0.54700000000000004</v>
      </c>
      <c r="Q43">
        <v>0.53600000000000003</v>
      </c>
      <c r="R43">
        <v>0.47799999999999998</v>
      </c>
      <c r="S43">
        <v>0.52100000000000002</v>
      </c>
      <c r="T43">
        <v>0.33</v>
      </c>
      <c r="U43">
        <v>-0.33800000000000002</v>
      </c>
      <c r="V43">
        <v>-0.55700000000000005</v>
      </c>
      <c r="W43">
        <v>-0.65</v>
      </c>
      <c r="X43">
        <v>-0.72399999999999998</v>
      </c>
      <c r="Y43">
        <v>-0.35</v>
      </c>
      <c r="Z43">
        <v>-0.35899999999999999</v>
      </c>
      <c r="AA43">
        <v>-0.375</v>
      </c>
      <c r="AB43">
        <v>-0.18099999999999999</v>
      </c>
      <c r="AC43">
        <v>-0.222</v>
      </c>
      <c r="AD43">
        <v>-0.56599999999999995</v>
      </c>
      <c r="AE43">
        <v>-0.71499999999999997</v>
      </c>
      <c r="AF43">
        <v>-0.51600000000000001</v>
      </c>
      <c r="AG43">
        <v>-0.112</v>
      </c>
      <c r="AH43">
        <v>0.13800000000000001</v>
      </c>
      <c r="AI43">
        <v>-1E-3</v>
      </c>
      <c r="AJ43">
        <v>-5.8000000000000003E-2</v>
      </c>
      <c r="AK43">
        <v>-1.4E-2</v>
      </c>
      <c r="AL43">
        <v>-0.127</v>
      </c>
      <c r="AM43">
        <v>-0.42</v>
      </c>
      <c r="AN43">
        <v>-0.622</v>
      </c>
      <c r="AO43">
        <v>-0.36199999999999999</v>
      </c>
      <c r="AP43">
        <v>-0.13200000000000001</v>
      </c>
      <c r="AQ43">
        <v>-0.372</v>
      </c>
      <c r="AR43">
        <v>-0.33600000000000002</v>
      </c>
      <c r="AS43">
        <v>-0.28199999999999997</v>
      </c>
      <c r="AT43">
        <v>-0.503</v>
      </c>
      <c r="AU43">
        <v>-0.47899999999999998</v>
      </c>
      <c r="AV43">
        <v>-0.46600000000000003</v>
      </c>
      <c r="AW43">
        <v>-0.45900000000000002</v>
      </c>
      <c r="AX43">
        <v>-9.8000000000000004E-2</v>
      </c>
      <c r="AY43">
        <v>-5.8000000000000003E-2</v>
      </c>
      <c r="AZ43">
        <v>-0.16600000000000001</v>
      </c>
      <c r="BA43">
        <v>-6.2E-2</v>
      </c>
      <c r="BB43">
        <v>-1E-3</v>
      </c>
      <c r="BC43">
        <v>-0.23</v>
      </c>
      <c r="BD43">
        <v>-0.46100000000000002</v>
      </c>
      <c r="BE43">
        <v>-0.62</v>
      </c>
      <c r="BF43">
        <v>-0.69299999999999995</v>
      </c>
      <c r="BG43">
        <v>-0.58099999999999996</v>
      </c>
      <c r="BH43">
        <v>-0.51600000000000001</v>
      </c>
      <c r="BI43">
        <v>-0.46500000000000002</v>
      </c>
      <c r="BJ43">
        <v>-0.54200000000000004</v>
      </c>
      <c r="BK43">
        <v>-0.72699999999999998</v>
      </c>
      <c r="BL43">
        <v>-0.7</v>
      </c>
    </row>
    <row r="44" spans="1:64" x14ac:dyDescent="0.25">
      <c r="A44">
        <v>6.0999999999999999E-2</v>
      </c>
      <c r="B44">
        <v>-0.124</v>
      </c>
      <c r="C44">
        <v>-0.224</v>
      </c>
      <c r="D44">
        <v>-0.26400000000000001</v>
      </c>
      <c r="E44">
        <v>-0.16400000000000001</v>
      </c>
      <c r="F44">
        <v>5.7000000000000002E-2</v>
      </c>
      <c r="G44">
        <v>0.29099999999999998</v>
      </c>
      <c r="H44">
        <v>0.439</v>
      </c>
      <c r="I44">
        <v>0.27500000000000002</v>
      </c>
      <c r="J44">
        <v>3.3000000000000002E-2</v>
      </c>
      <c r="K44">
        <v>2.8000000000000001E-2</v>
      </c>
      <c r="L44">
        <v>0.38100000000000001</v>
      </c>
      <c r="M44">
        <v>0.45900000000000002</v>
      </c>
      <c r="N44">
        <v>0.41099999999999998</v>
      </c>
      <c r="O44">
        <v>0.47699999999999998</v>
      </c>
      <c r="P44">
        <v>0.64400000000000002</v>
      </c>
      <c r="Q44">
        <v>0.64900000000000002</v>
      </c>
      <c r="R44">
        <v>0.42799999999999999</v>
      </c>
      <c r="S44">
        <v>0.38600000000000001</v>
      </c>
      <c r="T44">
        <v>9.5000000000000001E-2</v>
      </c>
      <c r="U44">
        <v>-0.371</v>
      </c>
      <c r="V44">
        <v>-0.42899999999999999</v>
      </c>
      <c r="W44">
        <v>-0.54</v>
      </c>
      <c r="X44">
        <v>-0.58499999999999996</v>
      </c>
      <c r="Y44">
        <v>-0.27100000000000002</v>
      </c>
      <c r="Z44">
        <v>-0.378</v>
      </c>
      <c r="AA44">
        <v>-0.41799999999999998</v>
      </c>
      <c r="AB44">
        <v>-0.28499999999999998</v>
      </c>
      <c r="AC44">
        <v>-0.16</v>
      </c>
      <c r="AD44">
        <v>-0.38100000000000001</v>
      </c>
      <c r="AE44">
        <v>-0.65200000000000002</v>
      </c>
      <c r="AF44">
        <v>-0.62</v>
      </c>
      <c r="AG44">
        <v>-0.28899999999999998</v>
      </c>
      <c r="AH44">
        <v>0.13500000000000001</v>
      </c>
      <c r="AI44">
        <v>3.5999999999999997E-2</v>
      </c>
      <c r="AJ44">
        <v>-0.245</v>
      </c>
      <c r="AK44">
        <v>-0.26700000000000002</v>
      </c>
      <c r="AL44">
        <v>-0.17299999999999999</v>
      </c>
      <c r="AM44">
        <v>-0.40699999999999997</v>
      </c>
      <c r="AN44">
        <v>-0.70299999999999996</v>
      </c>
      <c r="AO44">
        <v>-0.51300000000000001</v>
      </c>
      <c r="AP44">
        <v>-6.4000000000000001E-2</v>
      </c>
      <c r="AQ44">
        <v>-0.255</v>
      </c>
      <c r="AR44">
        <v>-0.33300000000000002</v>
      </c>
      <c r="AS44">
        <v>-0.45700000000000002</v>
      </c>
      <c r="AT44">
        <v>-0.54800000000000004</v>
      </c>
      <c r="AU44">
        <v>-0.41199999999999998</v>
      </c>
      <c r="AV44">
        <v>-0.53</v>
      </c>
      <c r="AW44">
        <v>-0.432</v>
      </c>
      <c r="AX44">
        <v>-0.157</v>
      </c>
      <c r="AY44">
        <v>-0.17</v>
      </c>
      <c r="AZ44">
        <v>0.13900000000000001</v>
      </c>
      <c r="BA44">
        <v>4.7E-2</v>
      </c>
      <c r="BB44">
        <v>-0.17599999999999999</v>
      </c>
      <c r="BC44">
        <v>-0.32500000000000001</v>
      </c>
      <c r="BD44">
        <v>-0.48399999999999999</v>
      </c>
      <c r="BE44">
        <v>-0.54200000000000004</v>
      </c>
      <c r="BF44">
        <v>-0.67700000000000005</v>
      </c>
      <c r="BG44">
        <v>-0.75</v>
      </c>
      <c r="BH44">
        <v>-0.69299999999999995</v>
      </c>
      <c r="BI44">
        <v>-0.48599999999999999</v>
      </c>
      <c r="BJ44">
        <v>-0.497</v>
      </c>
      <c r="BK44">
        <v>-0.73</v>
      </c>
      <c r="BL44">
        <v>-0.75900000000000001</v>
      </c>
    </row>
    <row r="45" spans="1:64" x14ac:dyDescent="0.25">
      <c r="A45">
        <v>-0.09</v>
      </c>
      <c r="B45">
        <v>-0.13700000000000001</v>
      </c>
      <c r="C45">
        <v>-0.159</v>
      </c>
      <c r="D45">
        <v>-0.24399999999999999</v>
      </c>
      <c r="E45">
        <v>-0.14799999999999999</v>
      </c>
      <c r="F45">
        <v>0.22900000000000001</v>
      </c>
      <c r="G45">
        <v>0.29699999999999999</v>
      </c>
      <c r="H45">
        <v>0.29899999999999999</v>
      </c>
      <c r="I45">
        <v>0.25600000000000001</v>
      </c>
      <c r="J45">
        <v>5.8000000000000003E-2</v>
      </c>
      <c r="K45">
        <v>0.219</v>
      </c>
      <c r="L45">
        <v>0.59099999999999997</v>
      </c>
      <c r="M45">
        <v>0.52900000000000003</v>
      </c>
      <c r="N45">
        <v>0.37</v>
      </c>
      <c r="O45">
        <v>0.51300000000000001</v>
      </c>
      <c r="P45">
        <v>0.65</v>
      </c>
      <c r="Q45">
        <v>0.65900000000000003</v>
      </c>
      <c r="R45">
        <v>0.34599999999999997</v>
      </c>
      <c r="S45">
        <v>0.19800000000000001</v>
      </c>
      <c r="T45">
        <v>-2.8000000000000001E-2</v>
      </c>
      <c r="U45">
        <v>-0.42399999999999999</v>
      </c>
      <c r="V45">
        <v>-0.46200000000000002</v>
      </c>
      <c r="W45">
        <v>-0.47299999999999998</v>
      </c>
      <c r="X45">
        <v>-0.42699999999999999</v>
      </c>
      <c r="Y45">
        <v>-0.16900000000000001</v>
      </c>
      <c r="Z45">
        <v>-0.22600000000000001</v>
      </c>
      <c r="AA45">
        <v>-0.32200000000000001</v>
      </c>
      <c r="AB45">
        <v>-0.19800000000000001</v>
      </c>
      <c r="AC45">
        <v>-0.12</v>
      </c>
      <c r="AD45">
        <v>-0.251</v>
      </c>
      <c r="AE45">
        <v>-0.55700000000000005</v>
      </c>
      <c r="AF45">
        <v>-0.65900000000000003</v>
      </c>
      <c r="AG45">
        <v>-0.375</v>
      </c>
      <c r="AH45">
        <v>0.14099999999999999</v>
      </c>
      <c r="AI45">
        <v>-0.14699999999999999</v>
      </c>
      <c r="AJ45">
        <v>-0.52100000000000002</v>
      </c>
      <c r="AK45">
        <v>-0.34399999999999997</v>
      </c>
      <c r="AL45">
        <v>-0.22900000000000001</v>
      </c>
      <c r="AM45">
        <v>-0.51400000000000001</v>
      </c>
      <c r="AN45">
        <v>-0.70799999999999996</v>
      </c>
      <c r="AO45">
        <v>-0.53500000000000003</v>
      </c>
      <c r="AP45">
        <v>2E-3</v>
      </c>
      <c r="AQ45">
        <v>-0.05</v>
      </c>
      <c r="AR45">
        <v>-0.22</v>
      </c>
      <c r="AS45">
        <v>-0.56200000000000006</v>
      </c>
      <c r="AT45">
        <v>-0.58199999999999996</v>
      </c>
      <c r="AU45">
        <v>-0.46200000000000002</v>
      </c>
      <c r="AV45">
        <v>-0.61099999999999999</v>
      </c>
      <c r="AW45">
        <v>-0.41199999999999998</v>
      </c>
      <c r="AX45">
        <v>-0.15</v>
      </c>
      <c r="AY45">
        <v>-9.8000000000000004E-2</v>
      </c>
      <c r="AZ45">
        <v>0.28399999999999997</v>
      </c>
      <c r="BA45">
        <v>-9.5000000000000001E-2</v>
      </c>
      <c r="BB45">
        <v>-0.40500000000000003</v>
      </c>
      <c r="BC45">
        <v>-0.36599999999999999</v>
      </c>
      <c r="BD45">
        <v>-0.52400000000000002</v>
      </c>
      <c r="BE45">
        <v>-0.61499999999999999</v>
      </c>
      <c r="BF45">
        <v>-0.67100000000000004</v>
      </c>
      <c r="BG45">
        <v>-0.81399999999999995</v>
      </c>
      <c r="BH45">
        <v>-0.85299999999999998</v>
      </c>
      <c r="BI45">
        <v>-0.67</v>
      </c>
      <c r="BJ45">
        <v>-0.46600000000000003</v>
      </c>
      <c r="BK45">
        <v>-0.623</v>
      </c>
      <c r="BL45">
        <v>-0.754</v>
      </c>
    </row>
    <row r="46" spans="1:64" x14ac:dyDescent="0.25">
      <c r="A46">
        <v>-0.13100000000000001</v>
      </c>
      <c r="B46">
        <v>-8.5000000000000006E-2</v>
      </c>
      <c r="C46">
        <v>-5.5E-2</v>
      </c>
      <c r="D46">
        <v>-0.17899999999999999</v>
      </c>
      <c r="E46">
        <v>-7.4999999999999997E-2</v>
      </c>
      <c r="F46">
        <v>0.21199999999999999</v>
      </c>
      <c r="G46">
        <v>0.14799999999999999</v>
      </c>
      <c r="H46">
        <v>0.21</v>
      </c>
      <c r="I46">
        <v>0.26</v>
      </c>
      <c r="J46">
        <v>0.29699999999999999</v>
      </c>
      <c r="K46">
        <v>0.57799999999999996</v>
      </c>
      <c r="L46">
        <v>0.65100000000000002</v>
      </c>
      <c r="M46">
        <v>0.53300000000000003</v>
      </c>
      <c r="N46">
        <v>0.55900000000000005</v>
      </c>
      <c r="O46">
        <v>0.58699999999999997</v>
      </c>
      <c r="P46">
        <v>0.54800000000000004</v>
      </c>
      <c r="Q46">
        <v>0.54600000000000004</v>
      </c>
      <c r="R46">
        <v>0.22500000000000001</v>
      </c>
      <c r="S46">
        <v>-1.9E-2</v>
      </c>
      <c r="T46">
        <v>-7.0999999999999994E-2</v>
      </c>
      <c r="U46">
        <v>-0.33600000000000002</v>
      </c>
      <c r="V46">
        <v>-0.46899999999999997</v>
      </c>
      <c r="W46">
        <v>-0.44800000000000001</v>
      </c>
      <c r="X46">
        <v>-0.39400000000000002</v>
      </c>
      <c r="Y46">
        <v>-7.3999999999999996E-2</v>
      </c>
      <c r="Z46">
        <v>-0.04</v>
      </c>
      <c r="AA46">
        <v>-0.13300000000000001</v>
      </c>
      <c r="AB46">
        <v>6.0999999999999999E-2</v>
      </c>
      <c r="AC46">
        <v>-0.111</v>
      </c>
      <c r="AD46">
        <v>-0.30099999999999999</v>
      </c>
      <c r="AE46">
        <v>-0.46700000000000003</v>
      </c>
      <c r="AF46">
        <v>-0.55100000000000005</v>
      </c>
      <c r="AG46">
        <v>-0.252</v>
      </c>
      <c r="AH46">
        <v>-0.10199999999999999</v>
      </c>
      <c r="AI46">
        <v>-0.495</v>
      </c>
      <c r="AJ46">
        <v>-0.71199999999999997</v>
      </c>
      <c r="AK46">
        <v>-0.40500000000000003</v>
      </c>
      <c r="AL46">
        <v>-0.19600000000000001</v>
      </c>
      <c r="AM46">
        <v>-0.57499999999999996</v>
      </c>
      <c r="AN46">
        <v>-0.624</v>
      </c>
      <c r="AO46">
        <v>-0.46200000000000002</v>
      </c>
      <c r="AP46">
        <v>-0.188</v>
      </c>
      <c r="AQ46">
        <v>-0.11700000000000001</v>
      </c>
      <c r="AR46">
        <v>-0.24299999999999999</v>
      </c>
      <c r="AS46">
        <v>-0.47499999999999998</v>
      </c>
      <c r="AT46">
        <v>-0.47099999999999997</v>
      </c>
      <c r="AU46">
        <v>-0.441</v>
      </c>
      <c r="AV46">
        <v>-0.61799999999999999</v>
      </c>
      <c r="AW46">
        <v>-0.498</v>
      </c>
      <c r="AX46">
        <v>-7.2999999999999995E-2</v>
      </c>
      <c r="AY46">
        <v>7.0000000000000001E-3</v>
      </c>
      <c r="AZ46">
        <v>-0.09</v>
      </c>
      <c r="BA46">
        <v>-0.24399999999999999</v>
      </c>
      <c r="BB46">
        <v>-0.316</v>
      </c>
      <c r="BC46">
        <v>-0.23200000000000001</v>
      </c>
      <c r="BD46">
        <v>-0.28899999999999998</v>
      </c>
      <c r="BE46">
        <v>-0.57599999999999996</v>
      </c>
      <c r="BF46">
        <v>-0.74</v>
      </c>
      <c r="BG46">
        <v>-0.80600000000000005</v>
      </c>
      <c r="BH46">
        <v>-0.86899999999999999</v>
      </c>
      <c r="BI46">
        <v>-0.82299999999999995</v>
      </c>
      <c r="BJ46">
        <v>-0.628</v>
      </c>
      <c r="BK46">
        <v>-0.54300000000000004</v>
      </c>
      <c r="BL46">
        <v>-0.64400000000000002</v>
      </c>
    </row>
    <row r="47" spans="1:64" x14ac:dyDescent="0.25">
      <c r="A47">
        <v>7.8E-2</v>
      </c>
      <c r="B47">
        <v>9.5000000000000001E-2</v>
      </c>
      <c r="C47">
        <v>8.1000000000000003E-2</v>
      </c>
      <c r="D47">
        <v>-8.7999999999999995E-2</v>
      </c>
      <c r="E47">
        <v>-3.7999999999999999E-2</v>
      </c>
      <c r="F47">
        <v>0.107</v>
      </c>
      <c r="G47">
        <v>4.4999999999999998E-2</v>
      </c>
      <c r="H47">
        <v>0.20399999999999999</v>
      </c>
      <c r="I47">
        <v>0.34300000000000003</v>
      </c>
      <c r="J47">
        <v>0.57799999999999996</v>
      </c>
      <c r="K47">
        <v>0.72</v>
      </c>
      <c r="L47">
        <v>0.58399999999999996</v>
      </c>
      <c r="M47">
        <v>0.54400000000000004</v>
      </c>
      <c r="N47">
        <v>0.63700000000000001</v>
      </c>
      <c r="O47">
        <v>0.57599999999999996</v>
      </c>
      <c r="P47">
        <v>0.49299999999999999</v>
      </c>
      <c r="Q47">
        <v>0.41</v>
      </c>
      <c r="R47">
        <v>7.4999999999999997E-2</v>
      </c>
      <c r="S47">
        <v>-0.20100000000000001</v>
      </c>
      <c r="T47">
        <v>-0.20300000000000001</v>
      </c>
      <c r="U47">
        <v>-0.24</v>
      </c>
      <c r="V47">
        <v>-0.32700000000000001</v>
      </c>
      <c r="W47">
        <v>-0.318</v>
      </c>
      <c r="X47">
        <v>-0.33300000000000002</v>
      </c>
      <c r="Y47">
        <v>-8.5000000000000006E-2</v>
      </c>
      <c r="Z47">
        <v>-2.3E-2</v>
      </c>
      <c r="AA47">
        <v>-2E-3</v>
      </c>
      <c r="AB47">
        <v>0.26100000000000001</v>
      </c>
      <c r="AC47">
        <v>-6.8000000000000005E-2</v>
      </c>
      <c r="AD47">
        <v>-0.42499999999999999</v>
      </c>
      <c r="AE47">
        <v>-0.38700000000000001</v>
      </c>
      <c r="AF47">
        <v>-0.185</v>
      </c>
      <c r="AG47">
        <v>-0.13800000000000001</v>
      </c>
      <c r="AH47">
        <v>-0.48199999999999998</v>
      </c>
      <c r="AI47">
        <v>-0.71799999999999997</v>
      </c>
      <c r="AJ47">
        <v>-0.78200000000000003</v>
      </c>
      <c r="AK47">
        <v>-0.55000000000000004</v>
      </c>
      <c r="AL47">
        <v>-0.2</v>
      </c>
      <c r="AM47">
        <v>-0.54500000000000004</v>
      </c>
      <c r="AN47">
        <v>-0.50900000000000001</v>
      </c>
      <c r="AO47">
        <v>-0.45800000000000002</v>
      </c>
      <c r="AP47">
        <v>-0.41299999999999998</v>
      </c>
      <c r="AQ47">
        <v>-0.26400000000000001</v>
      </c>
      <c r="AR47">
        <v>-0.36599999999999999</v>
      </c>
      <c r="AS47">
        <v>-0.45100000000000001</v>
      </c>
      <c r="AT47">
        <v>-0.36199999999999999</v>
      </c>
      <c r="AU47">
        <v>-0.36099999999999999</v>
      </c>
      <c r="AV47">
        <v>-0.496</v>
      </c>
      <c r="AW47">
        <v>-0.43099999999999999</v>
      </c>
      <c r="AX47">
        <v>-7.5999999999999998E-2</v>
      </c>
      <c r="AY47">
        <v>-9.0999999999999998E-2</v>
      </c>
      <c r="AZ47">
        <v>-0.40100000000000002</v>
      </c>
      <c r="BA47">
        <v>-0.373</v>
      </c>
      <c r="BB47">
        <v>-0.24399999999999999</v>
      </c>
      <c r="BC47">
        <v>-0.151</v>
      </c>
      <c r="BD47">
        <v>-0.04</v>
      </c>
      <c r="BE47">
        <v>-0.45100000000000001</v>
      </c>
      <c r="BF47">
        <v>-0.76100000000000001</v>
      </c>
      <c r="BG47">
        <v>-0.80200000000000005</v>
      </c>
      <c r="BH47">
        <v>-0.85</v>
      </c>
      <c r="BI47">
        <v>-0.85699999999999998</v>
      </c>
      <c r="BJ47">
        <v>-0.78400000000000003</v>
      </c>
      <c r="BK47">
        <v>-0.68400000000000005</v>
      </c>
      <c r="BL47">
        <v>-0.624</v>
      </c>
    </row>
    <row r="48" spans="1:64" x14ac:dyDescent="0.25">
      <c r="A48">
        <v>0.41199999999999998</v>
      </c>
      <c r="B48">
        <v>0.35799999999999998</v>
      </c>
      <c r="C48">
        <v>0.318</v>
      </c>
      <c r="D48">
        <v>7.5999999999999998E-2</v>
      </c>
      <c r="E48">
        <v>-2.3E-2</v>
      </c>
      <c r="F48">
        <v>0.127</v>
      </c>
      <c r="G48">
        <v>-5.1999999999999998E-2</v>
      </c>
      <c r="H48">
        <v>0.126</v>
      </c>
      <c r="I48">
        <v>0.47699999999999998</v>
      </c>
      <c r="J48">
        <v>0.72299999999999998</v>
      </c>
      <c r="K48">
        <v>0.71099999999999997</v>
      </c>
      <c r="L48">
        <v>0.55800000000000005</v>
      </c>
      <c r="M48">
        <v>0.52700000000000002</v>
      </c>
      <c r="N48">
        <v>0.39800000000000002</v>
      </c>
      <c r="O48">
        <v>0.40899999999999997</v>
      </c>
      <c r="P48">
        <v>0.55800000000000005</v>
      </c>
      <c r="Q48">
        <v>0.33800000000000002</v>
      </c>
      <c r="R48">
        <v>5.0000000000000001E-3</v>
      </c>
      <c r="S48">
        <v>-0.189</v>
      </c>
      <c r="T48">
        <v>-0.43</v>
      </c>
      <c r="U48">
        <v>-0.24199999999999999</v>
      </c>
      <c r="V48">
        <v>0.127</v>
      </c>
      <c r="W48">
        <v>0.152</v>
      </c>
      <c r="X48">
        <v>-0.16200000000000001</v>
      </c>
      <c r="Y48">
        <v>-0.124</v>
      </c>
      <c r="Z48">
        <v>-8.6999999999999994E-2</v>
      </c>
      <c r="AA48">
        <v>-0.108</v>
      </c>
      <c r="AB48">
        <v>0.21099999999999999</v>
      </c>
      <c r="AC48">
        <v>4.3999999999999997E-2</v>
      </c>
      <c r="AD48">
        <v>-0.47199999999999998</v>
      </c>
      <c r="AE48">
        <v>-0.30499999999999999</v>
      </c>
      <c r="AF48">
        <v>0.13500000000000001</v>
      </c>
      <c r="AG48">
        <v>-0.16600000000000001</v>
      </c>
      <c r="AH48">
        <v>-0.67800000000000005</v>
      </c>
      <c r="AI48">
        <v>-0.79200000000000004</v>
      </c>
      <c r="AJ48">
        <v>-0.80500000000000005</v>
      </c>
      <c r="AK48">
        <v>-0.67</v>
      </c>
      <c r="AL48">
        <v>-0.36199999999999999</v>
      </c>
      <c r="AM48">
        <v>-0.45600000000000002</v>
      </c>
      <c r="AN48">
        <v>-0.42399999999999999</v>
      </c>
      <c r="AO48">
        <v>-0.43099999999999999</v>
      </c>
      <c r="AP48">
        <v>-0.38</v>
      </c>
      <c r="AQ48">
        <v>-0.32100000000000001</v>
      </c>
      <c r="AR48">
        <v>-0.39900000000000002</v>
      </c>
      <c r="AS48">
        <v>-0.48899999999999999</v>
      </c>
      <c r="AT48">
        <v>-0.42</v>
      </c>
      <c r="AU48">
        <v>-0.28599999999999998</v>
      </c>
      <c r="AV48">
        <v>-0.28399999999999997</v>
      </c>
      <c r="AW48">
        <v>-0.26400000000000001</v>
      </c>
      <c r="AX48">
        <v>-0.10100000000000001</v>
      </c>
      <c r="AY48">
        <v>-0.13800000000000001</v>
      </c>
      <c r="AZ48">
        <v>-0.48299999999999998</v>
      </c>
      <c r="BA48">
        <v>-0.39900000000000002</v>
      </c>
      <c r="BB48">
        <v>-0.22500000000000001</v>
      </c>
      <c r="BC48">
        <v>-0.17799999999999999</v>
      </c>
      <c r="BD48">
        <v>7.0000000000000001E-3</v>
      </c>
      <c r="BE48">
        <v>-0.377</v>
      </c>
      <c r="BF48">
        <v>-0.68400000000000005</v>
      </c>
      <c r="BG48">
        <v>-0.754</v>
      </c>
      <c r="BH48">
        <v>-0.85399999999999998</v>
      </c>
      <c r="BI48">
        <v>-0.86599999999999999</v>
      </c>
      <c r="BJ48">
        <v>-0.82599999999999996</v>
      </c>
      <c r="BK48">
        <v>-0.77</v>
      </c>
      <c r="BL48">
        <v>-0.7</v>
      </c>
    </row>
    <row r="49" spans="1:64" x14ac:dyDescent="0.25">
      <c r="A49">
        <v>0.75700000000000001</v>
      </c>
      <c r="B49">
        <v>0.625</v>
      </c>
      <c r="C49">
        <v>0.47299999999999998</v>
      </c>
      <c r="D49">
        <v>0.24</v>
      </c>
      <c r="E49">
        <v>0.13100000000000001</v>
      </c>
      <c r="F49">
        <v>0.153</v>
      </c>
      <c r="G49">
        <v>-0.216</v>
      </c>
      <c r="H49">
        <v>1.6E-2</v>
      </c>
      <c r="I49">
        <v>0.55600000000000005</v>
      </c>
      <c r="J49">
        <v>0.67900000000000005</v>
      </c>
      <c r="K49">
        <v>0.57399999999999995</v>
      </c>
      <c r="L49">
        <v>0.49</v>
      </c>
      <c r="M49">
        <v>0.40899999999999997</v>
      </c>
      <c r="N49">
        <v>0.24299999999999999</v>
      </c>
      <c r="O49">
        <v>0.40100000000000002</v>
      </c>
      <c r="P49">
        <v>0.56399999999999995</v>
      </c>
      <c r="Q49">
        <v>0.32200000000000001</v>
      </c>
      <c r="R49">
        <v>9.9000000000000005E-2</v>
      </c>
      <c r="S49">
        <v>-6.8000000000000005E-2</v>
      </c>
      <c r="T49">
        <v>-0.47899999999999998</v>
      </c>
      <c r="U49">
        <v>-0.26</v>
      </c>
      <c r="V49">
        <v>0.43</v>
      </c>
      <c r="W49">
        <v>0.38100000000000001</v>
      </c>
      <c r="X49">
        <v>3.5999999999999997E-2</v>
      </c>
      <c r="Y49">
        <v>-5.8999999999999997E-2</v>
      </c>
      <c r="Z49">
        <v>-0.27500000000000002</v>
      </c>
      <c r="AA49">
        <v>-0.27900000000000003</v>
      </c>
      <c r="AB49">
        <v>7.1999999999999995E-2</v>
      </c>
      <c r="AC49">
        <v>0.13500000000000001</v>
      </c>
      <c r="AD49">
        <v>-0.34200000000000003</v>
      </c>
      <c r="AE49">
        <v>-0.30199999999999999</v>
      </c>
      <c r="AF49">
        <v>0.105</v>
      </c>
      <c r="AG49">
        <v>-0.27500000000000002</v>
      </c>
      <c r="AH49">
        <v>-0.64300000000000002</v>
      </c>
      <c r="AI49">
        <v>-0.76400000000000001</v>
      </c>
      <c r="AJ49">
        <v>-0.80400000000000005</v>
      </c>
      <c r="AK49">
        <v>-0.70899999999999996</v>
      </c>
      <c r="AL49">
        <v>-0.56799999999999995</v>
      </c>
      <c r="AM49">
        <v>-0.55900000000000005</v>
      </c>
      <c r="AN49">
        <v>-0.46300000000000002</v>
      </c>
      <c r="AO49">
        <v>-0.373</v>
      </c>
      <c r="AP49">
        <v>-0.24399999999999999</v>
      </c>
      <c r="AQ49">
        <v>-0.313</v>
      </c>
      <c r="AR49">
        <v>-0.38900000000000001</v>
      </c>
      <c r="AS49">
        <v>-0.55600000000000005</v>
      </c>
      <c r="AT49">
        <v>-0.57099999999999995</v>
      </c>
      <c r="AU49">
        <v>-0.30199999999999999</v>
      </c>
      <c r="AV49">
        <v>-9.4E-2</v>
      </c>
      <c r="AW49">
        <v>-6.4000000000000001E-2</v>
      </c>
      <c r="AX49">
        <v>-9.0999999999999998E-2</v>
      </c>
      <c r="AY49">
        <v>-0.126</v>
      </c>
      <c r="AZ49">
        <v>-0.45800000000000002</v>
      </c>
      <c r="BA49">
        <v>-0.39300000000000002</v>
      </c>
      <c r="BB49">
        <v>-0.127</v>
      </c>
      <c r="BC49">
        <v>-0.17899999999999999</v>
      </c>
      <c r="BD49">
        <v>-0.108</v>
      </c>
      <c r="BE49">
        <v>-0.27500000000000002</v>
      </c>
      <c r="BF49">
        <v>-0.50600000000000001</v>
      </c>
      <c r="BG49">
        <v>-0.66900000000000004</v>
      </c>
      <c r="BH49">
        <v>-0.83099999999999996</v>
      </c>
      <c r="BI49">
        <v>-0.85899999999999999</v>
      </c>
      <c r="BJ49">
        <v>-0.82899999999999996</v>
      </c>
      <c r="BK49">
        <v>-0.75</v>
      </c>
      <c r="BL49">
        <v>-0.72099999999999997</v>
      </c>
    </row>
    <row r="50" spans="1:64" x14ac:dyDescent="0.25">
      <c r="A50">
        <v>0.52700000000000002</v>
      </c>
      <c r="B50">
        <v>0.47299999999999998</v>
      </c>
      <c r="C50">
        <v>0.38300000000000001</v>
      </c>
      <c r="D50">
        <v>0.30599999999999999</v>
      </c>
      <c r="E50">
        <v>0.19700000000000001</v>
      </c>
      <c r="F50">
        <v>-0.04</v>
      </c>
      <c r="G50">
        <v>-0.18099999999999999</v>
      </c>
      <c r="H50">
        <v>0.107</v>
      </c>
      <c r="I50">
        <v>0.437</v>
      </c>
      <c r="J50">
        <v>0.42299999999999999</v>
      </c>
      <c r="K50">
        <v>0.42699999999999999</v>
      </c>
      <c r="L50">
        <v>0.4</v>
      </c>
      <c r="M50">
        <v>0.312</v>
      </c>
      <c r="N50">
        <v>0.35499999999999998</v>
      </c>
      <c r="O50">
        <v>0.374</v>
      </c>
      <c r="P50">
        <v>0.39400000000000002</v>
      </c>
      <c r="Q50">
        <v>0.30599999999999999</v>
      </c>
      <c r="R50">
        <v>0.224</v>
      </c>
      <c r="S50">
        <v>3.3000000000000002E-2</v>
      </c>
      <c r="T50">
        <v>-0.33400000000000002</v>
      </c>
      <c r="U50">
        <v>-6.8000000000000005E-2</v>
      </c>
      <c r="V50">
        <v>0.48499999999999999</v>
      </c>
      <c r="W50">
        <v>0.253</v>
      </c>
      <c r="X50">
        <v>8.7999999999999995E-2</v>
      </c>
      <c r="Y50">
        <v>-3.4000000000000002E-2</v>
      </c>
      <c r="Z50">
        <v>-0.28499999999999998</v>
      </c>
      <c r="AA50">
        <v>-0.20899999999999999</v>
      </c>
      <c r="AB50">
        <v>0.04</v>
      </c>
      <c r="AC50">
        <v>0.21099999999999999</v>
      </c>
      <c r="AD50">
        <v>-3.7999999999999999E-2</v>
      </c>
      <c r="AE50">
        <v>-0.376</v>
      </c>
      <c r="AF50">
        <v>-0.23599999999999999</v>
      </c>
      <c r="AG50">
        <v>-0.30499999999999999</v>
      </c>
      <c r="AH50">
        <v>-0.47099999999999997</v>
      </c>
      <c r="AI50">
        <v>-0.58699999999999997</v>
      </c>
      <c r="AJ50">
        <v>-0.70799999999999996</v>
      </c>
      <c r="AK50">
        <v>-0.70899999999999996</v>
      </c>
      <c r="AL50">
        <v>-0.65800000000000003</v>
      </c>
      <c r="AM50">
        <v>-0.65</v>
      </c>
      <c r="AN50">
        <v>-0.60699999999999998</v>
      </c>
      <c r="AO50">
        <v>-0.39900000000000002</v>
      </c>
      <c r="AP50">
        <v>-0.14799999999999999</v>
      </c>
      <c r="AQ50">
        <v>-0.25</v>
      </c>
      <c r="AR50">
        <v>-0.42599999999999999</v>
      </c>
      <c r="AS50">
        <v>-0.58499999999999996</v>
      </c>
      <c r="AT50">
        <v>-0.60799999999999998</v>
      </c>
      <c r="AU50">
        <v>-0.41299999999999998</v>
      </c>
      <c r="AV50">
        <v>-0.13300000000000001</v>
      </c>
      <c r="AW50">
        <v>3.4000000000000002E-2</v>
      </c>
      <c r="AX50">
        <v>-5.8000000000000003E-2</v>
      </c>
      <c r="AY50">
        <v>-0.123</v>
      </c>
      <c r="AZ50">
        <v>-0.35199999999999998</v>
      </c>
      <c r="BA50">
        <v>-0.34499999999999997</v>
      </c>
      <c r="BB50">
        <v>3.6999999999999998E-2</v>
      </c>
      <c r="BC50">
        <v>-0.16300000000000001</v>
      </c>
      <c r="BD50">
        <v>-0.38100000000000001</v>
      </c>
      <c r="BE50">
        <v>-0.30399999999999999</v>
      </c>
      <c r="BF50">
        <v>-0.34100000000000003</v>
      </c>
      <c r="BG50">
        <v>-0.58599999999999997</v>
      </c>
      <c r="BH50">
        <v>-0.78800000000000003</v>
      </c>
      <c r="BI50">
        <v>-0.84599999999999997</v>
      </c>
      <c r="BJ50">
        <v>-0.84</v>
      </c>
      <c r="BK50">
        <v>-0.73399999999999999</v>
      </c>
      <c r="BL50">
        <v>-0.61</v>
      </c>
    </row>
    <row r="51" spans="1:64" x14ac:dyDescent="0.25">
      <c r="A51">
        <v>0.158</v>
      </c>
      <c r="B51">
        <v>0.14499999999999999</v>
      </c>
      <c r="C51">
        <v>0.123</v>
      </c>
      <c r="D51">
        <v>0.26900000000000002</v>
      </c>
      <c r="E51">
        <v>5.0999999999999997E-2</v>
      </c>
      <c r="F51">
        <v>-0.26600000000000001</v>
      </c>
      <c r="G51">
        <v>-5.8999999999999997E-2</v>
      </c>
      <c r="H51">
        <v>0.26800000000000002</v>
      </c>
      <c r="I51">
        <v>0.24299999999999999</v>
      </c>
      <c r="J51">
        <v>0.18099999999999999</v>
      </c>
      <c r="K51">
        <v>0.42399999999999999</v>
      </c>
      <c r="L51">
        <v>0.47299999999999998</v>
      </c>
      <c r="M51">
        <v>0.34100000000000003</v>
      </c>
      <c r="N51">
        <v>0.40300000000000002</v>
      </c>
      <c r="O51">
        <v>0.31900000000000001</v>
      </c>
      <c r="P51">
        <v>0.22700000000000001</v>
      </c>
      <c r="Q51">
        <v>0.27500000000000002</v>
      </c>
      <c r="R51">
        <v>0.32900000000000001</v>
      </c>
      <c r="S51">
        <v>0.20300000000000001</v>
      </c>
      <c r="T51">
        <v>-0.14499999999999999</v>
      </c>
      <c r="U51">
        <v>0.152</v>
      </c>
      <c r="V51">
        <v>0.314</v>
      </c>
      <c r="W51">
        <v>4.1000000000000002E-2</v>
      </c>
      <c r="X51">
        <v>3.4000000000000002E-2</v>
      </c>
      <c r="Y51">
        <v>-0.11899999999999999</v>
      </c>
      <c r="Z51">
        <v>-0.16300000000000001</v>
      </c>
      <c r="AA51">
        <v>-9.5000000000000001E-2</v>
      </c>
      <c r="AB51">
        <v>3.5999999999999997E-2</v>
      </c>
      <c r="AC51">
        <v>0.24399999999999999</v>
      </c>
      <c r="AD51">
        <v>2.5000000000000001E-2</v>
      </c>
      <c r="AE51">
        <v>-0.33600000000000002</v>
      </c>
      <c r="AF51">
        <v>-0.34100000000000003</v>
      </c>
      <c r="AG51">
        <v>-0.36599999999999999</v>
      </c>
      <c r="AH51">
        <v>-0.498</v>
      </c>
      <c r="AI51">
        <v>-0.49299999999999999</v>
      </c>
      <c r="AJ51">
        <v>-0.49199999999999999</v>
      </c>
      <c r="AK51">
        <v>-0.60299999999999998</v>
      </c>
      <c r="AL51">
        <v>-0.61099999999999999</v>
      </c>
      <c r="AM51">
        <v>-0.58399999999999996</v>
      </c>
      <c r="AN51">
        <v>-0.64700000000000002</v>
      </c>
      <c r="AO51">
        <v>-0.53900000000000003</v>
      </c>
      <c r="AP51">
        <v>-0.22500000000000001</v>
      </c>
      <c r="AQ51">
        <v>-0.19</v>
      </c>
      <c r="AR51">
        <v>-0.46300000000000002</v>
      </c>
      <c r="AS51">
        <v>-0.56100000000000005</v>
      </c>
      <c r="AT51">
        <v>-0.55600000000000005</v>
      </c>
      <c r="AU51">
        <v>-0.45100000000000001</v>
      </c>
      <c r="AV51">
        <v>-0.30299999999999999</v>
      </c>
      <c r="AW51">
        <v>-5.8999999999999997E-2</v>
      </c>
      <c r="AX51">
        <v>1.2E-2</v>
      </c>
      <c r="AY51">
        <v>-0.13</v>
      </c>
      <c r="AZ51">
        <v>-0.27400000000000002</v>
      </c>
      <c r="BA51">
        <v>-0.14000000000000001</v>
      </c>
      <c r="BB51">
        <v>0.129</v>
      </c>
      <c r="BC51">
        <v>-7.8E-2</v>
      </c>
      <c r="BD51">
        <v>-0.503</v>
      </c>
      <c r="BE51">
        <v>-0.47899999999999998</v>
      </c>
      <c r="BF51">
        <v>-0.34599999999999997</v>
      </c>
      <c r="BG51">
        <v>-0.443</v>
      </c>
      <c r="BH51">
        <v>-0.63400000000000001</v>
      </c>
      <c r="BI51">
        <v>-0.81799999999999995</v>
      </c>
      <c r="BJ51">
        <v>-0.84899999999999998</v>
      </c>
      <c r="BK51">
        <v>-0.76900000000000002</v>
      </c>
      <c r="BL51">
        <v>-0.54400000000000004</v>
      </c>
    </row>
    <row r="52" spans="1:64" x14ac:dyDescent="0.25">
      <c r="A52">
        <v>-0.22500000000000001</v>
      </c>
      <c r="B52">
        <v>-7.3999999999999996E-2</v>
      </c>
      <c r="C52">
        <v>1.2999999999999999E-2</v>
      </c>
      <c r="D52">
        <v>0.219</v>
      </c>
      <c r="E52">
        <v>-3.5999999999999997E-2</v>
      </c>
      <c r="F52">
        <v>-0.38600000000000001</v>
      </c>
      <c r="G52">
        <v>-1.4E-2</v>
      </c>
      <c r="H52">
        <v>0.251</v>
      </c>
      <c r="I52">
        <v>0.24199999999999999</v>
      </c>
      <c r="J52">
        <v>0.221</v>
      </c>
      <c r="K52">
        <v>0.48799999999999999</v>
      </c>
      <c r="L52">
        <v>0.63100000000000001</v>
      </c>
      <c r="M52">
        <v>0.40500000000000003</v>
      </c>
      <c r="N52">
        <v>0.20200000000000001</v>
      </c>
      <c r="O52">
        <v>0.22800000000000001</v>
      </c>
      <c r="P52">
        <v>0.189</v>
      </c>
      <c r="Q52">
        <v>0.23100000000000001</v>
      </c>
      <c r="R52">
        <v>0.372</v>
      </c>
      <c r="S52">
        <v>0.38600000000000001</v>
      </c>
      <c r="T52">
        <v>0.26800000000000002</v>
      </c>
      <c r="U52">
        <v>0.13300000000000001</v>
      </c>
      <c r="V52">
        <v>-6.3E-2</v>
      </c>
      <c r="W52">
        <v>-7.0000000000000007E-2</v>
      </c>
      <c r="X52">
        <v>5.0000000000000001E-3</v>
      </c>
      <c r="Y52">
        <v>-4.1000000000000002E-2</v>
      </c>
      <c r="Z52">
        <v>0.11899999999999999</v>
      </c>
      <c r="AA52">
        <v>-1E-3</v>
      </c>
      <c r="AB52">
        <v>-2.7E-2</v>
      </c>
      <c r="AC52">
        <v>6.7000000000000004E-2</v>
      </c>
      <c r="AD52">
        <v>-0.157</v>
      </c>
      <c r="AE52">
        <v>-0.24399999999999999</v>
      </c>
      <c r="AF52">
        <v>-0.26</v>
      </c>
      <c r="AG52">
        <v>-0.35299999999999998</v>
      </c>
      <c r="AH52">
        <v>-0.47399999999999998</v>
      </c>
      <c r="AI52">
        <v>-0.51400000000000001</v>
      </c>
      <c r="AJ52">
        <v>-0.497</v>
      </c>
      <c r="AK52">
        <v>-0.53200000000000003</v>
      </c>
      <c r="AL52">
        <v>-0.497</v>
      </c>
      <c r="AM52">
        <v>-0.48899999999999999</v>
      </c>
      <c r="AN52">
        <v>-0.64400000000000002</v>
      </c>
      <c r="AO52">
        <v>-0.67700000000000005</v>
      </c>
      <c r="AP52">
        <v>-0.41399999999999998</v>
      </c>
      <c r="AQ52">
        <v>-0.314</v>
      </c>
      <c r="AR52">
        <v>-0.505</v>
      </c>
      <c r="AS52">
        <v>-0.39700000000000002</v>
      </c>
      <c r="AT52">
        <v>-0.42799999999999999</v>
      </c>
      <c r="AU52">
        <v>-0.41399999999999998</v>
      </c>
      <c r="AV52">
        <v>-0.34100000000000003</v>
      </c>
      <c r="AW52">
        <v>-0.13</v>
      </c>
      <c r="AX52">
        <v>0.152</v>
      </c>
      <c r="AY52">
        <v>-0.20300000000000001</v>
      </c>
      <c r="AZ52">
        <v>-0.36</v>
      </c>
      <c r="BA52">
        <v>-0.10100000000000001</v>
      </c>
      <c r="BB52">
        <v>5.8000000000000003E-2</v>
      </c>
      <c r="BC52">
        <v>2.5999999999999999E-2</v>
      </c>
      <c r="BD52">
        <v>-0.28299999999999997</v>
      </c>
      <c r="BE52">
        <v>-0.48699999999999999</v>
      </c>
      <c r="BF52">
        <v>-0.48299999999999998</v>
      </c>
      <c r="BG52">
        <v>-0.502</v>
      </c>
      <c r="BH52">
        <v>-0.46</v>
      </c>
      <c r="BI52">
        <v>-0.76500000000000001</v>
      </c>
      <c r="BJ52">
        <v>-0.83899999999999997</v>
      </c>
      <c r="BK52">
        <v>-0.78400000000000003</v>
      </c>
      <c r="BL52">
        <v>-0.59299999999999997</v>
      </c>
    </row>
    <row r="53" spans="1:64" x14ac:dyDescent="0.25">
      <c r="A53">
        <v>-0.35899999999999999</v>
      </c>
      <c r="B53">
        <v>-0.10199999999999999</v>
      </c>
      <c r="C53">
        <v>4.2000000000000003E-2</v>
      </c>
      <c r="D53">
        <v>0.26200000000000001</v>
      </c>
      <c r="E53">
        <v>-4.0000000000000001E-3</v>
      </c>
      <c r="F53">
        <v>-0.43</v>
      </c>
      <c r="G53">
        <v>-5.1999999999999998E-2</v>
      </c>
      <c r="H53">
        <v>0.17899999999999999</v>
      </c>
      <c r="I53">
        <v>0.38900000000000001</v>
      </c>
      <c r="J53">
        <v>0.436</v>
      </c>
      <c r="K53">
        <v>0.54600000000000004</v>
      </c>
      <c r="L53">
        <v>0.61199999999999999</v>
      </c>
      <c r="M53">
        <v>0.33900000000000002</v>
      </c>
      <c r="N53">
        <v>-0.01</v>
      </c>
      <c r="O53">
        <v>8.3000000000000004E-2</v>
      </c>
      <c r="P53">
        <v>0.22900000000000001</v>
      </c>
      <c r="Q53">
        <v>0.29699999999999999</v>
      </c>
      <c r="R53">
        <v>0.41699999999999998</v>
      </c>
      <c r="S53">
        <v>0.45100000000000001</v>
      </c>
      <c r="T53">
        <v>0.4</v>
      </c>
      <c r="U53">
        <v>1E-3</v>
      </c>
      <c r="V53">
        <v>-0.22900000000000001</v>
      </c>
      <c r="W53">
        <v>-8.5999999999999993E-2</v>
      </c>
      <c r="X53">
        <v>3.1E-2</v>
      </c>
      <c r="Y53">
        <v>0.17399999999999999</v>
      </c>
      <c r="Z53">
        <v>0.23</v>
      </c>
      <c r="AA53">
        <v>3.7999999999999999E-2</v>
      </c>
      <c r="AB53">
        <v>-4.7E-2</v>
      </c>
      <c r="AC53">
        <v>-0.156</v>
      </c>
      <c r="AD53">
        <v>-0.26</v>
      </c>
      <c r="AE53">
        <v>-0.20899999999999999</v>
      </c>
      <c r="AF53">
        <v>-0.28299999999999997</v>
      </c>
      <c r="AG53">
        <v>-0.36399999999999999</v>
      </c>
      <c r="AH53">
        <v>-0.40400000000000003</v>
      </c>
      <c r="AI53">
        <v>-0.45700000000000002</v>
      </c>
      <c r="AJ53">
        <v>-0.52600000000000002</v>
      </c>
      <c r="AK53">
        <v>-0.47799999999999998</v>
      </c>
      <c r="AL53">
        <v>-0.218</v>
      </c>
      <c r="AM53">
        <v>-0.35899999999999999</v>
      </c>
      <c r="AN53">
        <v>-0.65100000000000002</v>
      </c>
      <c r="AO53">
        <v>-0.68400000000000005</v>
      </c>
      <c r="AP53">
        <v>-0.48799999999999999</v>
      </c>
      <c r="AQ53">
        <v>-0.502</v>
      </c>
      <c r="AR53">
        <v>-0.625</v>
      </c>
      <c r="AS53">
        <v>-0.36</v>
      </c>
      <c r="AT53">
        <v>-0.32800000000000001</v>
      </c>
      <c r="AU53">
        <v>-0.35899999999999999</v>
      </c>
      <c r="AV53">
        <v>-0.245</v>
      </c>
      <c r="AW53">
        <v>2.5000000000000001E-2</v>
      </c>
      <c r="AX53">
        <v>0.19800000000000001</v>
      </c>
      <c r="AY53">
        <v>-0.29899999999999999</v>
      </c>
      <c r="AZ53">
        <v>-0.47299999999999998</v>
      </c>
      <c r="BA53">
        <v>-0.23599999999999999</v>
      </c>
      <c r="BB53">
        <v>0.02</v>
      </c>
      <c r="BC53">
        <v>0.127</v>
      </c>
      <c r="BD53">
        <v>5.0999999999999997E-2</v>
      </c>
      <c r="BE53">
        <v>-0.18</v>
      </c>
      <c r="BF53">
        <v>-0.47499999999999998</v>
      </c>
      <c r="BG53">
        <v>-0.63400000000000001</v>
      </c>
      <c r="BH53">
        <v>-0.54200000000000004</v>
      </c>
      <c r="BI53">
        <v>-0.72</v>
      </c>
      <c r="BJ53">
        <v>-0.81699999999999995</v>
      </c>
      <c r="BK53">
        <v>-0.78500000000000003</v>
      </c>
      <c r="BL53">
        <v>-0.58099999999999996</v>
      </c>
    </row>
    <row r="54" spans="1:64" x14ac:dyDescent="0.25">
      <c r="A54">
        <v>-9.2999999999999999E-2</v>
      </c>
      <c r="B54">
        <v>0.16900000000000001</v>
      </c>
      <c r="C54">
        <v>0.152</v>
      </c>
      <c r="D54">
        <v>0.14399999999999999</v>
      </c>
      <c r="E54">
        <v>3.5999999999999997E-2</v>
      </c>
      <c r="F54">
        <v>-0.14599999999999999</v>
      </c>
      <c r="G54">
        <v>5.3999999999999999E-2</v>
      </c>
      <c r="H54">
        <v>0.14699999999999999</v>
      </c>
      <c r="I54">
        <v>0.41399999999999998</v>
      </c>
      <c r="J54">
        <v>0.41199999999999998</v>
      </c>
      <c r="K54">
        <v>0.52600000000000002</v>
      </c>
      <c r="L54">
        <v>0.50900000000000001</v>
      </c>
      <c r="M54">
        <v>0.30199999999999999</v>
      </c>
      <c r="N54">
        <v>-3.5000000000000003E-2</v>
      </c>
      <c r="O54">
        <v>-3.7999999999999999E-2</v>
      </c>
      <c r="P54">
        <v>0.26100000000000001</v>
      </c>
      <c r="Q54">
        <v>0.34</v>
      </c>
      <c r="R54">
        <v>0.35099999999999998</v>
      </c>
      <c r="S54">
        <v>0.28899999999999998</v>
      </c>
      <c r="T54">
        <v>0.23</v>
      </c>
      <c r="U54">
        <v>-3.2000000000000001E-2</v>
      </c>
      <c r="V54">
        <v>-0.14699999999999999</v>
      </c>
      <c r="W54">
        <v>-1.2999999999999999E-2</v>
      </c>
      <c r="X54">
        <v>0.14599999999999999</v>
      </c>
      <c r="Y54">
        <v>0.255</v>
      </c>
      <c r="Z54">
        <v>0.13600000000000001</v>
      </c>
      <c r="AA54">
        <v>8.4000000000000005E-2</v>
      </c>
      <c r="AB54">
        <v>-7.0999999999999994E-2</v>
      </c>
      <c r="AC54">
        <v>-0.20699999999999999</v>
      </c>
      <c r="AD54">
        <v>-0.152</v>
      </c>
      <c r="AE54">
        <v>-0.20100000000000001</v>
      </c>
      <c r="AF54">
        <v>-0.312</v>
      </c>
      <c r="AG54">
        <v>-0.32400000000000001</v>
      </c>
      <c r="AH54">
        <v>-0.33500000000000002</v>
      </c>
      <c r="AI54">
        <v>-0.40400000000000003</v>
      </c>
      <c r="AJ54">
        <v>-0.47199999999999998</v>
      </c>
      <c r="AK54">
        <v>-0.36299999999999999</v>
      </c>
      <c r="AL54">
        <v>-3.5999999999999997E-2</v>
      </c>
      <c r="AM54">
        <v>-0.27700000000000002</v>
      </c>
      <c r="AN54">
        <v>-0.65800000000000003</v>
      </c>
      <c r="AO54">
        <v>-0.66500000000000004</v>
      </c>
      <c r="AP54">
        <v>-0.47799999999999998</v>
      </c>
      <c r="AQ54">
        <v>-0.57299999999999995</v>
      </c>
      <c r="AR54">
        <v>-0.64700000000000002</v>
      </c>
      <c r="AS54">
        <v>-0.39</v>
      </c>
      <c r="AT54">
        <v>-0.39800000000000002</v>
      </c>
      <c r="AU54">
        <v>-0.39500000000000002</v>
      </c>
      <c r="AV54">
        <v>-0.223</v>
      </c>
      <c r="AW54">
        <v>7.8E-2</v>
      </c>
      <c r="AX54">
        <v>0.109</v>
      </c>
      <c r="AY54">
        <v>-0.34599999999999997</v>
      </c>
      <c r="AZ54">
        <v>-0.50900000000000001</v>
      </c>
      <c r="BA54">
        <v>-0.24399999999999999</v>
      </c>
      <c r="BB54">
        <v>9.8000000000000004E-2</v>
      </c>
      <c r="BC54">
        <v>0.16900000000000001</v>
      </c>
      <c r="BD54">
        <v>0.127</v>
      </c>
      <c r="BE54">
        <v>2.9000000000000001E-2</v>
      </c>
      <c r="BF54">
        <v>-0.33800000000000002</v>
      </c>
      <c r="BG54">
        <v>-0.65800000000000003</v>
      </c>
      <c r="BH54">
        <v>-0.65300000000000002</v>
      </c>
      <c r="BI54">
        <v>-0.63200000000000001</v>
      </c>
      <c r="BJ54">
        <v>-0.73299999999999998</v>
      </c>
      <c r="BK54">
        <v>-0.76100000000000001</v>
      </c>
      <c r="BL54">
        <v>-0.55000000000000004</v>
      </c>
    </row>
    <row r="55" spans="1:64" x14ac:dyDescent="0.25">
      <c r="A55">
        <v>0.28299999999999997</v>
      </c>
      <c r="B55">
        <v>0.433</v>
      </c>
      <c r="C55">
        <v>0.23</v>
      </c>
      <c r="D55">
        <v>-4.2000000000000003E-2</v>
      </c>
      <c r="E55">
        <v>0.16400000000000001</v>
      </c>
      <c r="F55">
        <v>0.29899999999999999</v>
      </c>
      <c r="G55">
        <v>0.23499999999999999</v>
      </c>
      <c r="H55">
        <v>8.3000000000000004E-2</v>
      </c>
      <c r="I55">
        <v>0.28399999999999997</v>
      </c>
      <c r="J55">
        <v>0.32600000000000001</v>
      </c>
      <c r="K55">
        <v>0.45100000000000001</v>
      </c>
      <c r="L55">
        <v>0.48199999999999998</v>
      </c>
      <c r="M55">
        <v>0.26100000000000001</v>
      </c>
      <c r="N55">
        <v>-0.11</v>
      </c>
      <c r="O55">
        <v>-7.1999999999999995E-2</v>
      </c>
      <c r="P55">
        <v>0.26900000000000002</v>
      </c>
      <c r="Q55">
        <v>0.28199999999999997</v>
      </c>
      <c r="R55">
        <v>0.184</v>
      </c>
      <c r="S55">
        <v>5.8999999999999997E-2</v>
      </c>
      <c r="T55">
        <v>1.0999999999999999E-2</v>
      </c>
      <c r="U55">
        <v>-8.0000000000000002E-3</v>
      </c>
      <c r="V55">
        <v>-2.1999999999999999E-2</v>
      </c>
      <c r="W55">
        <v>-3.2000000000000001E-2</v>
      </c>
      <c r="X55">
        <v>0.189</v>
      </c>
      <c r="Y55">
        <v>0.26</v>
      </c>
      <c r="Z55">
        <v>0.121</v>
      </c>
      <c r="AA55">
        <v>0.13</v>
      </c>
      <c r="AB55">
        <v>-9.1999999999999998E-2</v>
      </c>
      <c r="AC55">
        <v>-0.26</v>
      </c>
      <c r="AD55">
        <v>-0.183</v>
      </c>
      <c r="AE55">
        <v>-0.22600000000000001</v>
      </c>
      <c r="AF55">
        <v>-0.32800000000000001</v>
      </c>
      <c r="AG55">
        <v>-0.27200000000000002</v>
      </c>
      <c r="AH55">
        <v>-0.217</v>
      </c>
      <c r="AI55">
        <v>-0.37</v>
      </c>
      <c r="AJ55">
        <v>-0.45600000000000002</v>
      </c>
      <c r="AK55">
        <v>-0.38300000000000001</v>
      </c>
      <c r="AL55">
        <v>-0.10299999999999999</v>
      </c>
      <c r="AM55">
        <v>-0.20499999999999999</v>
      </c>
      <c r="AN55">
        <v>-0.59199999999999997</v>
      </c>
      <c r="AO55">
        <v>-0.66100000000000003</v>
      </c>
      <c r="AP55">
        <v>-0.5</v>
      </c>
      <c r="AQ55">
        <v>-0.499</v>
      </c>
      <c r="AR55">
        <v>-0.47899999999999998</v>
      </c>
      <c r="AS55">
        <v>-0.22</v>
      </c>
      <c r="AT55">
        <v>-0.442</v>
      </c>
      <c r="AU55">
        <v>-0.47199999999999998</v>
      </c>
      <c r="AV55">
        <v>-0.23899999999999999</v>
      </c>
      <c r="AW55">
        <v>-8.0000000000000002E-3</v>
      </c>
      <c r="AX55">
        <v>9.0999999999999998E-2</v>
      </c>
      <c r="AY55">
        <v>-0.35299999999999998</v>
      </c>
      <c r="AZ55">
        <v>-0.50900000000000001</v>
      </c>
      <c r="BA55">
        <v>-0.154</v>
      </c>
      <c r="BB55">
        <v>0.13600000000000001</v>
      </c>
      <c r="BC55">
        <v>8.4000000000000005E-2</v>
      </c>
      <c r="BD55">
        <v>0.03</v>
      </c>
      <c r="BE55">
        <v>-6.0999999999999999E-2</v>
      </c>
      <c r="BF55">
        <v>-0.20699999999999999</v>
      </c>
      <c r="BG55">
        <v>-0.65500000000000003</v>
      </c>
      <c r="BH55">
        <v>-0.752</v>
      </c>
      <c r="BI55">
        <v>-0.629</v>
      </c>
      <c r="BJ55">
        <v>-0.64600000000000002</v>
      </c>
      <c r="BK55">
        <v>-0.65200000000000002</v>
      </c>
      <c r="BL55">
        <v>-0.53800000000000003</v>
      </c>
    </row>
    <row r="56" spans="1:64" x14ac:dyDescent="0.25">
      <c r="A56">
        <v>0.54900000000000004</v>
      </c>
      <c r="B56">
        <v>0.54100000000000004</v>
      </c>
      <c r="C56">
        <v>0.312</v>
      </c>
      <c r="D56">
        <v>-1.4E-2</v>
      </c>
      <c r="E56">
        <v>0.28299999999999997</v>
      </c>
      <c r="F56">
        <v>0.40899999999999997</v>
      </c>
      <c r="G56">
        <v>0.251</v>
      </c>
      <c r="H56">
        <v>1E-3</v>
      </c>
      <c r="I56">
        <v>0.218</v>
      </c>
      <c r="J56">
        <v>0.53600000000000003</v>
      </c>
      <c r="K56">
        <v>0.48699999999999999</v>
      </c>
      <c r="L56">
        <v>0.33300000000000002</v>
      </c>
      <c r="M56">
        <v>9.0999999999999998E-2</v>
      </c>
      <c r="N56">
        <v>-0.21299999999999999</v>
      </c>
      <c r="O56">
        <v>-0.14499999999999999</v>
      </c>
      <c r="P56">
        <v>0.19500000000000001</v>
      </c>
      <c r="Q56">
        <v>0.17100000000000001</v>
      </c>
      <c r="R56">
        <v>0.158</v>
      </c>
      <c r="S56">
        <v>-4.7E-2</v>
      </c>
      <c r="T56">
        <v>-0.14799999999999999</v>
      </c>
      <c r="U56">
        <v>1.6E-2</v>
      </c>
      <c r="V56">
        <v>-1.6E-2</v>
      </c>
      <c r="W56">
        <v>-0.11899999999999999</v>
      </c>
      <c r="X56">
        <v>0.114</v>
      </c>
      <c r="Y56">
        <v>0.30499999999999999</v>
      </c>
      <c r="Z56">
        <v>0.27100000000000002</v>
      </c>
      <c r="AA56">
        <v>0.17699999999999999</v>
      </c>
      <c r="AB56">
        <v>-3.4000000000000002E-2</v>
      </c>
      <c r="AC56">
        <v>-0.34</v>
      </c>
      <c r="AD56">
        <v>-0.38600000000000001</v>
      </c>
      <c r="AE56">
        <v>-0.25600000000000001</v>
      </c>
      <c r="AF56">
        <v>-0.32300000000000001</v>
      </c>
      <c r="AG56">
        <v>-0.16</v>
      </c>
      <c r="AH56">
        <v>1.9E-2</v>
      </c>
      <c r="AI56">
        <v>-0.26400000000000001</v>
      </c>
      <c r="AJ56">
        <v>-0.36899999999999999</v>
      </c>
      <c r="AK56">
        <v>-0.53200000000000003</v>
      </c>
      <c r="AL56">
        <v>-0.39300000000000002</v>
      </c>
      <c r="AM56">
        <v>-0.20499999999999999</v>
      </c>
      <c r="AN56">
        <v>-0.41299999999999998</v>
      </c>
      <c r="AO56">
        <v>-0.56499999999999995</v>
      </c>
      <c r="AP56">
        <v>-0.51500000000000001</v>
      </c>
      <c r="AQ56">
        <v>-0.40899999999999997</v>
      </c>
      <c r="AR56">
        <v>-0.182</v>
      </c>
      <c r="AS56">
        <v>-0.12</v>
      </c>
      <c r="AT56">
        <v>-0.51600000000000001</v>
      </c>
      <c r="AU56">
        <v>-0.497</v>
      </c>
      <c r="AV56">
        <v>-0.32500000000000001</v>
      </c>
      <c r="AW56">
        <v>5.3999999999999999E-2</v>
      </c>
      <c r="AX56">
        <v>0.35199999999999998</v>
      </c>
      <c r="AY56">
        <v>-0.29799999999999999</v>
      </c>
      <c r="AZ56">
        <v>-0.432</v>
      </c>
      <c r="BA56">
        <v>-4.0000000000000001E-3</v>
      </c>
      <c r="BB56">
        <v>5.8000000000000003E-2</v>
      </c>
      <c r="BC56">
        <v>-8.7999999999999995E-2</v>
      </c>
      <c r="BD56">
        <v>-0.13100000000000001</v>
      </c>
      <c r="BE56">
        <v>-0.25600000000000001</v>
      </c>
      <c r="BF56">
        <v>-0.22800000000000001</v>
      </c>
      <c r="BG56">
        <v>-0.61099999999999999</v>
      </c>
      <c r="BH56">
        <v>-0.78400000000000003</v>
      </c>
      <c r="BI56">
        <v>-0.70299999999999996</v>
      </c>
      <c r="BJ56">
        <v>-0.67</v>
      </c>
      <c r="BK56">
        <v>-0.57299999999999995</v>
      </c>
      <c r="BL56">
        <v>-0.60599999999999998</v>
      </c>
    </row>
    <row r="57" spans="1:64" x14ac:dyDescent="0.25">
      <c r="A57">
        <v>0.66500000000000004</v>
      </c>
      <c r="B57">
        <v>0.59099999999999997</v>
      </c>
      <c r="C57">
        <v>0.42</v>
      </c>
      <c r="D57">
        <v>4.7E-2</v>
      </c>
      <c r="E57">
        <v>0.24299999999999999</v>
      </c>
      <c r="F57">
        <v>0.48</v>
      </c>
      <c r="G57">
        <v>0.30099999999999999</v>
      </c>
      <c r="H57">
        <v>9.1999999999999998E-2</v>
      </c>
      <c r="I57">
        <v>0.32</v>
      </c>
      <c r="J57">
        <v>0.61699999999999999</v>
      </c>
      <c r="K57">
        <v>0.52200000000000002</v>
      </c>
      <c r="L57">
        <v>0.156</v>
      </c>
      <c r="M57">
        <v>-0.09</v>
      </c>
      <c r="N57">
        <v>-0.29099999999999998</v>
      </c>
      <c r="O57">
        <v>-0.14199999999999999</v>
      </c>
      <c r="P57">
        <v>4.2999999999999997E-2</v>
      </c>
      <c r="Q57">
        <v>-6.8000000000000005E-2</v>
      </c>
      <c r="R57">
        <v>0.184</v>
      </c>
      <c r="S57">
        <v>-7.0000000000000001E-3</v>
      </c>
      <c r="T57">
        <v>-0.157</v>
      </c>
      <c r="U57">
        <v>-5.8999999999999997E-2</v>
      </c>
      <c r="V57">
        <v>-0.21099999999999999</v>
      </c>
      <c r="W57">
        <v>-0.17</v>
      </c>
      <c r="X57">
        <v>0.06</v>
      </c>
      <c r="Y57">
        <v>0.315</v>
      </c>
      <c r="Z57">
        <v>0.434</v>
      </c>
      <c r="AA57">
        <v>0.17699999999999999</v>
      </c>
      <c r="AB57">
        <v>-0.13</v>
      </c>
      <c r="AC57">
        <v>-0.30199999999999999</v>
      </c>
      <c r="AD57">
        <v>-0.42199999999999999</v>
      </c>
      <c r="AE57">
        <v>-0.30499999999999999</v>
      </c>
      <c r="AF57">
        <v>-0.34499999999999997</v>
      </c>
      <c r="AG57">
        <v>-4.9000000000000002E-2</v>
      </c>
      <c r="AH57">
        <v>0.26900000000000002</v>
      </c>
      <c r="AI57">
        <v>-0.13700000000000001</v>
      </c>
      <c r="AJ57">
        <v>-0.27100000000000002</v>
      </c>
      <c r="AK57">
        <v>-0.51800000000000002</v>
      </c>
      <c r="AL57">
        <v>-0.66</v>
      </c>
      <c r="AM57">
        <v>-0.371</v>
      </c>
      <c r="AN57">
        <v>-0.36899999999999999</v>
      </c>
      <c r="AO57">
        <v>-0.52</v>
      </c>
      <c r="AP57">
        <v>-0.434</v>
      </c>
      <c r="AQ57">
        <v>-0.23</v>
      </c>
      <c r="AR57">
        <v>5.6000000000000001E-2</v>
      </c>
      <c r="AS57">
        <v>-0.308</v>
      </c>
      <c r="AT57">
        <v>-0.54100000000000004</v>
      </c>
      <c r="AU57">
        <v>-0.42499999999999999</v>
      </c>
      <c r="AV57">
        <v>-0.46400000000000002</v>
      </c>
      <c r="AW57">
        <v>0.112</v>
      </c>
      <c r="AX57">
        <v>0.44600000000000001</v>
      </c>
      <c r="AY57">
        <v>-0.20799999999999999</v>
      </c>
      <c r="AZ57">
        <v>-0.33</v>
      </c>
      <c r="BA57">
        <v>1.7999999999999999E-2</v>
      </c>
      <c r="BB57">
        <v>3.9E-2</v>
      </c>
      <c r="BC57">
        <v>-0.108</v>
      </c>
      <c r="BD57">
        <v>-0.28499999999999998</v>
      </c>
      <c r="BE57">
        <v>-0.41899999999999998</v>
      </c>
      <c r="BF57">
        <v>-0.35699999999999998</v>
      </c>
      <c r="BG57">
        <v>-0.53700000000000003</v>
      </c>
      <c r="BH57">
        <v>-0.69299999999999995</v>
      </c>
      <c r="BI57">
        <v>-0.64900000000000002</v>
      </c>
      <c r="BJ57">
        <v>-0.57599999999999996</v>
      </c>
      <c r="BK57">
        <v>-0.52400000000000002</v>
      </c>
      <c r="BL57">
        <v>-0.621</v>
      </c>
    </row>
    <row r="58" spans="1:64" x14ac:dyDescent="0.25">
      <c r="A58">
        <v>0.215</v>
      </c>
      <c r="B58">
        <v>0.23300000000000001</v>
      </c>
      <c r="C58">
        <v>0.308</v>
      </c>
      <c r="D58">
        <v>9.1999999999999998E-2</v>
      </c>
      <c r="E58">
        <v>0.32900000000000001</v>
      </c>
      <c r="F58">
        <v>0.58299999999999996</v>
      </c>
      <c r="G58">
        <v>0.307</v>
      </c>
      <c r="H58">
        <v>0.30399999999999999</v>
      </c>
      <c r="I58">
        <v>0.39300000000000002</v>
      </c>
      <c r="J58">
        <v>0.41099999999999998</v>
      </c>
      <c r="K58">
        <v>0.46100000000000002</v>
      </c>
      <c r="L58">
        <v>0.189</v>
      </c>
      <c r="M58">
        <v>-0.14199999999999999</v>
      </c>
      <c r="N58">
        <v>-0.28799999999999998</v>
      </c>
      <c r="O58">
        <v>-0.13500000000000001</v>
      </c>
      <c r="P58">
        <v>-9.7000000000000003E-2</v>
      </c>
      <c r="Q58">
        <v>-0.36099999999999999</v>
      </c>
      <c r="R58">
        <v>-0.08</v>
      </c>
      <c r="S58">
        <v>6.9000000000000006E-2</v>
      </c>
      <c r="T58">
        <v>2E-3</v>
      </c>
      <c r="U58">
        <v>-0.11700000000000001</v>
      </c>
      <c r="V58">
        <v>-0.41899999999999998</v>
      </c>
      <c r="W58">
        <v>-0.28999999999999998</v>
      </c>
      <c r="X58">
        <v>0.01</v>
      </c>
      <c r="Y58">
        <v>0.26600000000000001</v>
      </c>
      <c r="Z58">
        <v>0.47099999999999997</v>
      </c>
      <c r="AA58">
        <v>0.11</v>
      </c>
      <c r="AB58">
        <v>-0.27600000000000002</v>
      </c>
      <c r="AC58">
        <v>-0.25900000000000001</v>
      </c>
      <c r="AD58">
        <v>-0.3</v>
      </c>
      <c r="AE58">
        <v>-0.34799999999999998</v>
      </c>
      <c r="AF58">
        <v>-0.36399999999999999</v>
      </c>
      <c r="AG58">
        <v>-2.8000000000000001E-2</v>
      </c>
      <c r="AH58">
        <v>0.223</v>
      </c>
      <c r="AI58">
        <v>-0.125</v>
      </c>
      <c r="AJ58">
        <v>-0.154</v>
      </c>
      <c r="AK58">
        <v>-0.27900000000000003</v>
      </c>
      <c r="AL58">
        <v>-0.69499999999999995</v>
      </c>
      <c r="AM58">
        <v>-0.53100000000000003</v>
      </c>
      <c r="AN58">
        <v>-0.44700000000000001</v>
      </c>
      <c r="AO58">
        <v>-0.56100000000000005</v>
      </c>
      <c r="AP58">
        <v>-0.23400000000000001</v>
      </c>
      <c r="AQ58">
        <v>-0.10299999999999999</v>
      </c>
      <c r="AR58">
        <v>-0.161</v>
      </c>
      <c r="AS58">
        <v>-0.39800000000000002</v>
      </c>
      <c r="AT58">
        <v>-0.38600000000000001</v>
      </c>
      <c r="AU58">
        <v>-0.126</v>
      </c>
      <c r="AV58">
        <v>-0.34200000000000003</v>
      </c>
      <c r="AW58">
        <v>-8.2000000000000003E-2</v>
      </c>
      <c r="AX58">
        <v>0.19900000000000001</v>
      </c>
      <c r="AY58">
        <v>-0.17699999999999999</v>
      </c>
      <c r="AZ58">
        <v>-0.27600000000000002</v>
      </c>
      <c r="BA58">
        <v>-0.125</v>
      </c>
      <c r="BB58">
        <v>2.3E-2</v>
      </c>
      <c r="BC58">
        <v>0.122</v>
      </c>
      <c r="BD58">
        <v>-0.152</v>
      </c>
      <c r="BE58">
        <v>-0.50900000000000001</v>
      </c>
      <c r="BF58">
        <v>-0.56999999999999995</v>
      </c>
      <c r="BG58">
        <v>-0.56399999999999995</v>
      </c>
      <c r="BH58">
        <v>-0.63900000000000001</v>
      </c>
      <c r="BI58">
        <v>-0.64100000000000001</v>
      </c>
      <c r="BJ58">
        <v>-0.52300000000000002</v>
      </c>
      <c r="BK58">
        <v>-0.49</v>
      </c>
      <c r="BL58">
        <v>-0.57699999999999996</v>
      </c>
    </row>
    <row r="59" spans="1:64" x14ac:dyDescent="0.25">
      <c r="A59">
        <v>-8.5999999999999993E-2</v>
      </c>
      <c r="B59">
        <v>-9.1999999999999998E-2</v>
      </c>
      <c r="C59">
        <v>0.11899999999999999</v>
      </c>
      <c r="D59">
        <v>0.17399999999999999</v>
      </c>
      <c r="E59">
        <v>0.47699999999999998</v>
      </c>
      <c r="F59">
        <v>0.57799999999999996</v>
      </c>
      <c r="G59">
        <v>0.26</v>
      </c>
      <c r="H59">
        <v>0.30399999999999999</v>
      </c>
      <c r="I59">
        <v>0.30299999999999999</v>
      </c>
      <c r="J59">
        <v>0.27</v>
      </c>
      <c r="K59">
        <v>0.38600000000000001</v>
      </c>
      <c r="L59">
        <v>0.16800000000000001</v>
      </c>
      <c r="M59">
        <v>-3.5999999999999997E-2</v>
      </c>
      <c r="N59">
        <v>-0.13</v>
      </c>
      <c r="O59">
        <v>-0.19700000000000001</v>
      </c>
      <c r="P59">
        <v>-0.29599999999999999</v>
      </c>
      <c r="Q59">
        <v>-0.44600000000000001</v>
      </c>
      <c r="R59">
        <v>-0.311</v>
      </c>
      <c r="S59">
        <v>4.4999999999999998E-2</v>
      </c>
      <c r="T59">
        <v>0.112</v>
      </c>
      <c r="U59">
        <v>-0.107</v>
      </c>
      <c r="V59">
        <v>-0.443</v>
      </c>
      <c r="W59">
        <v>-0.40699999999999997</v>
      </c>
      <c r="X59">
        <v>-6.6000000000000003E-2</v>
      </c>
      <c r="Y59">
        <v>0.23799999999999999</v>
      </c>
      <c r="Z59">
        <v>0.44600000000000001</v>
      </c>
      <c r="AA59">
        <v>9.7000000000000003E-2</v>
      </c>
      <c r="AB59">
        <v>-0.36799999999999999</v>
      </c>
      <c r="AC59">
        <v>-0.29699999999999999</v>
      </c>
      <c r="AD59">
        <v>-0.182</v>
      </c>
      <c r="AE59">
        <v>-0.28999999999999998</v>
      </c>
      <c r="AF59">
        <v>-0.33900000000000002</v>
      </c>
      <c r="AG59">
        <v>-7.4999999999999997E-2</v>
      </c>
      <c r="AH59">
        <v>9.9000000000000005E-2</v>
      </c>
      <c r="AI59">
        <v>-0.14899999999999999</v>
      </c>
      <c r="AJ59">
        <v>-0.17599999999999999</v>
      </c>
      <c r="AK59">
        <v>-0.12</v>
      </c>
      <c r="AL59">
        <v>-0.55800000000000005</v>
      </c>
      <c r="AM59">
        <v>-0.55300000000000005</v>
      </c>
      <c r="AN59">
        <v>-0.52200000000000002</v>
      </c>
      <c r="AO59">
        <v>-0.51200000000000001</v>
      </c>
      <c r="AP59">
        <v>-0.129</v>
      </c>
      <c r="AQ59">
        <v>-0.27500000000000002</v>
      </c>
      <c r="AR59">
        <v>-0.32300000000000001</v>
      </c>
      <c r="AS59">
        <v>-0.38</v>
      </c>
      <c r="AT59">
        <v>-0.188</v>
      </c>
      <c r="AU59">
        <v>0.14000000000000001</v>
      </c>
      <c r="AV59">
        <v>-0.14899999999999999</v>
      </c>
      <c r="AW59">
        <v>-0.23599999999999999</v>
      </c>
      <c r="AX59">
        <v>-0.109</v>
      </c>
      <c r="AY59">
        <v>-0.38700000000000001</v>
      </c>
      <c r="AZ59">
        <v>-0.40500000000000003</v>
      </c>
      <c r="BA59">
        <v>-0.13200000000000001</v>
      </c>
      <c r="BB59">
        <v>0.104</v>
      </c>
      <c r="BC59">
        <v>0.27200000000000002</v>
      </c>
      <c r="BD59">
        <v>7.0000000000000001E-3</v>
      </c>
      <c r="BE59">
        <v>-0.497</v>
      </c>
      <c r="BF59">
        <v>-0.69799999999999995</v>
      </c>
      <c r="BG59">
        <v>-0.66600000000000004</v>
      </c>
      <c r="BH59">
        <v>-0.67300000000000004</v>
      </c>
      <c r="BI59">
        <v>-0.77100000000000002</v>
      </c>
      <c r="BJ59">
        <v>-0.72399999999999998</v>
      </c>
      <c r="BK59">
        <v>-0.64600000000000002</v>
      </c>
      <c r="BL59">
        <v>-0.58299999999999996</v>
      </c>
    </row>
    <row r="60" spans="1:64" x14ac:dyDescent="0.25">
      <c r="A60">
        <v>0.183</v>
      </c>
      <c r="B60">
        <v>9.2999999999999999E-2</v>
      </c>
      <c r="C60">
        <v>0.155</v>
      </c>
      <c r="D60">
        <v>0.192</v>
      </c>
      <c r="E60">
        <v>0.375</v>
      </c>
      <c r="F60">
        <v>0.40899999999999997</v>
      </c>
      <c r="G60">
        <v>0.245</v>
      </c>
      <c r="H60">
        <v>7.6999999999999999E-2</v>
      </c>
      <c r="I60">
        <v>0.16400000000000001</v>
      </c>
      <c r="J60">
        <v>0.308</v>
      </c>
      <c r="K60">
        <v>0.23400000000000001</v>
      </c>
      <c r="L60">
        <v>5.3999999999999999E-2</v>
      </c>
      <c r="M60">
        <v>2.1000000000000001E-2</v>
      </c>
      <c r="N60">
        <v>2.4E-2</v>
      </c>
      <c r="O60">
        <v>-0.224</v>
      </c>
      <c r="P60">
        <v>-0.33300000000000002</v>
      </c>
      <c r="Q60">
        <v>-0.37</v>
      </c>
      <c r="R60">
        <v>-0.26300000000000001</v>
      </c>
      <c r="S60">
        <v>-0.17799999999999999</v>
      </c>
      <c r="T60">
        <v>-8.8999999999999996E-2</v>
      </c>
      <c r="U60">
        <v>-0.13900000000000001</v>
      </c>
      <c r="V60">
        <v>-0.32800000000000001</v>
      </c>
      <c r="W60">
        <v>-0.33200000000000002</v>
      </c>
      <c r="X60">
        <v>-0.104</v>
      </c>
      <c r="Y60">
        <v>0.16</v>
      </c>
      <c r="Z60">
        <v>0.42799999999999999</v>
      </c>
      <c r="AA60">
        <v>0.189</v>
      </c>
      <c r="AB60">
        <v>-0.373</v>
      </c>
      <c r="AC60">
        <v>-0.37</v>
      </c>
      <c r="AD60">
        <v>-0.224</v>
      </c>
      <c r="AE60">
        <v>-0.23100000000000001</v>
      </c>
      <c r="AF60">
        <v>-0.315</v>
      </c>
      <c r="AG60">
        <v>-0.11600000000000001</v>
      </c>
      <c r="AH60">
        <v>0.21099999999999999</v>
      </c>
      <c r="AI60">
        <v>2.1000000000000001E-2</v>
      </c>
      <c r="AJ60">
        <v>-0.32200000000000001</v>
      </c>
      <c r="AK60">
        <v>-0.223</v>
      </c>
      <c r="AL60">
        <v>-0.34200000000000003</v>
      </c>
      <c r="AM60">
        <v>-0.53800000000000003</v>
      </c>
      <c r="AN60">
        <v>-0.621</v>
      </c>
      <c r="AO60">
        <v>-0.35399999999999998</v>
      </c>
      <c r="AP60">
        <v>-8.2000000000000003E-2</v>
      </c>
      <c r="AQ60">
        <v>-0.44800000000000001</v>
      </c>
      <c r="AR60">
        <v>-0.29699999999999999</v>
      </c>
      <c r="AS60">
        <v>-0.23899999999999999</v>
      </c>
      <c r="AT60">
        <v>-0.14799999999999999</v>
      </c>
      <c r="AU60">
        <v>0.13900000000000001</v>
      </c>
      <c r="AV60">
        <v>-0.13500000000000001</v>
      </c>
      <c r="AW60">
        <v>-0.245</v>
      </c>
      <c r="AX60">
        <v>-0.27800000000000002</v>
      </c>
      <c r="AY60">
        <v>-0.53700000000000003</v>
      </c>
      <c r="AZ60">
        <v>-0.46700000000000003</v>
      </c>
      <c r="BA60">
        <v>-5.5E-2</v>
      </c>
      <c r="BB60">
        <v>0.18</v>
      </c>
      <c r="BC60">
        <v>0.26500000000000001</v>
      </c>
      <c r="BD60">
        <v>-2.9000000000000001E-2</v>
      </c>
      <c r="BE60">
        <v>-0.5</v>
      </c>
      <c r="BF60">
        <v>-0.67800000000000005</v>
      </c>
      <c r="BG60">
        <v>-0.67100000000000004</v>
      </c>
      <c r="BH60">
        <v>-0.63100000000000001</v>
      </c>
      <c r="BI60">
        <v>-0.77900000000000003</v>
      </c>
      <c r="BJ60">
        <v>-0.83899999999999997</v>
      </c>
      <c r="BK60">
        <v>-0.78</v>
      </c>
      <c r="BL60">
        <v>-0.627</v>
      </c>
    </row>
    <row r="61" spans="1:64" x14ac:dyDescent="0.25">
      <c r="A61">
        <v>0.39500000000000002</v>
      </c>
      <c r="B61">
        <v>0.308</v>
      </c>
      <c r="C61">
        <v>0.33800000000000002</v>
      </c>
      <c r="D61">
        <v>0.313</v>
      </c>
      <c r="E61">
        <v>0.18</v>
      </c>
      <c r="F61">
        <v>0.18</v>
      </c>
      <c r="G61">
        <v>0.249</v>
      </c>
      <c r="H61">
        <v>-1.9E-2</v>
      </c>
      <c r="I61">
        <v>0.185</v>
      </c>
      <c r="J61">
        <v>0.28499999999999998</v>
      </c>
      <c r="K61">
        <v>0.14000000000000001</v>
      </c>
      <c r="L61">
        <v>-1.0999999999999999E-2</v>
      </c>
      <c r="M61">
        <v>-0.157</v>
      </c>
      <c r="N61">
        <v>5.0999999999999997E-2</v>
      </c>
      <c r="O61">
        <v>-0.26700000000000002</v>
      </c>
      <c r="P61">
        <v>-0.312</v>
      </c>
      <c r="Q61">
        <v>-0.183</v>
      </c>
      <c r="R61">
        <v>-0.21099999999999999</v>
      </c>
      <c r="S61">
        <v>-0.35599999999999998</v>
      </c>
      <c r="T61">
        <v>-0.38600000000000001</v>
      </c>
      <c r="U61">
        <v>-0.28799999999999998</v>
      </c>
      <c r="V61">
        <v>-0.32300000000000001</v>
      </c>
      <c r="W61">
        <v>-0.22600000000000001</v>
      </c>
      <c r="X61">
        <v>-9.0999999999999998E-2</v>
      </c>
      <c r="Y61">
        <v>8.5000000000000006E-2</v>
      </c>
      <c r="Z61">
        <v>0.34899999999999998</v>
      </c>
      <c r="AA61">
        <v>0.13500000000000001</v>
      </c>
      <c r="AB61">
        <v>-0.33900000000000002</v>
      </c>
      <c r="AC61">
        <v>-0.32600000000000001</v>
      </c>
      <c r="AD61">
        <v>-0.22500000000000001</v>
      </c>
      <c r="AE61">
        <v>-0.20300000000000001</v>
      </c>
      <c r="AF61">
        <v>-0.17</v>
      </c>
      <c r="AG61">
        <v>-0.11600000000000001</v>
      </c>
      <c r="AH61">
        <v>0.16</v>
      </c>
      <c r="AI61">
        <v>6.4000000000000001E-2</v>
      </c>
      <c r="AJ61">
        <v>-0.16200000000000001</v>
      </c>
      <c r="AK61">
        <v>-0.28000000000000003</v>
      </c>
      <c r="AL61">
        <v>-0.22</v>
      </c>
      <c r="AM61">
        <v>-0.39</v>
      </c>
      <c r="AN61">
        <v>-0.626</v>
      </c>
      <c r="AO61">
        <v>-0.33100000000000002</v>
      </c>
      <c r="AP61">
        <v>-0.123</v>
      </c>
      <c r="AQ61">
        <v>-0.38600000000000001</v>
      </c>
      <c r="AR61">
        <v>-0.16500000000000001</v>
      </c>
      <c r="AS61">
        <v>-0.121</v>
      </c>
      <c r="AT61">
        <v>-0.24399999999999999</v>
      </c>
      <c r="AU61">
        <v>-4.1000000000000002E-2</v>
      </c>
      <c r="AV61">
        <v>-0.193</v>
      </c>
      <c r="AW61">
        <v>-0.247</v>
      </c>
      <c r="AX61">
        <v>-0.35499999999999998</v>
      </c>
      <c r="AY61">
        <v>-0.50800000000000001</v>
      </c>
      <c r="AZ61">
        <v>-0.35199999999999998</v>
      </c>
      <c r="BA61">
        <v>-6.5000000000000002E-2</v>
      </c>
      <c r="BB61">
        <v>0.112</v>
      </c>
      <c r="BC61">
        <v>0.154</v>
      </c>
      <c r="BD61">
        <v>-9.5000000000000001E-2</v>
      </c>
      <c r="BE61">
        <v>-0.47</v>
      </c>
      <c r="BF61">
        <v>-0.59599999999999997</v>
      </c>
      <c r="BG61">
        <v>-0.54900000000000004</v>
      </c>
      <c r="BH61">
        <v>-0.54400000000000004</v>
      </c>
      <c r="BI61">
        <v>-0.72699999999999998</v>
      </c>
      <c r="BJ61">
        <v>-0.84199999999999997</v>
      </c>
      <c r="BK61">
        <v>-0.84499999999999997</v>
      </c>
      <c r="BL61">
        <v>-0.72399999999999998</v>
      </c>
    </row>
    <row r="62" spans="1:64" x14ac:dyDescent="0.25">
      <c r="A62">
        <v>1.6E-2</v>
      </c>
      <c r="B62">
        <v>0.129</v>
      </c>
      <c r="C62">
        <v>0.53300000000000003</v>
      </c>
      <c r="D62">
        <v>0.54</v>
      </c>
      <c r="E62">
        <v>0.16200000000000001</v>
      </c>
      <c r="F62">
        <v>0.13100000000000001</v>
      </c>
      <c r="G62">
        <v>0.23599999999999999</v>
      </c>
      <c r="H62">
        <v>3.6999999999999998E-2</v>
      </c>
      <c r="I62">
        <v>8.7999999999999995E-2</v>
      </c>
      <c r="J62">
        <v>0.18099999999999999</v>
      </c>
      <c r="K62">
        <v>1.7999999999999999E-2</v>
      </c>
      <c r="L62">
        <v>-0.123</v>
      </c>
      <c r="M62">
        <v>-0.252</v>
      </c>
      <c r="N62">
        <v>-0.154</v>
      </c>
      <c r="O62">
        <v>-0.26200000000000001</v>
      </c>
      <c r="P62">
        <v>-0.27</v>
      </c>
      <c r="Q62">
        <v>-0.22700000000000001</v>
      </c>
      <c r="R62">
        <v>-0.16700000000000001</v>
      </c>
      <c r="S62">
        <v>-0.33300000000000002</v>
      </c>
      <c r="T62">
        <v>-0.55800000000000005</v>
      </c>
      <c r="U62">
        <v>-0.51200000000000001</v>
      </c>
      <c r="V62">
        <v>-0.33200000000000002</v>
      </c>
      <c r="W62">
        <v>-0.186</v>
      </c>
      <c r="X62">
        <v>-0.26900000000000002</v>
      </c>
      <c r="Y62">
        <v>-7.4999999999999997E-2</v>
      </c>
      <c r="Z62">
        <v>0.20100000000000001</v>
      </c>
      <c r="AA62">
        <v>1.7000000000000001E-2</v>
      </c>
      <c r="AB62">
        <v>-0.35799999999999998</v>
      </c>
      <c r="AC62">
        <v>-0.26800000000000002</v>
      </c>
      <c r="AD62">
        <v>-0.17100000000000001</v>
      </c>
      <c r="AE62">
        <v>-0.157</v>
      </c>
      <c r="AF62">
        <v>-3.4000000000000002E-2</v>
      </c>
      <c r="AG62">
        <v>-0.187</v>
      </c>
      <c r="AH62">
        <v>-5.1999999999999998E-2</v>
      </c>
      <c r="AI62">
        <v>1.9E-2</v>
      </c>
      <c r="AJ62">
        <v>-8.0000000000000002E-3</v>
      </c>
      <c r="AK62">
        <v>-0.182</v>
      </c>
      <c r="AL62">
        <v>-0.23599999999999999</v>
      </c>
      <c r="AM62">
        <v>-0.13100000000000001</v>
      </c>
      <c r="AN62">
        <v>-0.33200000000000002</v>
      </c>
      <c r="AO62">
        <v>-0.42799999999999999</v>
      </c>
      <c r="AP62">
        <v>-0.44700000000000001</v>
      </c>
      <c r="AQ62">
        <v>-0.29199999999999998</v>
      </c>
      <c r="AR62">
        <v>-0.115</v>
      </c>
      <c r="AS62">
        <v>-0.151</v>
      </c>
      <c r="AT62">
        <v>-6.5000000000000002E-2</v>
      </c>
      <c r="AU62">
        <v>-0.159</v>
      </c>
      <c r="AV62">
        <v>-0.36</v>
      </c>
      <c r="AW62">
        <v>-0.33300000000000002</v>
      </c>
      <c r="AX62">
        <v>-0.38100000000000001</v>
      </c>
      <c r="AY62">
        <v>-0.4</v>
      </c>
      <c r="AZ62">
        <v>-0.221</v>
      </c>
      <c r="BA62">
        <v>-0.13900000000000001</v>
      </c>
      <c r="BB62">
        <v>-0.184</v>
      </c>
      <c r="BC62">
        <v>-0.13400000000000001</v>
      </c>
      <c r="BD62">
        <v>-0.11600000000000001</v>
      </c>
      <c r="BE62">
        <v>-0.37</v>
      </c>
      <c r="BF62">
        <v>-0.57399999999999995</v>
      </c>
      <c r="BG62">
        <v>-0.47299999999999998</v>
      </c>
      <c r="BH62">
        <v>-0.41499999999999998</v>
      </c>
      <c r="BI62">
        <v>-0.59899999999999998</v>
      </c>
      <c r="BJ62">
        <v>-0.753</v>
      </c>
      <c r="BK62">
        <v>-0.82799999999999996</v>
      </c>
      <c r="BL62">
        <v>-0.78400000000000003</v>
      </c>
    </row>
    <row r="63" spans="1:64" x14ac:dyDescent="0.25">
      <c r="A63">
        <v>-0.39100000000000001</v>
      </c>
      <c r="B63">
        <v>-0.01</v>
      </c>
      <c r="C63">
        <v>0.59299999999999997</v>
      </c>
      <c r="D63">
        <v>0.60699999999999998</v>
      </c>
      <c r="E63">
        <v>0.254</v>
      </c>
      <c r="F63">
        <v>0.152</v>
      </c>
      <c r="G63">
        <v>0.34300000000000003</v>
      </c>
      <c r="H63">
        <v>0.14000000000000001</v>
      </c>
      <c r="I63">
        <v>-5.8000000000000003E-2</v>
      </c>
      <c r="J63">
        <v>5.5E-2</v>
      </c>
      <c r="K63">
        <v>-0.13</v>
      </c>
      <c r="L63">
        <v>-0.27300000000000002</v>
      </c>
      <c r="M63">
        <v>-0.125</v>
      </c>
      <c r="N63">
        <v>-0.17199999999999999</v>
      </c>
      <c r="O63">
        <v>-0.218</v>
      </c>
      <c r="P63">
        <v>-0.23400000000000001</v>
      </c>
      <c r="Q63">
        <v>-0.33600000000000002</v>
      </c>
      <c r="R63">
        <v>-0.184</v>
      </c>
      <c r="S63">
        <v>-0.33800000000000002</v>
      </c>
      <c r="T63">
        <v>-0.64400000000000002</v>
      </c>
      <c r="U63">
        <v>-0.623</v>
      </c>
      <c r="V63">
        <v>-0.35499999999999998</v>
      </c>
      <c r="W63">
        <v>-0.29299999999999998</v>
      </c>
      <c r="X63">
        <v>-0.442</v>
      </c>
      <c r="Y63">
        <v>-0.192</v>
      </c>
      <c r="Z63">
        <v>0.22800000000000001</v>
      </c>
      <c r="AA63">
        <v>-3.3000000000000002E-2</v>
      </c>
      <c r="AB63">
        <v>-0.48399999999999999</v>
      </c>
      <c r="AC63">
        <v>-0.35</v>
      </c>
      <c r="AD63">
        <v>-7.8E-2</v>
      </c>
      <c r="AE63">
        <v>-8.0000000000000002E-3</v>
      </c>
      <c r="AF63">
        <v>-0.128</v>
      </c>
      <c r="AG63">
        <v>-0.22900000000000001</v>
      </c>
      <c r="AH63">
        <v>-3.6999999999999998E-2</v>
      </c>
      <c r="AI63">
        <v>-1.4E-2</v>
      </c>
      <c r="AJ63">
        <v>-1.4999999999999999E-2</v>
      </c>
      <c r="AK63">
        <v>-6.0999999999999999E-2</v>
      </c>
      <c r="AL63">
        <v>-0.155</v>
      </c>
      <c r="AM63">
        <v>-0.01</v>
      </c>
      <c r="AN63">
        <v>-9.8000000000000004E-2</v>
      </c>
      <c r="AO63">
        <v>-0.41399999999999998</v>
      </c>
      <c r="AP63">
        <v>-0.58899999999999997</v>
      </c>
      <c r="AQ63">
        <v>-0.27300000000000002</v>
      </c>
      <c r="AR63">
        <v>-5.8000000000000003E-2</v>
      </c>
      <c r="AS63">
        <v>-0.26</v>
      </c>
      <c r="AT63">
        <v>5.2999999999999999E-2</v>
      </c>
      <c r="AU63">
        <v>-0.154</v>
      </c>
      <c r="AV63">
        <v>-0.441</v>
      </c>
      <c r="AW63">
        <v>-0.31900000000000001</v>
      </c>
      <c r="AX63">
        <v>-0.34699999999999998</v>
      </c>
      <c r="AY63">
        <v>-0.34399999999999997</v>
      </c>
      <c r="AZ63">
        <v>-0.21299999999999999</v>
      </c>
      <c r="BA63">
        <v>-0.30599999999999999</v>
      </c>
      <c r="BB63">
        <v>-0.45500000000000002</v>
      </c>
      <c r="BC63">
        <v>-0.32800000000000001</v>
      </c>
      <c r="BD63">
        <v>-0.16500000000000001</v>
      </c>
      <c r="BE63">
        <v>-0.40799999999999997</v>
      </c>
      <c r="BF63">
        <v>-0.57099999999999995</v>
      </c>
      <c r="BG63">
        <v>-0.55200000000000005</v>
      </c>
      <c r="BH63">
        <v>-0.44</v>
      </c>
      <c r="BI63">
        <v>-0.47</v>
      </c>
      <c r="BJ63">
        <v>-0.59599999999999997</v>
      </c>
      <c r="BK63">
        <v>-0.747</v>
      </c>
      <c r="BL63">
        <v>-0.78800000000000003</v>
      </c>
    </row>
    <row r="64" spans="1:64" x14ac:dyDescent="0.25">
      <c r="A64">
        <v>6.7000000000000004E-2</v>
      </c>
      <c r="B64">
        <v>0.40300000000000002</v>
      </c>
      <c r="C64">
        <v>0.57899999999999996</v>
      </c>
      <c r="D64">
        <v>0.55700000000000005</v>
      </c>
      <c r="E64">
        <v>0.33800000000000002</v>
      </c>
      <c r="F64">
        <v>0.20100000000000001</v>
      </c>
      <c r="G64">
        <v>0.41399999999999998</v>
      </c>
      <c r="H64">
        <v>0.39500000000000002</v>
      </c>
      <c r="I64">
        <v>-8.9999999999999993E-3</v>
      </c>
      <c r="J64">
        <v>-0.251</v>
      </c>
      <c r="K64">
        <v>-0.27300000000000002</v>
      </c>
      <c r="L64">
        <v>-0.28999999999999998</v>
      </c>
      <c r="M64">
        <v>-5.3999999999999999E-2</v>
      </c>
      <c r="N64">
        <v>7.3999999999999996E-2</v>
      </c>
      <c r="O64">
        <v>-0.186</v>
      </c>
      <c r="P64">
        <v>-0.19600000000000001</v>
      </c>
      <c r="Q64">
        <v>-0.35</v>
      </c>
      <c r="R64">
        <v>-0.54700000000000004</v>
      </c>
      <c r="S64">
        <v>-0.53500000000000003</v>
      </c>
      <c r="T64">
        <v>-0.64100000000000001</v>
      </c>
      <c r="U64">
        <v>-0.56899999999999995</v>
      </c>
      <c r="V64">
        <v>-0.48099999999999998</v>
      </c>
      <c r="W64">
        <v>-0.46700000000000003</v>
      </c>
      <c r="X64">
        <v>-0.45600000000000002</v>
      </c>
      <c r="Y64">
        <v>-0.185</v>
      </c>
      <c r="Z64">
        <v>0.26500000000000001</v>
      </c>
      <c r="AA64">
        <v>-5.1999999999999998E-2</v>
      </c>
      <c r="AB64">
        <v>-0.51600000000000001</v>
      </c>
      <c r="AC64">
        <v>-0.438</v>
      </c>
      <c r="AD64">
        <v>-0.112</v>
      </c>
      <c r="AE64">
        <v>-6.6000000000000003E-2</v>
      </c>
      <c r="AF64">
        <v>-0.26200000000000001</v>
      </c>
      <c r="AG64">
        <v>-0.114</v>
      </c>
      <c r="AH64">
        <v>0.16400000000000001</v>
      </c>
      <c r="AI64">
        <v>8.6999999999999994E-2</v>
      </c>
      <c r="AJ64">
        <v>8.4000000000000005E-2</v>
      </c>
      <c r="AK64">
        <v>-2.5000000000000001E-2</v>
      </c>
      <c r="AL64">
        <v>1.2999999999999999E-2</v>
      </c>
      <c r="AM64">
        <v>-0.159</v>
      </c>
      <c r="AN64">
        <v>-0.28399999999999997</v>
      </c>
      <c r="AO64">
        <v>-0.33400000000000002</v>
      </c>
      <c r="AP64">
        <v>-0.44700000000000001</v>
      </c>
      <c r="AQ64">
        <v>-0.17100000000000001</v>
      </c>
      <c r="AR64">
        <v>1.4E-2</v>
      </c>
      <c r="AS64">
        <v>-0.23499999999999999</v>
      </c>
      <c r="AT64">
        <v>-7.0999999999999994E-2</v>
      </c>
      <c r="AU64">
        <v>-0.26</v>
      </c>
      <c r="AV64">
        <v>-0.48299999999999998</v>
      </c>
      <c r="AW64">
        <v>-0.121</v>
      </c>
      <c r="AX64">
        <v>-0.253</v>
      </c>
      <c r="AY64">
        <v>-0.38300000000000001</v>
      </c>
      <c r="AZ64">
        <v>-0.29099999999999998</v>
      </c>
      <c r="BA64">
        <v>-0.49099999999999999</v>
      </c>
      <c r="BB64">
        <v>-0.59599999999999997</v>
      </c>
      <c r="BC64">
        <v>-0.44700000000000001</v>
      </c>
      <c r="BD64">
        <v>-0.24099999999999999</v>
      </c>
      <c r="BE64">
        <v>-0.50600000000000001</v>
      </c>
      <c r="BF64">
        <v>-0.58899999999999997</v>
      </c>
      <c r="BG64">
        <v>-0.58799999999999997</v>
      </c>
      <c r="BH64">
        <v>-0.56000000000000005</v>
      </c>
      <c r="BI64">
        <v>-0.42799999999999999</v>
      </c>
      <c r="BJ64">
        <v>-0.46800000000000003</v>
      </c>
      <c r="BK64">
        <v>-0.69099999999999995</v>
      </c>
      <c r="BL64">
        <v>-0.77</v>
      </c>
    </row>
    <row r="66" spans="1:64" x14ac:dyDescent="0.25">
      <c r="A66">
        <v>0.29199999999999998</v>
      </c>
      <c r="B66">
        <v>0.33600000000000002</v>
      </c>
      <c r="C66">
        <v>0.38300000000000001</v>
      </c>
      <c r="D66">
        <v>0.42599999999999999</v>
      </c>
      <c r="E66">
        <v>0.53800000000000003</v>
      </c>
      <c r="F66">
        <v>0.59899999999999998</v>
      </c>
      <c r="G66">
        <v>0.56799999999999995</v>
      </c>
      <c r="H66">
        <v>0.56299999999999994</v>
      </c>
      <c r="I66">
        <v>0.72</v>
      </c>
      <c r="J66">
        <v>0.871</v>
      </c>
      <c r="K66">
        <v>0.70899999999999996</v>
      </c>
      <c r="L66">
        <v>0.61699999999999999</v>
      </c>
      <c r="M66">
        <v>0.66</v>
      </c>
      <c r="N66">
        <v>0.84</v>
      </c>
      <c r="O66">
        <v>0.79600000000000004</v>
      </c>
      <c r="P66">
        <v>0.71599999999999997</v>
      </c>
      <c r="Q66">
        <v>0.64600000000000002</v>
      </c>
      <c r="R66">
        <v>0.61599999999999999</v>
      </c>
      <c r="S66">
        <v>0.623</v>
      </c>
      <c r="T66">
        <v>0.66500000000000004</v>
      </c>
      <c r="U66">
        <v>0.76400000000000001</v>
      </c>
      <c r="V66">
        <v>0.89800000000000002</v>
      </c>
      <c r="W66">
        <v>0.95899999999999996</v>
      </c>
      <c r="X66">
        <v>0.77200000000000002</v>
      </c>
      <c r="Y66">
        <v>0.90700000000000003</v>
      </c>
      <c r="Z66">
        <v>0.94499999999999995</v>
      </c>
      <c r="AA66">
        <v>0.97</v>
      </c>
      <c r="AB66">
        <v>0.95599999999999996</v>
      </c>
      <c r="AC66">
        <v>0.85599999999999998</v>
      </c>
      <c r="AD66">
        <v>0.81799999999999995</v>
      </c>
      <c r="AE66">
        <v>0.81499999999999995</v>
      </c>
      <c r="AF66">
        <v>0.67500000000000004</v>
      </c>
      <c r="AG66">
        <v>0.58899999999999997</v>
      </c>
      <c r="AH66">
        <v>0.67800000000000005</v>
      </c>
      <c r="AI66">
        <v>0.84099999999999997</v>
      </c>
      <c r="AJ66">
        <v>0.90100000000000002</v>
      </c>
      <c r="AK66">
        <v>0.73299999999999998</v>
      </c>
      <c r="AL66">
        <v>0.69599999999999995</v>
      </c>
      <c r="AM66">
        <v>0.78800000000000003</v>
      </c>
      <c r="AN66">
        <v>0.82699999999999996</v>
      </c>
      <c r="AO66">
        <v>0.72099999999999997</v>
      </c>
      <c r="AP66">
        <v>0.65100000000000002</v>
      </c>
      <c r="AQ66">
        <v>0.79800000000000004</v>
      </c>
      <c r="AR66">
        <v>0.96299999999999997</v>
      </c>
      <c r="AS66">
        <v>0.93</v>
      </c>
      <c r="AT66">
        <v>0.97499999999999998</v>
      </c>
      <c r="AU66">
        <v>0.82299999999999995</v>
      </c>
      <c r="AV66">
        <v>0.85799999999999998</v>
      </c>
      <c r="AW66">
        <v>0.98</v>
      </c>
      <c r="AX66">
        <v>0.98399999999999999</v>
      </c>
      <c r="AY66">
        <v>0.94199999999999995</v>
      </c>
      <c r="AZ66">
        <v>0.83399999999999996</v>
      </c>
      <c r="BA66">
        <v>0.86</v>
      </c>
      <c r="BB66">
        <v>0.97399999999999998</v>
      </c>
      <c r="BC66">
        <v>0.97799999999999998</v>
      </c>
      <c r="BD66">
        <v>0.91600000000000004</v>
      </c>
      <c r="BE66">
        <v>0.94899999999999995</v>
      </c>
      <c r="BF66">
        <v>0.94599999999999995</v>
      </c>
      <c r="BG66">
        <v>0.96799999999999997</v>
      </c>
      <c r="BH66">
        <v>0.91800000000000004</v>
      </c>
      <c r="BI66">
        <v>0.96299999999999997</v>
      </c>
      <c r="BJ66">
        <v>0.997</v>
      </c>
      <c r="BK66">
        <v>0.81799999999999995</v>
      </c>
      <c r="BL66">
        <v>0.55800000000000005</v>
      </c>
    </row>
    <row r="67" spans="1:64" x14ac:dyDescent="0.25">
      <c r="A67">
        <v>0.36299999999999999</v>
      </c>
      <c r="B67">
        <v>0.38900000000000001</v>
      </c>
      <c r="C67">
        <v>0.40799999999999997</v>
      </c>
      <c r="D67">
        <v>0.435</v>
      </c>
      <c r="E67">
        <v>0.52800000000000002</v>
      </c>
      <c r="F67">
        <v>0.59099999999999997</v>
      </c>
      <c r="G67">
        <v>0.61799999999999999</v>
      </c>
      <c r="H67">
        <v>0.65200000000000002</v>
      </c>
      <c r="I67">
        <v>0.77500000000000002</v>
      </c>
      <c r="J67">
        <v>0.85399999999999998</v>
      </c>
      <c r="K67">
        <v>0.753</v>
      </c>
      <c r="L67">
        <v>0.71199999999999997</v>
      </c>
      <c r="M67">
        <v>0.75600000000000001</v>
      </c>
      <c r="N67">
        <v>0.84299999999999997</v>
      </c>
      <c r="O67">
        <v>0.79500000000000004</v>
      </c>
      <c r="P67">
        <v>0.76800000000000002</v>
      </c>
      <c r="Q67">
        <v>0.626</v>
      </c>
      <c r="R67">
        <v>0.58899999999999997</v>
      </c>
      <c r="S67">
        <v>0.64400000000000002</v>
      </c>
      <c r="T67">
        <v>0.69399999999999995</v>
      </c>
      <c r="U67">
        <v>0.76400000000000001</v>
      </c>
      <c r="V67">
        <v>0.877</v>
      </c>
      <c r="W67">
        <v>0.90600000000000003</v>
      </c>
      <c r="X67">
        <v>0.77900000000000003</v>
      </c>
      <c r="Y67">
        <v>0.92600000000000005</v>
      </c>
      <c r="Z67">
        <v>0.95799999999999996</v>
      </c>
      <c r="AA67">
        <v>0.97399999999999998</v>
      </c>
      <c r="AB67">
        <v>0.997</v>
      </c>
      <c r="AC67">
        <v>0.96199999999999997</v>
      </c>
      <c r="AD67">
        <v>0.871</v>
      </c>
      <c r="AE67">
        <v>0.79600000000000004</v>
      </c>
      <c r="AF67">
        <v>0.74099999999999999</v>
      </c>
      <c r="AG67">
        <v>0.7</v>
      </c>
      <c r="AH67">
        <v>0.70199999999999996</v>
      </c>
      <c r="AI67">
        <v>0.77100000000000002</v>
      </c>
      <c r="AJ67">
        <v>0.85699999999999998</v>
      </c>
      <c r="AK67">
        <v>0.80800000000000005</v>
      </c>
      <c r="AL67">
        <v>0.76600000000000001</v>
      </c>
      <c r="AM67">
        <v>0.86199999999999999</v>
      </c>
      <c r="AN67">
        <v>0.876</v>
      </c>
      <c r="AO67">
        <v>0.9</v>
      </c>
      <c r="AP67">
        <v>0.80400000000000005</v>
      </c>
      <c r="AQ67">
        <v>0.77500000000000002</v>
      </c>
      <c r="AR67">
        <v>0.84599999999999997</v>
      </c>
      <c r="AS67">
        <v>0.91700000000000004</v>
      </c>
      <c r="AT67">
        <v>0.98099999999999998</v>
      </c>
      <c r="AU67">
        <v>0.88400000000000001</v>
      </c>
      <c r="AV67">
        <v>0.86899999999999999</v>
      </c>
      <c r="AW67">
        <v>0.97599999999999998</v>
      </c>
      <c r="AX67">
        <v>0.98</v>
      </c>
      <c r="AY67">
        <v>0.92700000000000005</v>
      </c>
      <c r="AZ67">
        <v>0.88300000000000001</v>
      </c>
      <c r="BA67">
        <v>0.91200000000000003</v>
      </c>
      <c r="BB67">
        <v>0.98699999999999999</v>
      </c>
      <c r="BC67">
        <v>0.99</v>
      </c>
      <c r="BD67">
        <v>0.96099999999999997</v>
      </c>
      <c r="BE67">
        <v>0.95599999999999996</v>
      </c>
      <c r="BF67">
        <v>0.94499999999999995</v>
      </c>
      <c r="BG67">
        <v>0.99399999999999999</v>
      </c>
      <c r="BH67">
        <v>0.998</v>
      </c>
      <c r="BI67">
        <v>0.98399999999999999</v>
      </c>
      <c r="BJ67">
        <v>0.91</v>
      </c>
      <c r="BK67">
        <v>0.76</v>
      </c>
      <c r="BL67">
        <v>0.57599999999999996</v>
      </c>
    </row>
    <row r="68" spans="1:64" x14ac:dyDescent="0.25">
      <c r="A68">
        <v>0.53200000000000003</v>
      </c>
      <c r="B68">
        <v>0.53900000000000003</v>
      </c>
      <c r="C68">
        <v>0.49199999999999999</v>
      </c>
      <c r="D68">
        <v>0.46500000000000002</v>
      </c>
      <c r="E68">
        <v>0.51600000000000001</v>
      </c>
      <c r="F68">
        <v>0.52800000000000002</v>
      </c>
      <c r="G68">
        <v>0.61099999999999999</v>
      </c>
      <c r="H68">
        <v>0.73599999999999999</v>
      </c>
      <c r="I68">
        <v>0.82399999999999995</v>
      </c>
      <c r="J68">
        <v>0.82799999999999996</v>
      </c>
      <c r="K68">
        <v>0.82399999999999995</v>
      </c>
      <c r="L68">
        <v>0.88700000000000001</v>
      </c>
      <c r="M68">
        <v>0.877</v>
      </c>
      <c r="N68">
        <v>0.83399999999999996</v>
      </c>
      <c r="O68">
        <v>0.79100000000000004</v>
      </c>
      <c r="P68">
        <v>0.80100000000000005</v>
      </c>
      <c r="Q68">
        <v>0.61599999999999999</v>
      </c>
      <c r="R68">
        <v>0.55600000000000005</v>
      </c>
      <c r="S68">
        <v>0.65500000000000003</v>
      </c>
      <c r="T68">
        <v>0.72099999999999997</v>
      </c>
      <c r="U68">
        <v>0.77100000000000002</v>
      </c>
      <c r="V68">
        <v>0.81</v>
      </c>
      <c r="W68">
        <v>0.78500000000000003</v>
      </c>
      <c r="X68">
        <v>0.81</v>
      </c>
      <c r="Y68">
        <v>0.92600000000000005</v>
      </c>
      <c r="Z68">
        <v>0.93300000000000005</v>
      </c>
      <c r="AA68">
        <v>0.95299999999999996</v>
      </c>
      <c r="AB68">
        <v>0.98499999999999999</v>
      </c>
      <c r="AC68">
        <v>0.99399999999999999</v>
      </c>
      <c r="AD68">
        <v>0.93600000000000005</v>
      </c>
      <c r="AE68">
        <v>0.86499999999999999</v>
      </c>
      <c r="AF68">
        <v>0.85</v>
      </c>
      <c r="AG68">
        <v>0.81</v>
      </c>
      <c r="AH68">
        <v>0.77200000000000002</v>
      </c>
      <c r="AI68">
        <v>0.8</v>
      </c>
      <c r="AJ68">
        <v>0.81499999999999995</v>
      </c>
      <c r="AK68">
        <v>0.80300000000000005</v>
      </c>
      <c r="AL68">
        <v>0.82799999999999996</v>
      </c>
      <c r="AM68">
        <v>0.82299999999999995</v>
      </c>
      <c r="AN68">
        <v>0.84199999999999997</v>
      </c>
      <c r="AO68">
        <v>0.98</v>
      </c>
      <c r="AP68">
        <v>0.98799999999999999</v>
      </c>
      <c r="AQ68">
        <v>0.89900000000000002</v>
      </c>
      <c r="AR68">
        <v>0.76</v>
      </c>
      <c r="AS68">
        <v>0.85699999999999998</v>
      </c>
      <c r="AT68">
        <v>0.96399999999999997</v>
      </c>
      <c r="AU68">
        <v>0.93500000000000005</v>
      </c>
      <c r="AV68">
        <v>0.89400000000000002</v>
      </c>
      <c r="AW68">
        <v>0.89500000000000002</v>
      </c>
      <c r="AX68">
        <v>0.93799999999999994</v>
      </c>
      <c r="AY68">
        <v>0.9</v>
      </c>
      <c r="AZ68">
        <v>0.85199999999999998</v>
      </c>
      <c r="BA68">
        <v>0.93799999999999994</v>
      </c>
      <c r="BB68">
        <v>0.93100000000000005</v>
      </c>
      <c r="BC68">
        <v>0.98899999999999999</v>
      </c>
      <c r="BD68">
        <v>0.99299999999999999</v>
      </c>
      <c r="BE68">
        <v>0.98299999999999998</v>
      </c>
      <c r="BF68">
        <v>0.93600000000000005</v>
      </c>
      <c r="BG68">
        <v>0.95</v>
      </c>
      <c r="BH68">
        <v>0.92300000000000004</v>
      </c>
      <c r="BI68">
        <v>0.82099999999999995</v>
      </c>
      <c r="BJ68">
        <v>0.76400000000000001</v>
      </c>
      <c r="BK68">
        <v>0.68300000000000005</v>
      </c>
      <c r="BL68">
        <v>0.57599999999999996</v>
      </c>
    </row>
    <row r="69" spans="1:64" x14ac:dyDescent="0.25">
      <c r="A69">
        <v>0.69199999999999995</v>
      </c>
      <c r="B69">
        <v>0.7</v>
      </c>
      <c r="C69">
        <v>0.59299999999999997</v>
      </c>
      <c r="D69">
        <v>0.52100000000000002</v>
      </c>
      <c r="E69">
        <v>0.498</v>
      </c>
      <c r="F69">
        <v>0.46600000000000003</v>
      </c>
      <c r="G69">
        <v>0.54400000000000004</v>
      </c>
      <c r="H69">
        <v>0.7</v>
      </c>
      <c r="I69">
        <v>0.78200000000000003</v>
      </c>
      <c r="J69">
        <v>0.75900000000000001</v>
      </c>
      <c r="K69">
        <v>0.81399999999999995</v>
      </c>
      <c r="L69">
        <v>0.91500000000000004</v>
      </c>
      <c r="M69">
        <v>0.91200000000000003</v>
      </c>
      <c r="N69">
        <v>0.86799999999999999</v>
      </c>
      <c r="O69">
        <v>0.86399999999999999</v>
      </c>
      <c r="P69">
        <v>0.80800000000000005</v>
      </c>
      <c r="Q69">
        <v>0.61499999999999999</v>
      </c>
      <c r="R69">
        <v>0.56399999999999995</v>
      </c>
      <c r="S69">
        <v>0.59599999999999997</v>
      </c>
      <c r="T69">
        <v>0.68100000000000005</v>
      </c>
      <c r="U69">
        <v>0.76600000000000001</v>
      </c>
      <c r="V69">
        <v>0.78300000000000003</v>
      </c>
      <c r="W69">
        <v>0.745</v>
      </c>
      <c r="X69">
        <v>0.85699999999999998</v>
      </c>
      <c r="Y69">
        <v>0.95099999999999996</v>
      </c>
      <c r="Z69">
        <v>0.90200000000000002</v>
      </c>
      <c r="AA69">
        <v>0.91500000000000004</v>
      </c>
      <c r="AB69">
        <v>0.92700000000000005</v>
      </c>
      <c r="AC69">
        <v>0.88900000000000001</v>
      </c>
      <c r="AD69">
        <v>0.84599999999999997</v>
      </c>
      <c r="AE69">
        <v>0.83099999999999996</v>
      </c>
      <c r="AF69">
        <v>0.83699999999999997</v>
      </c>
      <c r="AG69">
        <v>0.89700000000000002</v>
      </c>
      <c r="AH69">
        <v>0.90100000000000002</v>
      </c>
      <c r="AI69">
        <v>0.879</v>
      </c>
      <c r="AJ69">
        <v>0.81499999999999995</v>
      </c>
      <c r="AK69">
        <v>0.82199999999999995</v>
      </c>
      <c r="AL69">
        <v>0.84499999999999997</v>
      </c>
      <c r="AM69">
        <v>0.77300000000000002</v>
      </c>
      <c r="AN69">
        <v>0.88300000000000001</v>
      </c>
      <c r="AO69">
        <v>0.95499999999999996</v>
      </c>
      <c r="AP69">
        <v>0.98699999999999999</v>
      </c>
      <c r="AQ69">
        <v>0.94799999999999995</v>
      </c>
      <c r="AR69">
        <v>0.77800000000000002</v>
      </c>
      <c r="AS69">
        <v>0.86199999999999999</v>
      </c>
      <c r="AT69">
        <v>0.93600000000000005</v>
      </c>
      <c r="AU69">
        <v>0.93799999999999994</v>
      </c>
      <c r="AV69">
        <v>0.92600000000000005</v>
      </c>
      <c r="AW69">
        <v>0.83599999999999997</v>
      </c>
      <c r="AX69">
        <v>0.83799999999999997</v>
      </c>
      <c r="AY69">
        <v>0.82499999999999996</v>
      </c>
      <c r="AZ69">
        <v>0.747</v>
      </c>
      <c r="BA69">
        <v>0.82</v>
      </c>
      <c r="BB69">
        <v>0.82899999999999996</v>
      </c>
      <c r="BC69">
        <v>0.95699999999999996</v>
      </c>
      <c r="BD69">
        <v>0.97299999999999998</v>
      </c>
      <c r="BE69">
        <v>0.877</v>
      </c>
      <c r="BF69">
        <v>0.86599999999999999</v>
      </c>
      <c r="BG69">
        <v>0.89500000000000002</v>
      </c>
      <c r="BH69">
        <v>0.88200000000000001</v>
      </c>
      <c r="BI69">
        <v>0.84399999999999997</v>
      </c>
      <c r="BJ69">
        <v>0.77700000000000002</v>
      </c>
      <c r="BK69">
        <v>0.67100000000000004</v>
      </c>
      <c r="BL69">
        <v>0.59099999999999997</v>
      </c>
    </row>
    <row r="70" spans="1:64" x14ac:dyDescent="0.25">
      <c r="A70">
        <v>0.74199999999999999</v>
      </c>
      <c r="B70">
        <v>0.65100000000000002</v>
      </c>
      <c r="C70">
        <v>0.55100000000000005</v>
      </c>
      <c r="D70">
        <v>0.56499999999999995</v>
      </c>
      <c r="E70">
        <v>0.53100000000000003</v>
      </c>
      <c r="F70">
        <v>0.47099999999999997</v>
      </c>
      <c r="G70">
        <v>0.498</v>
      </c>
      <c r="H70">
        <v>0.624</v>
      </c>
      <c r="I70">
        <v>0.753</v>
      </c>
      <c r="J70">
        <v>0.80600000000000005</v>
      </c>
      <c r="K70">
        <v>0.94799999999999995</v>
      </c>
      <c r="L70">
        <v>0.96</v>
      </c>
      <c r="M70">
        <v>0.91400000000000003</v>
      </c>
      <c r="N70">
        <v>0.88100000000000001</v>
      </c>
      <c r="O70">
        <v>0.91900000000000004</v>
      </c>
      <c r="P70">
        <v>0.88900000000000001</v>
      </c>
      <c r="Q70">
        <v>0.65500000000000003</v>
      </c>
      <c r="R70">
        <v>0.59</v>
      </c>
      <c r="S70">
        <v>0.57899999999999996</v>
      </c>
      <c r="T70">
        <v>0.60299999999999998</v>
      </c>
      <c r="U70">
        <v>0.66</v>
      </c>
      <c r="V70">
        <v>0.74099999999999999</v>
      </c>
      <c r="W70">
        <v>0.75900000000000001</v>
      </c>
      <c r="X70">
        <v>0.79</v>
      </c>
      <c r="Y70">
        <v>0.88700000000000001</v>
      </c>
      <c r="Z70">
        <v>0.84299999999999997</v>
      </c>
      <c r="AA70">
        <v>0.90400000000000003</v>
      </c>
      <c r="AB70">
        <v>0.91400000000000003</v>
      </c>
      <c r="AC70">
        <v>0.86199999999999999</v>
      </c>
      <c r="AD70">
        <v>0.81100000000000005</v>
      </c>
      <c r="AE70">
        <v>0.85499999999999998</v>
      </c>
      <c r="AF70">
        <v>0.80800000000000005</v>
      </c>
      <c r="AG70">
        <v>0.85599999999999998</v>
      </c>
      <c r="AH70">
        <v>0.84199999999999997</v>
      </c>
      <c r="AI70">
        <v>0.86099999999999999</v>
      </c>
      <c r="AJ70">
        <v>0.91</v>
      </c>
      <c r="AK70">
        <v>0.876</v>
      </c>
      <c r="AL70">
        <v>0.745</v>
      </c>
      <c r="AM70">
        <v>0.77700000000000002</v>
      </c>
      <c r="AN70">
        <v>0.91500000000000004</v>
      </c>
      <c r="AO70">
        <v>0.95699999999999996</v>
      </c>
      <c r="AP70">
        <v>0.93200000000000005</v>
      </c>
      <c r="AQ70">
        <v>0.94199999999999995</v>
      </c>
      <c r="AR70">
        <v>0.83</v>
      </c>
      <c r="AS70">
        <v>0.85299999999999998</v>
      </c>
      <c r="AT70">
        <v>0.97</v>
      </c>
      <c r="AU70">
        <v>0.90400000000000003</v>
      </c>
      <c r="AV70">
        <v>0.85499999999999998</v>
      </c>
      <c r="AW70">
        <v>0.78100000000000003</v>
      </c>
      <c r="AX70">
        <v>0.69899999999999995</v>
      </c>
      <c r="AY70">
        <v>0.77800000000000002</v>
      </c>
      <c r="AZ70">
        <v>0.82499999999999996</v>
      </c>
      <c r="BA70">
        <v>0.96</v>
      </c>
      <c r="BB70">
        <v>0.77400000000000002</v>
      </c>
      <c r="BC70">
        <v>0.86099999999999999</v>
      </c>
      <c r="BD70">
        <v>0.99399999999999999</v>
      </c>
      <c r="BE70">
        <v>0.79</v>
      </c>
      <c r="BF70">
        <v>0.79500000000000004</v>
      </c>
      <c r="BG70">
        <v>0.9</v>
      </c>
      <c r="BH70">
        <v>0.85499999999999998</v>
      </c>
      <c r="BI70">
        <v>0.81899999999999995</v>
      </c>
      <c r="BJ70">
        <v>0.71699999999999997</v>
      </c>
      <c r="BK70">
        <v>0.63200000000000001</v>
      </c>
      <c r="BL70">
        <v>0.55000000000000004</v>
      </c>
    </row>
    <row r="71" spans="1:64" x14ac:dyDescent="0.25">
      <c r="A71">
        <v>0.59</v>
      </c>
      <c r="B71">
        <v>0.51300000000000001</v>
      </c>
      <c r="C71">
        <v>0.49299999999999999</v>
      </c>
      <c r="D71">
        <v>0.58499999999999996</v>
      </c>
      <c r="E71">
        <v>0.58399999999999996</v>
      </c>
      <c r="F71">
        <v>0.51500000000000001</v>
      </c>
      <c r="G71">
        <v>0.51400000000000001</v>
      </c>
      <c r="H71">
        <v>0.56399999999999995</v>
      </c>
      <c r="I71">
        <v>0.73</v>
      </c>
      <c r="J71">
        <v>0.97299999999999998</v>
      </c>
      <c r="K71">
        <v>0.91200000000000003</v>
      </c>
      <c r="L71">
        <v>0.85899999999999999</v>
      </c>
      <c r="M71">
        <v>0.82299999999999995</v>
      </c>
      <c r="N71">
        <v>0.83899999999999997</v>
      </c>
      <c r="O71">
        <v>0.89900000000000002</v>
      </c>
      <c r="P71">
        <v>0.92300000000000004</v>
      </c>
      <c r="Q71">
        <v>0.745</v>
      </c>
      <c r="R71">
        <v>0.58099999999999996</v>
      </c>
      <c r="S71">
        <v>0.59499999999999997</v>
      </c>
      <c r="T71">
        <v>0.61099999999999999</v>
      </c>
      <c r="U71">
        <v>0.61099999999999999</v>
      </c>
      <c r="V71">
        <v>0.75</v>
      </c>
      <c r="W71">
        <v>0.78100000000000003</v>
      </c>
      <c r="X71">
        <v>0.70299999999999996</v>
      </c>
      <c r="Y71">
        <v>0.72</v>
      </c>
      <c r="Z71">
        <v>0.70899999999999996</v>
      </c>
      <c r="AA71">
        <v>0.79400000000000004</v>
      </c>
      <c r="AB71">
        <v>0.82299999999999995</v>
      </c>
      <c r="AC71">
        <v>0.755</v>
      </c>
      <c r="AD71">
        <v>0.72499999999999998</v>
      </c>
      <c r="AE71">
        <v>0.79100000000000004</v>
      </c>
      <c r="AF71">
        <v>0.74299999999999999</v>
      </c>
      <c r="AG71">
        <v>0.73899999999999999</v>
      </c>
      <c r="AH71">
        <v>0.76900000000000002</v>
      </c>
      <c r="AI71">
        <v>0.87</v>
      </c>
      <c r="AJ71">
        <v>0.95899999999999996</v>
      </c>
      <c r="AK71">
        <v>0.88500000000000001</v>
      </c>
      <c r="AL71">
        <v>0.70799999999999996</v>
      </c>
      <c r="AM71">
        <v>0.77300000000000002</v>
      </c>
      <c r="AN71">
        <v>0.85099999999999998</v>
      </c>
      <c r="AO71">
        <v>0.876</v>
      </c>
      <c r="AP71">
        <v>0.879</v>
      </c>
      <c r="AQ71">
        <v>0.93100000000000005</v>
      </c>
      <c r="AR71">
        <v>0.88600000000000001</v>
      </c>
      <c r="AS71">
        <v>0.85599999999999998</v>
      </c>
      <c r="AT71">
        <v>0.92800000000000005</v>
      </c>
      <c r="AU71">
        <v>0.71699999999999997</v>
      </c>
      <c r="AV71">
        <v>0.68</v>
      </c>
      <c r="AW71">
        <v>0.68200000000000005</v>
      </c>
      <c r="AX71">
        <v>0.69099999999999995</v>
      </c>
      <c r="AY71">
        <v>0.91600000000000004</v>
      </c>
      <c r="AZ71">
        <v>0.93500000000000005</v>
      </c>
      <c r="BA71">
        <v>0.91</v>
      </c>
      <c r="BB71">
        <v>0.77700000000000002</v>
      </c>
      <c r="BC71">
        <v>0.92400000000000004</v>
      </c>
      <c r="BD71">
        <v>0.92800000000000005</v>
      </c>
      <c r="BE71">
        <v>0.78500000000000003</v>
      </c>
      <c r="BF71">
        <v>0.75</v>
      </c>
      <c r="BG71">
        <v>0.81200000000000006</v>
      </c>
      <c r="BH71">
        <v>0.75700000000000001</v>
      </c>
      <c r="BI71">
        <v>0.67</v>
      </c>
      <c r="BJ71">
        <v>0.63200000000000001</v>
      </c>
      <c r="BK71">
        <v>0.60499999999999998</v>
      </c>
      <c r="BL71">
        <v>0.53</v>
      </c>
    </row>
    <row r="72" spans="1:64" x14ac:dyDescent="0.25">
      <c r="A72">
        <v>0.499</v>
      </c>
      <c r="B72">
        <v>0.499</v>
      </c>
      <c r="C72">
        <v>0.59799999999999998</v>
      </c>
      <c r="D72">
        <v>0.72699999999999998</v>
      </c>
      <c r="E72">
        <v>0.64100000000000001</v>
      </c>
      <c r="F72">
        <v>0.50700000000000001</v>
      </c>
      <c r="G72">
        <v>0.52900000000000003</v>
      </c>
      <c r="H72">
        <v>0.58799999999999997</v>
      </c>
      <c r="I72">
        <v>0.747</v>
      </c>
      <c r="J72">
        <v>0.98399999999999999</v>
      </c>
      <c r="K72">
        <v>0.98699999999999999</v>
      </c>
      <c r="L72">
        <v>0.95199999999999996</v>
      </c>
      <c r="M72">
        <v>0.90500000000000003</v>
      </c>
      <c r="N72">
        <v>0.86099999999999999</v>
      </c>
      <c r="O72">
        <v>0.85399999999999998</v>
      </c>
      <c r="P72">
        <v>0.82099999999999995</v>
      </c>
      <c r="Q72">
        <v>0.75700000000000001</v>
      </c>
      <c r="R72">
        <v>0.56699999999999995</v>
      </c>
      <c r="S72">
        <v>0.55400000000000005</v>
      </c>
      <c r="T72">
        <v>0.59299999999999997</v>
      </c>
      <c r="U72">
        <v>0.63500000000000001</v>
      </c>
      <c r="V72">
        <v>0.81599999999999995</v>
      </c>
      <c r="W72">
        <v>0.91600000000000004</v>
      </c>
      <c r="X72">
        <v>0.84199999999999997</v>
      </c>
      <c r="Y72">
        <v>0.75700000000000001</v>
      </c>
      <c r="Z72">
        <v>0.66200000000000003</v>
      </c>
      <c r="AA72">
        <v>0.61699999999999999</v>
      </c>
      <c r="AB72">
        <v>0.55200000000000005</v>
      </c>
      <c r="AC72">
        <v>0.56999999999999995</v>
      </c>
      <c r="AD72">
        <v>0.64200000000000002</v>
      </c>
      <c r="AE72">
        <v>0.68899999999999995</v>
      </c>
      <c r="AF72">
        <v>0.67200000000000004</v>
      </c>
      <c r="AG72">
        <v>0.74</v>
      </c>
      <c r="AH72">
        <v>0.84099999999999997</v>
      </c>
      <c r="AI72">
        <v>0.86899999999999999</v>
      </c>
      <c r="AJ72">
        <v>0.91200000000000003</v>
      </c>
      <c r="AK72">
        <v>0.88800000000000001</v>
      </c>
      <c r="AL72">
        <v>0.73</v>
      </c>
      <c r="AM72">
        <v>0.76700000000000002</v>
      </c>
      <c r="AN72">
        <v>0.79400000000000004</v>
      </c>
      <c r="AO72">
        <v>0.751</v>
      </c>
      <c r="AP72">
        <v>0.81</v>
      </c>
      <c r="AQ72">
        <v>0.93200000000000005</v>
      </c>
      <c r="AR72">
        <v>0.93300000000000005</v>
      </c>
      <c r="AS72">
        <v>0.874</v>
      </c>
      <c r="AT72">
        <v>0.78200000000000003</v>
      </c>
      <c r="AU72">
        <v>0.61699999999999999</v>
      </c>
      <c r="AV72">
        <v>0.623</v>
      </c>
      <c r="AW72">
        <v>0.64400000000000002</v>
      </c>
      <c r="AX72">
        <v>0.76200000000000001</v>
      </c>
      <c r="AY72">
        <v>0.94499999999999995</v>
      </c>
      <c r="AZ72">
        <v>0.998</v>
      </c>
      <c r="BA72">
        <v>0.96299999999999997</v>
      </c>
      <c r="BB72">
        <v>0.93899999999999995</v>
      </c>
      <c r="BC72">
        <v>0.96</v>
      </c>
      <c r="BD72">
        <v>0.93100000000000005</v>
      </c>
      <c r="BE72">
        <v>0.82799999999999996</v>
      </c>
      <c r="BF72">
        <v>0.67400000000000004</v>
      </c>
      <c r="BG72">
        <v>0.70799999999999996</v>
      </c>
      <c r="BH72">
        <v>0.69799999999999995</v>
      </c>
      <c r="BI72">
        <v>0.65600000000000003</v>
      </c>
      <c r="BJ72">
        <v>0.65300000000000002</v>
      </c>
      <c r="BK72">
        <v>0.65700000000000003</v>
      </c>
      <c r="BL72">
        <v>0.54500000000000004</v>
      </c>
    </row>
    <row r="73" spans="1:64" x14ac:dyDescent="0.25">
      <c r="A73">
        <v>0.56799999999999995</v>
      </c>
      <c r="B73">
        <v>0.59099999999999997</v>
      </c>
      <c r="C73">
        <v>0.69499999999999995</v>
      </c>
      <c r="D73">
        <v>0.80100000000000005</v>
      </c>
      <c r="E73">
        <v>0.64300000000000002</v>
      </c>
      <c r="F73">
        <v>0.47</v>
      </c>
      <c r="G73">
        <v>0.54500000000000004</v>
      </c>
      <c r="H73">
        <v>0.64800000000000002</v>
      </c>
      <c r="I73">
        <v>0.81499999999999995</v>
      </c>
      <c r="J73">
        <v>0.95699999999999996</v>
      </c>
      <c r="K73">
        <v>0.93899999999999995</v>
      </c>
      <c r="L73">
        <v>0.97399999999999998</v>
      </c>
      <c r="M73">
        <v>0.96099999999999997</v>
      </c>
      <c r="N73">
        <v>0.81299999999999994</v>
      </c>
      <c r="O73">
        <v>0.75</v>
      </c>
      <c r="P73">
        <v>0.78600000000000003</v>
      </c>
      <c r="Q73">
        <v>0.73</v>
      </c>
      <c r="R73">
        <v>0.55100000000000005</v>
      </c>
      <c r="S73">
        <v>0.50900000000000001</v>
      </c>
      <c r="T73">
        <v>0.51300000000000001</v>
      </c>
      <c r="U73">
        <v>0.65</v>
      </c>
      <c r="V73">
        <v>0.81799999999999995</v>
      </c>
      <c r="W73">
        <v>0.80600000000000005</v>
      </c>
      <c r="X73">
        <v>0.879</v>
      </c>
      <c r="Y73">
        <v>0.93400000000000005</v>
      </c>
      <c r="Z73">
        <v>0.81</v>
      </c>
      <c r="AA73">
        <v>0.621</v>
      </c>
      <c r="AB73">
        <v>0.57399999999999995</v>
      </c>
      <c r="AC73">
        <v>0.627</v>
      </c>
      <c r="AD73">
        <v>0.68600000000000005</v>
      </c>
      <c r="AE73">
        <v>0.71</v>
      </c>
      <c r="AF73">
        <v>0.69399999999999995</v>
      </c>
      <c r="AG73">
        <v>0.70499999999999996</v>
      </c>
      <c r="AH73">
        <v>0.754</v>
      </c>
      <c r="AI73">
        <v>0.79600000000000004</v>
      </c>
      <c r="AJ73">
        <v>0.83399999999999996</v>
      </c>
      <c r="AK73">
        <v>0.81799999999999995</v>
      </c>
      <c r="AL73">
        <v>0.70499999999999996</v>
      </c>
      <c r="AM73">
        <v>0.76200000000000001</v>
      </c>
      <c r="AN73">
        <v>0.77300000000000002</v>
      </c>
      <c r="AO73">
        <v>0.66500000000000004</v>
      </c>
      <c r="AP73">
        <v>0.70699999999999996</v>
      </c>
      <c r="AQ73">
        <v>0.89200000000000002</v>
      </c>
      <c r="AR73">
        <v>0.97099999999999997</v>
      </c>
      <c r="AS73">
        <v>0.88500000000000001</v>
      </c>
      <c r="AT73">
        <v>0.67700000000000005</v>
      </c>
      <c r="AU73">
        <v>0.59599999999999997</v>
      </c>
      <c r="AV73">
        <v>0.54800000000000004</v>
      </c>
      <c r="AW73">
        <v>0.60899999999999999</v>
      </c>
      <c r="AX73">
        <v>0.72</v>
      </c>
      <c r="AY73">
        <v>0.80200000000000005</v>
      </c>
      <c r="AZ73">
        <v>0.90400000000000003</v>
      </c>
      <c r="BA73">
        <v>0.97699999999999998</v>
      </c>
      <c r="BB73">
        <v>0.92500000000000004</v>
      </c>
      <c r="BC73">
        <v>0.83499999999999996</v>
      </c>
      <c r="BD73">
        <v>0.86299999999999999</v>
      </c>
      <c r="BE73">
        <v>0.82499999999999996</v>
      </c>
      <c r="BF73">
        <v>0.61799999999999999</v>
      </c>
      <c r="BG73">
        <v>0.63200000000000001</v>
      </c>
      <c r="BH73">
        <v>0.63800000000000001</v>
      </c>
      <c r="BI73">
        <v>0.65900000000000003</v>
      </c>
      <c r="BJ73">
        <v>0.73499999999999999</v>
      </c>
      <c r="BK73">
        <v>0.72199999999999998</v>
      </c>
      <c r="BL73">
        <v>0.56799999999999995</v>
      </c>
    </row>
    <row r="74" spans="1:64" x14ac:dyDescent="0.25">
      <c r="A74">
        <v>0.67600000000000005</v>
      </c>
      <c r="B74">
        <v>0.70199999999999996</v>
      </c>
      <c r="C74">
        <v>0.75800000000000001</v>
      </c>
      <c r="D74">
        <v>0.78400000000000003</v>
      </c>
      <c r="E74">
        <v>0.61299999999999999</v>
      </c>
      <c r="F74">
        <v>0.48</v>
      </c>
      <c r="G74">
        <v>0.61599999999999999</v>
      </c>
      <c r="H74">
        <v>0.77300000000000002</v>
      </c>
      <c r="I74">
        <v>0.92</v>
      </c>
      <c r="J74">
        <v>0.997</v>
      </c>
      <c r="K74">
        <v>0.99</v>
      </c>
      <c r="L74">
        <v>0.96499999999999997</v>
      </c>
      <c r="M74">
        <v>0.92500000000000004</v>
      </c>
      <c r="N74">
        <v>0.91900000000000004</v>
      </c>
      <c r="O74">
        <v>0.90500000000000003</v>
      </c>
      <c r="P74">
        <v>0.94299999999999995</v>
      </c>
      <c r="Q74">
        <v>0.80500000000000005</v>
      </c>
      <c r="R74">
        <v>0.59699999999999998</v>
      </c>
      <c r="S74">
        <v>0.57599999999999996</v>
      </c>
      <c r="T74">
        <v>0.48699999999999999</v>
      </c>
      <c r="U74">
        <v>0.62</v>
      </c>
      <c r="V74">
        <v>0.80900000000000005</v>
      </c>
      <c r="W74">
        <v>0.78500000000000003</v>
      </c>
      <c r="X74">
        <v>0.753</v>
      </c>
      <c r="Y74">
        <v>0.80700000000000005</v>
      </c>
      <c r="Z74">
        <v>0.71899999999999997</v>
      </c>
      <c r="AA74">
        <v>0.65600000000000003</v>
      </c>
      <c r="AB74">
        <v>0.69199999999999995</v>
      </c>
      <c r="AC74">
        <v>0.77100000000000002</v>
      </c>
      <c r="AD74">
        <v>0.83399999999999996</v>
      </c>
      <c r="AE74">
        <v>0.873</v>
      </c>
      <c r="AF74">
        <v>0.86799999999999999</v>
      </c>
      <c r="AG74">
        <v>0.85399999999999998</v>
      </c>
      <c r="AH74">
        <v>0.874</v>
      </c>
      <c r="AI74">
        <v>0.86199999999999999</v>
      </c>
      <c r="AJ74">
        <v>0.86</v>
      </c>
      <c r="AK74">
        <v>0.82699999999999996</v>
      </c>
      <c r="AL74">
        <v>0.67700000000000005</v>
      </c>
      <c r="AM74">
        <v>0.76700000000000002</v>
      </c>
      <c r="AN74">
        <v>0.76300000000000001</v>
      </c>
      <c r="AO74">
        <v>0.64300000000000002</v>
      </c>
      <c r="AP74">
        <v>0.66</v>
      </c>
      <c r="AQ74">
        <v>0.80300000000000005</v>
      </c>
      <c r="AR74">
        <v>0.96399999999999997</v>
      </c>
      <c r="AS74">
        <v>0.84599999999999997</v>
      </c>
      <c r="AT74">
        <v>0.60399999999999998</v>
      </c>
      <c r="AU74">
        <v>0.59399999999999997</v>
      </c>
      <c r="AV74">
        <v>0.50800000000000001</v>
      </c>
      <c r="AW74">
        <v>0.73799999999999999</v>
      </c>
      <c r="AX74">
        <v>0.88</v>
      </c>
      <c r="AY74">
        <v>0.82499999999999996</v>
      </c>
      <c r="AZ74">
        <v>0.81899999999999995</v>
      </c>
      <c r="BA74">
        <v>0.90100000000000002</v>
      </c>
      <c r="BB74">
        <v>0.80200000000000005</v>
      </c>
      <c r="BC74">
        <v>0.81</v>
      </c>
      <c r="BD74">
        <v>0.78</v>
      </c>
      <c r="BE74">
        <v>0.66</v>
      </c>
      <c r="BF74">
        <v>0.55500000000000005</v>
      </c>
      <c r="BG74">
        <v>0.54800000000000004</v>
      </c>
      <c r="BH74">
        <v>0.58599999999999997</v>
      </c>
      <c r="BI74">
        <v>0.73399999999999999</v>
      </c>
      <c r="BJ74">
        <v>0.80400000000000005</v>
      </c>
      <c r="BK74">
        <v>0.745</v>
      </c>
      <c r="BL74">
        <v>0.65</v>
      </c>
    </row>
    <row r="75" spans="1:64" x14ac:dyDescent="0.25">
      <c r="A75">
        <v>0.72099999999999997</v>
      </c>
      <c r="B75">
        <v>0.746</v>
      </c>
      <c r="C75">
        <v>0.80700000000000005</v>
      </c>
      <c r="D75">
        <v>0.80600000000000005</v>
      </c>
      <c r="E75">
        <v>0.64800000000000002</v>
      </c>
      <c r="F75">
        <v>0.57099999999999995</v>
      </c>
      <c r="G75">
        <v>0.68</v>
      </c>
      <c r="H75">
        <v>0.87</v>
      </c>
      <c r="I75">
        <v>0.86699999999999999</v>
      </c>
      <c r="J75">
        <v>0.85899999999999999</v>
      </c>
      <c r="K75">
        <v>0.89800000000000002</v>
      </c>
      <c r="L75">
        <v>0.98399999999999999</v>
      </c>
      <c r="M75">
        <v>0.96899999999999997</v>
      </c>
      <c r="N75">
        <v>0.93300000000000005</v>
      </c>
      <c r="O75">
        <v>0.92</v>
      </c>
      <c r="P75">
        <v>0.90600000000000003</v>
      </c>
      <c r="Q75">
        <v>0.77</v>
      </c>
      <c r="R75">
        <v>0.64</v>
      </c>
      <c r="S75">
        <v>0.65500000000000003</v>
      </c>
      <c r="T75">
        <v>0.59899999999999998</v>
      </c>
      <c r="U75">
        <v>0.60599999999999998</v>
      </c>
      <c r="V75">
        <v>0.80600000000000005</v>
      </c>
      <c r="W75">
        <v>0.89800000000000002</v>
      </c>
      <c r="X75">
        <v>0.76100000000000001</v>
      </c>
      <c r="Y75">
        <v>0.64</v>
      </c>
      <c r="Z75">
        <v>0.65900000000000003</v>
      </c>
      <c r="AA75">
        <v>0.73499999999999999</v>
      </c>
      <c r="AB75">
        <v>0.80800000000000005</v>
      </c>
      <c r="AC75">
        <v>0.84899999999999998</v>
      </c>
      <c r="AD75">
        <v>0.92500000000000004</v>
      </c>
      <c r="AE75">
        <v>0.97399999999999998</v>
      </c>
      <c r="AF75">
        <v>0.93799999999999994</v>
      </c>
      <c r="AG75">
        <v>0.876</v>
      </c>
      <c r="AH75">
        <v>0.90700000000000003</v>
      </c>
      <c r="AI75">
        <v>0.96699999999999997</v>
      </c>
      <c r="AJ75">
        <v>0.98399999999999999</v>
      </c>
      <c r="AK75">
        <v>0.88300000000000001</v>
      </c>
      <c r="AL75">
        <v>0.70699999999999996</v>
      </c>
      <c r="AM75">
        <v>0.76600000000000001</v>
      </c>
      <c r="AN75">
        <v>0.67600000000000005</v>
      </c>
      <c r="AO75">
        <v>0.64800000000000002</v>
      </c>
      <c r="AP75">
        <v>0.67600000000000005</v>
      </c>
      <c r="AQ75">
        <v>0.72199999999999998</v>
      </c>
      <c r="AR75">
        <v>0.87</v>
      </c>
      <c r="AS75">
        <v>0.71399999999999997</v>
      </c>
      <c r="AT75">
        <v>0.622</v>
      </c>
      <c r="AU75">
        <v>0.63400000000000001</v>
      </c>
      <c r="AV75">
        <v>0.55700000000000005</v>
      </c>
      <c r="AW75">
        <v>0.79</v>
      </c>
      <c r="AX75">
        <v>0.93799999999999994</v>
      </c>
      <c r="AY75">
        <v>0.93600000000000005</v>
      </c>
      <c r="AZ75">
        <v>0.88900000000000001</v>
      </c>
      <c r="BA75">
        <v>0.79900000000000004</v>
      </c>
      <c r="BB75">
        <v>0.79900000000000004</v>
      </c>
      <c r="BC75">
        <v>0.85</v>
      </c>
      <c r="BD75">
        <v>0.69299999999999995</v>
      </c>
      <c r="BE75">
        <v>0.57299999999999995</v>
      </c>
      <c r="BF75">
        <v>0.53500000000000003</v>
      </c>
      <c r="BG75">
        <v>0.55600000000000005</v>
      </c>
      <c r="BH75">
        <v>0.68799999999999994</v>
      </c>
      <c r="BI75">
        <v>0.89700000000000002</v>
      </c>
      <c r="BJ75">
        <v>0.874</v>
      </c>
      <c r="BK75">
        <v>0.80400000000000005</v>
      </c>
      <c r="BL75">
        <v>0.75</v>
      </c>
    </row>
    <row r="76" spans="1:64" x14ac:dyDescent="0.25">
      <c r="A76">
        <v>0.84</v>
      </c>
      <c r="B76">
        <v>0.84599999999999997</v>
      </c>
      <c r="C76">
        <v>0.86</v>
      </c>
      <c r="D76">
        <v>0.78600000000000003</v>
      </c>
      <c r="E76">
        <v>0.72</v>
      </c>
      <c r="F76">
        <v>0.71599999999999997</v>
      </c>
      <c r="G76">
        <v>0.76700000000000002</v>
      </c>
      <c r="H76">
        <v>0.90400000000000003</v>
      </c>
      <c r="I76">
        <v>0.89400000000000002</v>
      </c>
      <c r="J76">
        <v>0.88500000000000001</v>
      </c>
      <c r="K76">
        <v>0.94399999999999995</v>
      </c>
      <c r="L76">
        <v>0.97299999999999998</v>
      </c>
      <c r="M76">
        <v>0.99299999999999999</v>
      </c>
      <c r="N76">
        <v>0.96899999999999997</v>
      </c>
      <c r="O76">
        <v>0.92100000000000004</v>
      </c>
      <c r="P76">
        <v>0.91300000000000003</v>
      </c>
      <c r="Q76">
        <v>0.82099999999999995</v>
      </c>
      <c r="R76">
        <v>0.68100000000000005</v>
      </c>
      <c r="S76">
        <v>0.70199999999999996</v>
      </c>
      <c r="T76">
        <v>0.76800000000000002</v>
      </c>
      <c r="U76">
        <v>0.71699999999999997</v>
      </c>
      <c r="V76">
        <v>0.77400000000000002</v>
      </c>
      <c r="W76">
        <v>0.91700000000000004</v>
      </c>
      <c r="X76">
        <v>0.88700000000000001</v>
      </c>
      <c r="Y76">
        <v>0.872</v>
      </c>
      <c r="Z76">
        <v>0.91800000000000004</v>
      </c>
      <c r="AA76">
        <v>0.94</v>
      </c>
      <c r="AB76">
        <v>0.96699999999999997</v>
      </c>
      <c r="AC76">
        <v>0.91800000000000004</v>
      </c>
      <c r="AD76">
        <v>0.93200000000000005</v>
      </c>
      <c r="AE76">
        <v>0.92500000000000004</v>
      </c>
      <c r="AF76">
        <v>0.88600000000000001</v>
      </c>
      <c r="AG76">
        <v>0.80500000000000005</v>
      </c>
      <c r="AH76">
        <v>0.88400000000000001</v>
      </c>
      <c r="AI76">
        <v>0.97499999999999998</v>
      </c>
      <c r="AJ76">
        <v>0.95499999999999996</v>
      </c>
      <c r="AK76">
        <v>0.73099999999999998</v>
      </c>
      <c r="AL76">
        <v>0.66900000000000004</v>
      </c>
      <c r="AM76">
        <v>0.67900000000000005</v>
      </c>
      <c r="AN76">
        <v>0.64500000000000002</v>
      </c>
      <c r="AO76">
        <v>0.72699999999999998</v>
      </c>
      <c r="AP76">
        <v>0.72699999999999998</v>
      </c>
      <c r="AQ76">
        <v>0.67200000000000004</v>
      </c>
      <c r="AR76">
        <v>0.76400000000000001</v>
      </c>
      <c r="AS76">
        <v>0.78500000000000003</v>
      </c>
      <c r="AT76">
        <v>0.69299999999999995</v>
      </c>
      <c r="AU76">
        <v>0.64500000000000002</v>
      </c>
      <c r="AV76">
        <v>0.63400000000000001</v>
      </c>
      <c r="AW76">
        <v>0.88100000000000001</v>
      </c>
      <c r="AX76">
        <v>0.99099999999999999</v>
      </c>
      <c r="AY76">
        <v>0.96399999999999997</v>
      </c>
      <c r="AZ76">
        <v>0.83699999999999997</v>
      </c>
      <c r="BA76">
        <v>0.79600000000000004</v>
      </c>
      <c r="BB76">
        <v>0.872</v>
      </c>
      <c r="BC76">
        <v>0.78100000000000003</v>
      </c>
      <c r="BD76">
        <v>0.60699999999999998</v>
      </c>
      <c r="BE76">
        <v>0.61099999999999999</v>
      </c>
      <c r="BF76">
        <v>0.63</v>
      </c>
      <c r="BG76">
        <v>0.747</v>
      </c>
      <c r="BH76">
        <v>0.92700000000000005</v>
      </c>
      <c r="BI76">
        <v>0.94499999999999995</v>
      </c>
      <c r="BJ76">
        <v>0.92500000000000004</v>
      </c>
      <c r="BK76">
        <v>0.88800000000000001</v>
      </c>
      <c r="BL76">
        <v>0.82099999999999995</v>
      </c>
    </row>
    <row r="77" spans="1:64" x14ac:dyDescent="0.25">
      <c r="A77">
        <v>0.78400000000000003</v>
      </c>
      <c r="B77">
        <v>0.78800000000000003</v>
      </c>
      <c r="C77">
        <v>0.79200000000000004</v>
      </c>
      <c r="D77">
        <v>0.72699999999999998</v>
      </c>
      <c r="E77">
        <v>0.72499999999999998</v>
      </c>
      <c r="F77">
        <v>0.872</v>
      </c>
      <c r="G77">
        <v>0.89800000000000002</v>
      </c>
      <c r="H77">
        <v>0.92500000000000004</v>
      </c>
      <c r="I77">
        <v>0.97299999999999998</v>
      </c>
      <c r="J77">
        <v>0.98099999999999998</v>
      </c>
      <c r="K77">
        <v>0.97799999999999998</v>
      </c>
      <c r="L77">
        <v>0.97899999999999998</v>
      </c>
      <c r="M77">
        <v>0.95499999999999996</v>
      </c>
      <c r="N77">
        <v>0.94399999999999995</v>
      </c>
      <c r="O77">
        <v>0.96699999999999997</v>
      </c>
      <c r="P77">
        <v>0.97799999999999998</v>
      </c>
      <c r="Q77">
        <v>0.84199999999999997</v>
      </c>
      <c r="R77">
        <v>0.65900000000000003</v>
      </c>
      <c r="S77">
        <v>0.76200000000000001</v>
      </c>
      <c r="T77">
        <v>0.79800000000000004</v>
      </c>
      <c r="U77">
        <v>0.80500000000000005</v>
      </c>
      <c r="V77">
        <v>0.875</v>
      </c>
      <c r="W77">
        <v>0.91300000000000003</v>
      </c>
      <c r="X77">
        <v>0.89600000000000002</v>
      </c>
      <c r="Y77">
        <v>0.92800000000000005</v>
      </c>
      <c r="Z77">
        <v>0.95699999999999996</v>
      </c>
      <c r="AA77">
        <v>0.997</v>
      </c>
      <c r="AB77">
        <v>0.97</v>
      </c>
      <c r="AC77">
        <v>0.96799999999999997</v>
      </c>
      <c r="AD77">
        <v>0.98</v>
      </c>
      <c r="AE77">
        <v>0.97</v>
      </c>
      <c r="AF77">
        <v>0.873</v>
      </c>
      <c r="AG77">
        <v>0.71499999999999997</v>
      </c>
      <c r="AH77">
        <v>0.78400000000000003</v>
      </c>
      <c r="AI77">
        <v>0.88100000000000001</v>
      </c>
      <c r="AJ77">
        <v>0.77500000000000002</v>
      </c>
      <c r="AK77">
        <v>0.64100000000000001</v>
      </c>
      <c r="AL77">
        <v>0.66900000000000004</v>
      </c>
      <c r="AM77">
        <v>0.73399999999999999</v>
      </c>
      <c r="AN77">
        <v>0.76500000000000001</v>
      </c>
      <c r="AO77">
        <v>0.80300000000000005</v>
      </c>
      <c r="AP77">
        <v>0.79400000000000004</v>
      </c>
      <c r="AQ77">
        <v>0.66</v>
      </c>
      <c r="AR77">
        <v>0.68600000000000005</v>
      </c>
      <c r="AS77">
        <v>0.73899999999999999</v>
      </c>
      <c r="AT77">
        <v>0.59</v>
      </c>
      <c r="AU77">
        <v>0.57499999999999996</v>
      </c>
      <c r="AV77">
        <v>0.61799999999999999</v>
      </c>
      <c r="AW77">
        <v>0.75800000000000001</v>
      </c>
      <c r="AX77">
        <v>0.78100000000000003</v>
      </c>
      <c r="AY77">
        <v>0.76900000000000002</v>
      </c>
      <c r="AZ77">
        <v>0.80400000000000005</v>
      </c>
      <c r="BA77">
        <v>0.88</v>
      </c>
      <c r="BB77">
        <v>0.86399999999999999</v>
      </c>
      <c r="BC77">
        <v>0.66900000000000004</v>
      </c>
      <c r="BD77">
        <v>0.56499999999999995</v>
      </c>
      <c r="BE77">
        <v>0.61799999999999999</v>
      </c>
      <c r="BF77">
        <v>0.76700000000000002</v>
      </c>
      <c r="BG77">
        <v>0.97299999999999998</v>
      </c>
      <c r="BH77">
        <v>0.98799999999999999</v>
      </c>
      <c r="BI77">
        <v>0.89900000000000002</v>
      </c>
      <c r="BJ77">
        <v>0.86599999999999999</v>
      </c>
      <c r="BK77">
        <v>0.85099999999999998</v>
      </c>
      <c r="BL77">
        <v>0.81699999999999995</v>
      </c>
    </row>
    <row r="78" spans="1:64" x14ac:dyDescent="0.25">
      <c r="A78">
        <v>0.70799999999999996</v>
      </c>
      <c r="B78">
        <v>0.77300000000000002</v>
      </c>
      <c r="C78">
        <v>0.84499999999999997</v>
      </c>
      <c r="D78">
        <v>0.81200000000000006</v>
      </c>
      <c r="E78">
        <v>0.89700000000000002</v>
      </c>
      <c r="F78">
        <v>0.95599999999999996</v>
      </c>
      <c r="G78">
        <v>0.90400000000000003</v>
      </c>
      <c r="H78">
        <v>0.81799999999999995</v>
      </c>
      <c r="I78">
        <v>0.872</v>
      </c>
      <c r="J78">
        <v>0.88800000000000001</v>
      </c>
      <c r="K78">
        <v>0.88600000000000001</v>
      </c>
      <c r="L78">
        <v>0.91900000000000004</v>
      </c>
      <c r="M78">
        <v>0.89800000000000002</v>
      </c>
      <c r="N78">
        <v>0.89600000000000002</v>
      </c>
      <c r="O78">
        <v>0.97699999999999998</v>
      </c>
      <c r="P78">
        <v>0.98699999999999999</v>
      </c>
      <c r="Q78">
        <v>0.83599999999999997</v>
      </c>
      <c r="R78">
        <v>0.69599999999999995</v>
      </c>
      <c r="S78">
        <v>0.75700000000000001</v>
      </c>
      <c r="T78">
        <v>0.69499999999999995</v>
      </c>
      <c r="U78">
        <v>0.79100000000000004</v>
      </c>
      <c r="V78">
        <v>0.97599999999999998</v>
      </c>
      <c r="W78">
        <v>0.99099999999999999</v>
      </c>
      <c r="X78">
        <v>0.99</v>
      </c>
      <c r="Y78">
        <v>0.997</v>
      </c>
      <c r="Z78">
        <v>0.97099999999999997</v>
      </c>
      <c r="AA78">
        <v>0.99</v>
      </c>
      <c r="AB78">
        <v>0.995</v>
      </c>
      <c r="AC78">
        <v>0.97399999999999998</v>
      </c>
      <c r="AD78">
        <v>0.97299999999999998</v>
      </c>
      <c r="AE78">
        <v>0.995</v>
      </c>
      <c r="AF78">
        <v>0.98399999999999999</v>
      </c>
      <c r="AG78">
        <v>0.81399999999999995</v>
      </c>
      <c r="AH78">
        <v>0.80400000000000005</v>
      </c>
      <c r="AI78">
        <v>0.81100000000000005</v>
      </c>
      <c r="AJ78">
        <v>0.67200000000000004</v>
      </c>
      <c r="AK78">
        <v>0.65800000000000003</v>
      </c>
      <c r="AL78">
        <v>0.79100000000000004</v>
      </c>
      <c r="AM78">
        <v>0.86899999999999999</v>
      </c>
      <c r="AN78">
        <v>0.77</v>
      </c>
      <c r="AO78">
        <v>0.72399999999999998</v>
      </c>
      <c r="AP78">
        <v>0.75600000000000001</v>
      </c>
      <c r="AQ78">
        <v>0.66200000000000003</v>
      </c>
      <c r="AR78">
        <v>0.64700000000000002</v>
      </c>
      <c r="AS78">
        <v>0.59199999999999997</v>
      </c>
      <c r="AT78">
        <v>0.48399999999999999</v>
      </c>
      <c r="AU78">
        <v>0.55700000000000005</v>
      </c>
      <c r="AV78">
        <v>0.63400000000000001</v>
      </c>
      <c r="AW78">
        <v>0.69</v>
      </c>
      <c r="AX78">
        <v>0.67900000000000005</v>
      </c>
      <c r="AY78">
        <v>0.68300000000000005</v>
      </c>
      <c r="AZ78">
        <v>0.746</v>
      </c>
      <c r="BA78">
        <v>0.751</v>
      </c>
      <c r="BB78">
        <v>0.68500000000000005</v>
      </c>
      <c r="BC78">
        <v>0.62</v>
      </c>
      <c r="BD78">
        <v>0.59499999999999997</v>
      </c>
      <c r="BE78">
        <v>0.69299999999999995</v>
      </c>
      <c r="BF78">
        <v>0.83599999999999997</v>
      </c>
      <c r="BG78">
        <v>0.91</v>
      </c>
      <c r="BH78">
        <v>0.89300000000000002</v>
      </c>
      <c r="BI78">
        <v>0.76700000000000002</v>
      </c>
      <c r="BJ78">
        <v>0.72299999999999998</v>
      </c>
      <c r="BK78">
        <v>0.751</v>
      </c>
      <c r="BL78">
        <v>0.78</v>
      </c>
    </row>
    <row r="79" spans="1:64" x14ac:dyDescent="0.25">
      <c r="A79">
        <v>0.88900000000000001</v>
      </c>
      <c r="B79">
        <v>0.94399999999999995</v>
      </c>
      <c r="C79">
        <v>0.89800000000000002</v>
      </c>
      <c r="D79">
        <v>0.84099999999999997</v>
      </c>
      <c r="E79">
        <v>0.90900000000000003</v>
      </c>
      <c r="F79">
        <v>0.877</v>
      </c>
      <c r="G79">
        <v>0.82399999999999995</v>
      </c>
      <c r="H79">
        <v>0.85599999999999998</v>
      </c>
      <c r="I79">
        <v>0.90100000000000002</v>
      </c>
      <c r="J79">
        <v>0.84299999999999997</v>
      </c>
      <c r="K79">
        <v>0.79700000000000004</v>
      </c>
      <c r="L79">
        <v>0.8</v>
      </c>
      <c r="M79">
        <v>0.77800000000000002</v>
      </c>
      <c r="N79">
        <v>0.82399999999999995</v>
      </c>
      <c r="O79">
        <v>0.91600000000000004</v>
      </c>
      <c r="P79">
        <v>0.995</v>
      </c>
      <c r="Q79">
        <v>0.88900000000000001</v>
      </c>
      <c r="R79">
        <v>0.76300000000000001</v>
      </c>
      <c r="S79">
        <v>0.67200000000000004</v>
      </c>
      <c r="T79">
        <v>0.56399999999999995</v>
      </c>
      <c r="U79">
        <v>0.72</v>
      </c>
      <c r="V79">
        <v>0.96799999999999997</v>
      </c>
      <c r="W79">
        <v>0.96299999999999997</v>
      </c>
      <c r="X79">
        <v>0.89500000000000002</v>
      </c>
      <c r="Y79">
        <v>0.87</v>
      </c>
      <c r="Z79">
        <v>0.93500000000000005</v>
      </c>
      <c r="AA79">
        <v>0.995</v>
      </c>
      <c r="AB79">
        <v>0.96899999999999997</v>
      </c>
      <c r="AC79">
        <v>0.95799999999999996</v>
      </c>
      <c r="AD79">
        <v>0.92100000000000004</v>
      </c>
      <c r="AE79">
        <v>0.90700000000000003</v>
      </c>
      <c r="AF79">
        <v>0.83599999999999997</v>
      </c>
      <c r="AG79">
        <v>0.78300000000000003</v>
      </c>
      <c r="AH79">
        <v>0.79500000000000004</v>
      </c>
      <c r="AI79">
        <v>0.78400000000000003</v>
      </c>
      <c r="AJ79">
        <v>0.69099999999999995</v>
      </c>
      <c r="AK79">
        <v>0.69499999999999995</v>
      </c>
      <c r="AL79">
        <v>0.80600000000000005</v>
      </c>
      <c r="AM79">
        <v>0.78100000000000003</v>
      </c>
      <c r="AN79">
        <v>0.58099999999999996</v>
      </c>
      <c r="AO79">
        <v>0.59699999999999998</v>
      </c>
      <c r="AP79">
        <v>0.66</v>
      </c>
      <c r="AQ79">
        <v>0.629</v>
      </c>
      <c r="AR79">
        <v>0.65100000000000002</v>
      </c>
      <c r="AS79">
        <v>0.56399999999999995</v>
      </c>
      <c r="AT79">
        <v>0.47899999999999998</v>
      </c>
      <c r="AU79">
        <v>0.60599999999999998</v>
      </c>
      <c r="AV79">
        <v>0.67</v>
      </c>
      <c r="AW79">
        <v>0.71199999999999997</v>
      </c>
      <c r="AX79">
        <v>0.78200000000000003</v>
      </c>
      <c r="AY79">
        <v>0.77300000000000002</v>
      </c>
      <c r="AZ79">
        <v>0.754</v>
      </c>
      <c r="BA79">
        <v>0.71099999999999997</v>
      </c>
      <c r="BB79">
        <v>0.68700000000000006</v>
      </c>
      <c r="BC79">
        <v>0.7</v>
      </c>
      <c r="BD79">
        <v>0.66200000000000003</v>
      </c>
      <c r="BE79">
        <v>0.747</v>
      </c>
      <c r="BF79">
        <v>0.83499999999999996</v>
      </c>
      <c r="BG79">
        <v>0.8</v>
      </c>
      <c r="BH79">
        <v>0.72899999999999998</v>
      </c>
      <c r="BI79">
        <v>0.68799999999999994</v>
      </c>
      <c r="BJ79">
        <v>0.73699999999999999</v>
      </c>
      <c r="BK79">
        <v>0.81200000000000006</v>
      </c>
      <c r="BL79">
        <v>0.80700000000000005</v>
      </c>
    </row>
    <row r="80" spans="1:64" x14ac:dyDescent="0.25">
      <c r="A80">
        <v>0.79400000000000004</v>
      </c>
      <c r="B80">
        <v>0.81899999999999995</v>
      </c>
      <c r="C80">
        <v>0.76700000000000002</v>
      </c>
      <c r="D80">
        <v>0.83199999999999996</v>
      </c>
      <c r="E80">
        <v>0.90900000000000003</v>
      </c>
      <c r="F80">
        <v>0.80800000000000005</v>
      </c>
      <c r="G80">
        <v>0.86899999999999999</v>
      </c>
      <c r="H80">
        <v>0.88900000000000001</v>
      </c>
      <c r="I80">
        <v>0.85</v>
      </c>
      <c r="J80">
        <v>0.83</v>
      </c>
      <c r="K80">
        <v>0.89700000000000002</v>
      </c>
      <c r="L80">
        <v>0.86799999999999999</v>
      </c>
      <c r="M80">
        <v>0.85</v>
      </c>
      <c r="N80">
        <v>0.90600000000000003</v>
      </c>
      <c r="O80">
        <v>0.88900000000000001</v>
      </c>
      <c r="P80">
        <v>0.93300000000000005</v>
      </c>
      <c r="Q80">
        <v>0.98899999999999999</v>
      </c>
      <c r="R80">
        <v>0.91700000000000004</v>
      </c>
      <c r="S80">
        <v>0.71499999999999997</v>
      </c>
      <c r="T80">
        <v>0.54400000000000004</v>
      </c>
      <c r="U80">
        <v>0.69399999999999995</v>
      </c>
      <c r="V80">
        <v>0.88300000000000001</v>
      </c>
      <c r="W80">
        <v>0.92200000000000004</v>
      </c>
      <c r="X80">
        <v>0.86899999999999999</v>
      </c>
      <c r="Y80">
        <v>0.88800000000000001</v>
      </c>
      <c r="Z80">
        <v>0.90700000000000003</v>
      </c>
      <c r="AA80">
        <v>0.94899999999999995</v>
      </c>
      <c r="AB80">
        <v>0.93100000000000005</v>
      </c>
      <c r="AC80">
        <v>0.97799999999999998</v>
      </c>
      <c r="AD80">
        <v>0.81499999999999995</v>
      </c>
      <c r="AE80">
        <v>0.88400000000000001</v>
      </c>
      <c r="AF80">
        <v>0.89900000000000002</v>
      </c>
      <c r="AG80">
        <v>0.91300000000000003</v>
      </c>
      <c r="AH80">
        <v>0.88500000000000001</v>
      </c>
      <c r="AI80">
        <v>0.72699999999999998</v>
      </c>
      <c r="AJ80">
        <v>0.65500000000000003</v>
      </c>
      <c r="AK80">
        <v>0.69799999999999995</v>
      </c>
      <c r="AL80">
        <v>0.77100000000000002</v>
      </c>
      <c r="AM80">
        <v>0.66300000000000003</v>
      </c>
      <c r="AN80">
        <v>0.53900000000000003</v>
      </c>
      <c r="AO80">
        <v>0.65800000000000003</v>
      </c>
      <c r="AP80">
        <v>0.69799999999999995</v>
      </c>
      <c r="AQ80">
        <v>0.70299999999999996</v>
      </c>
      <c r="AR80">
        <v>0.71699999999999997</v>
      </c>
      <c r="AS80">
        <v>0.56599999999999995</v>
      </c>
      <c r="AT80">
        <v>0.497</v>
      </c>
      <c r="AU80">
        <v>0.629</v>
      </c>
      <c r="AV80">
        <v>0.67100000000000004</v>
      </c>
      <c r="AW80">
        <v>0.78200000000000003</v>
      </c>
      <c r="AX80">
        <v>0.93300000000000005</v>
      </c>
      <c r="AY80">
        <v>0.95799999999999996</v>
      </c>
      <c r="AZ80">
        <v>0.94099999999999995</v>
      </c>
      <c r="BA80">
        <v>0.88800000000000001</v>
      </c>
      <c r="BB80">
        <v>0.92100000000000004</v>
      </c>
      <c r="BC80">
        <v>0.88200000000000001</v>
      </c>
      <c r="BD80">
        <v>0.73399999999999999</v>
      </c>
      <c r="BE80">
        <v>0.83399999999999996</v>
      </c>
      <c r="BF80">
        <v>0.94899999999999995</v>
      </c>
      <c r="BG80">
        <v>0.85499999999999998</v>
      </c>
      <c r="BH80">
        <v>0.746</v>
      </c>
      <c r="BI80">
        <v>0.76900000000000002</v>
      </c>
      <c r="BJ80">
        <v>0.86899999999999999</v>
      </c>
      <c r="BK80">
        <v>0.85299999999999998</v>
      </c>
      <c r="BL80">
        <v>0.73399999999999999</v>
      </c>
    </row>
    <row r="81" spans="1:64" x14ac:dyDescent="0.25">
      <c r="A81">
        <v>0.65100000000000002</v>
      </c>
      <c r="B81">
        <v>0.66900000000000004</v>
      </c>
      <c r="C81">
        <v>0.70299999999999996</v>
      </c>
      <c r="D81">
        <v>0.86199999999999999</v>
      </c>
      <c r="E81">
        <v>0.90900000000000003</v>
      </c>
      <c r="F81">
        <v>0.748</v>
      </c>
      <c r="G81">
        <v>0.88</v>
      </c>
      <c r="H81">
        <v>0.93600000000000005</v>
      </c>
      <c r="I81">
        <v>0.86899999999999999</v>
      </c>
      <c r="J81">
        <v>0.84</v>
      </c>
      <c r="K81">
        <v>0.872</v>
      </c>
      <c r="L81">
        <v>0.85299999999999998</v>
      </c>
      <c r="M81">
        <v>0.84099999999999997</v>
      </c>
      <c r="N81">
        <v>0.876</v>
      </c>
      <c r="O81">
        <v>0.86699999999999999</v>
      </c>
      <c r="P81">
        <v>0.89200000000000002</v>
      </c>
      <c r="Q81">
        <v>0.997</v>
      </c>
      <c r="R81">
        <v>0.93</v>
      </c>
      <c r="S81">
        <v>0.68600000000000005</v>
      </c>
      <c r="T81">
        <v>0.6</v>
      </c>
      <c r="U81">
        <v>0.71099999999999997</v>
      </c>
      <c r="V81">
        <v>0.81</v>
      </c>
      <c r="W81">
        <v>0.86</v>
      </c>
      <c r="X81">
        <v>0.875</v>
      </c>
      <c r="Y81">
        <v>0.93600000000000005</v>
      </c>
      <c r="Z81">
        <v>0.85899999999999999</v>
      </c>
      <c r="AA81">
        <v>0.85099999999999998</v>
      </c>
      <c r="AB81">
        <v>0.83899999999999997</v>
      </c>
      <c r="AC81">
        <v>0.99299999999999999</v>
      </c>
      <c r="AD81">
        <v>0.84699999999999998</v>
      </c>
      <c r="AE81">
        <v>0.83199999999999996</v>
      </c>
      <c r="AF81">
        <v>0.86699999999999999</v>
      </c>
      <c r="AG81">
        <v>0.91100000000000003</v>
      </c>
      <c r="AH81">
        <v>0.79100000000000004</v>
      </c>
      <c r="AI81">
        <v>0.627</v>
      </c>
      <c r="AJ81">
        <v>0.61699999999999999</v>
      </c>
      <c r="AK81">
        <v>0.71099999999999997</v>
      </c>
      <c r="AL81">
        <v>0.80800000000000005</v>
      </c>
      <c r="AM81">
        <v>0.68500000000000005</v>
      </c>
      <c r="AN81">
        <v>0.52600000000000002</v>
      </c>
      <c r="AO81">
        <v>0.63900000000000001</v>
      </c>
      <c r="AP81">
        <v>0.79</v>
      </c>
      <c r="AQ81">
        <v>0.81699999999999995</v>
      </c>
      <c r="AR81">
        <v>0.67700000000000005</v>
      </c>
      <c r="AS81">
        <v>0.54500000000000004</v>
      </c>
      <c r="AT81">
        <v>0.57599999999999996</v>
      </c>
      <c r="AU81">
        <v>0.67300000000000004</v>
      </c>
      <c r="AV81">
        <v>0.65</v>
      </c>
      <c r="AW81">
        <v>0.79700000000000004</v>
      </c>
      <c r="AX81">
        <v>0.96799999999999997</v>
      </c>
      <c r="AY81">
        <v>0.98499999999999999</v>
      </c>
      <c r="AZ81">
        <v>0.93300000000000005</v>
      </c>
      <c r="BA81">
        <v>0.90600000000000003</v>
      </c>
      <c r="BB81">
        <v>0.98099999999999998</v>
      </c>
      <c r="BC81">
        <v>0.92900000000000005</v>
      </c>
      <c r="BD81">
        <v>0.71799999999999997</v>
      </c>
      <c r="BE81">
        <v>0.874</v>
      </c>
      <c r="BF81">
        <v>0.98099999999999998</v>
      </c>
      <c r="BG81">
        <v>0.875</v>
      </c>
      <c r="BH81">
        <v>0.78200000000000003</v>
      </c>
      <c r="BI81">
        <v>0.85299999999999998</v>
      </c>
      <c r="BJ81">
        <v>0.92400000000000004</v>
      </c>
      <c r="BK81">
        <v>0.78200000000000003</v>
      </c>
      <c r="BL81">
        <v>0.63200000000000001</v>
      </c>
    </row>
    <row r="82" spans="1:64" x14ac:dyDescent="0.25">
      <c r="A82">
        <v>0.82699999999999996</v>
      </c>
      <c r="B82">
        <v>0.81100000000000005</v>
      </c>
      <c r="C82">
        <v>0.79800000000000004</v>
      </c>
      <c r="D82">
        <v>0.81799999999999995</v>
      </c>
      <c r="E82">
        <v>0.79200000000000004</v>
      </c>
      <c r="F82">
        <v>0.71699999999999997</v>
      </c>
      <c r="G82">
        <v>0.873</v>
      </c>
      <c r="H82">
        <v>0.91200000000000003</v>
      </c>
      <c r="I82">
        <v>0.84299999999999997</v>
      </c>
      <c r="J82">
        <v>0.85199999999999998</v>
      </c>
      <c r="K82">
        <v>0.85899999999999999</v>
      </c>
      <c r="L82">
        <v>0.82199999999999995</v>
      </c>
      <c r="M82">
        <v>0.79300000000000004</v>
      </c>
      <c r="N82">
        <v>0.81899999999999995</v>
      </c>
      <c r="O82">
        <v>0.78100000000000003</v>
      </c>
      <c r="P82">
        <v>0.84399999999999997</v>
      </c>
      <c r="Q82">
        <v>0.93799999999999994</v>
      </c>
      <c r="R82">
        <v>0.82699999999999996</v>
      </c>
      <c r="S82">
        <v>0.68600000000000005</v>
      </c>
      <c r="T82">
        <v>0.74199999999999999</v>
      </c>
      <c r="U82">
        <v>0.76900000000000002</v>
      </c>
      <c r="V82">
        <v>0.79</v>
      </c>
      <c r="W82">
        <v>0.86799999999999999</v>
      </c>
      <c r="X82">
        <v>0.76</v>
      </c>
      <c r="Y82">
        <v>0.94199999999999995</v>
      </c>
      <c r="Z82">
        <v>0.997</v>
      </c>
      <c r="AA82">
        <v>0.97</v>
      </c>
      <c r="AB82">
        <v>0.84</v>
      </c>
      <c r="AC82">
        <v>0.91100000000000003</v>
      </c>
      <c r="AD82">
        <v>0.94399999999999995</v>
      </c>
      <c r="AE82">
        <v>0.92800000000000005</v>
      </c>
      <c r="AF82">
        <v>0.82399999999999995</v>
      </c>
      <c r="AG82">
        <v>0.80900000000000005</v>
      </c>
      <c r="AH82">
        <v>0.70499999999999996</v>
      </c>
      <c r="AI82">
        <v>0.67900000000000005</v>
      </c>
      <c r="AJ82">
        <v>0.71199999999999997</v>
      </c>
      <c r="AK82">
        <v>0.73899999999999999</v>
      </c>
      <c r="AL82">
        <v>0.77400000000000002</v>
      </c>
      <c r="AM82">
        <v>0.66600000000000004</v>
      </c>
      <c r="AN82">
        <v>0.50800000000000001</v>
      </c>
      <c r="AO82">
        <v>0.624</v>
      </c>
      <c r="AP82">
        <v>0.875</v>
      </c>
      <c r="AQ82">
        <v>0.79200000000000004</v>
      </c>
      <c r="AR82">
        <v>0.623</v>
      </c>
      <c r="AS82">
        <v>0.621</v>
      </c>
      <c r="AT82">
        <v>0.70899999999999996</v>
      </c>
      <c r="AU82">
        <v>0.72899999999999998</v>
      </c>
      <c r="AV82">
        <v>0.622</v>
      </c>
      <c r="AW82">
        <v>0.752</v>
      </c>
      <c r="AX82">
        <v>0.995</v>
      </c>
      <c r="AY82">
        <v>0.94899999999999995</v>
      </c>
      <c r="AZ82">
        <v>0.86399999999999999</v>
      </c>
      <c r="BA82">
        <v>0.91700000000000004</v>
      </c>
      <c r="BB82">
        <v>0.91800000000000004</v>
      </c>
      <c r="BC82">
        <v>0.89100000000000001</v>
      </c>
      <c r="BD82">
        <v>0.66500000000000004</v>
      </c>
      <c r="BE82">
        <v>0.82499999999999996</v>
      </c>
      <c r="BF82">
        <v>0.95399999999999996</v>
      </c>
      <c r="BG82">
        <v>0.85699999999999998</v>
      </c>
      <c r="BH82">
        <v>0.874</v>
      </c>
      <c r="BI82">
        <v>0.98599999999999999</v>
      </c>
      <c r="BJ82">
        <v>0.95599999999999996</v>
      </c>
      <c r="BK82">
        <v>0.76200000000000001</v>
      </c>
      <c r="BL82">
        <v>0.70699999999999996</v>
      </c>
    </row>
    <row r="83" spans="1:64" x14ac:dyDescent="0.25">
      <c r="A83">
        <v>0.94499999999999995</v>
      </c>
      <c r="B83">
        <v>0.87</v>
      </c>
      <c r="C83">
        <v>0.82799999999999996</v>
      </c>
      <c r="D83">
        <v>0.79100000000000004</v>
      </c>
      <c r="E83">
        <v>0.73299999999999998</v>
      </c>
      <c r="F83">
        <v>0.82699999999999996</v>
      </c>
      <c r="G83">
        <v>0.96299999999999997</v>
      </c>
      <c r="H83">
        <v>0.88900000000000001</v>
      </c>
      <c r="I83">
        <v>0.82299999999999995</v>
      </c>
      <c r="J83">
        <v>0.95</v>
      </c>
      <c r="K83">
        <v>0.84699999999999998</v>
      </c>
      <c r="L83">
        <v>0.82</v>
      </c>
      <c r="M83">
        <v>0.93</v>
      </c>
      <c r="N83">
        <v>0.90800000000000003</v>
      </c>
      <c r="O83">
        <v>0.749</v>
      </c>
      <c r="P83">
        <v>0.71899999999999997</v>
      </c>
      <c r="Q83">
        <v>0.71799999999999997</v>
      </c>
      <c r="R83">
        <v>0.68300000000000005</v>
      </c>
      <c r="S83">
        <v>0.69899999999999995</v>
      </c>
      <c r="T83">
        <v>0.76600000000000001</v>
      </c>
      <c r="U83">
        <v>0.82</v>
      </c>
      <c r="V83">
        <v>0.89500000000000002</v>
      </c>
      <c r="W83">
        <v>0.86299999999999999</v>
      </c>
      <c r="X83">
        <v>0.76200000000000001</v>
      </c>
      <c r="Y83">
        <v>0.89800000000000002</v>
      </c>
      <c r="Z83">
        <v>0.88400000000000001</v>
      </c>
      <c r="AA83">
        <v>0.93100000000000005</v>
      </c>
      <c r="AB83">
        <v>0.98199999999999998</v>
      </c>
      <c r="AC83">
        <v>0.94299999999999995</v>
      </c>
      <c r="AD83">
        <v>0.91500000000000004</v>
      </c>
      <c r="AE83">
        <v>0.89200000000000002</v>
      </c>
      <c r="AF83">
        <v>0.78900000000000003</v>
      </c>
      <c r="AG83">
        <v>0.79</v>
      </c>
      <c r="AH83">
        <v>0.71799999999999997</v>
      </c>
      <c r="AI83">
        <v>0.72499999999999998</v>
      </c>
      <c r="AJ83">
        <v>0.72299999999999998</v>
      </c>
      <c r="AK83">
        <v>0.66600000000000004</v>
      </c>
      <c r="AL83">
        <v>0.67300000000000004</v>
      </c>
      <c r="AM83">
        <v>0.65</v>
      </c>
      <c r="AN83">
        <v>0.59299999999999997</v>
      </c>
      <c r="AO83">
        <v>0.70699999999999996</v>
      </c>
      <c r="AP83">
        <v>0.88700000000000001</v>
      </c>
      <c r="AQ83">
        <v>0.76200000000000001</v>
      </c>
      <c r="AR83">
        <v>0.64900000000000002</v>
      </c>
      <c r="AS83">
        <v>0.71099999999999997</v>
      </c>
      <c r="AT83">
        <v>0.76400000000000001</v>
      </c>
      <c r="AU83">
        <v>0.72299999999999998</v>
      </c>
      <c r="AV83">
        <v>0.60599999999999998</v>
      </c>
      <c r="AW83">
        <v>0.70399999999999996</v>
      </c>
      <c r="AX83">
        <v>0.93799999999999994</v>
      </c>
      <c r="AY83">
        <v>0.89</v>
      </c>
      <c r="AZ83">
        <v>0.85299999999999998</v>
      </c>
      <c r="BA83">
        <v>0.92200000000000004</v>
      </c>
      <c r="BB83">
        <v>0.92</v>
      </c>
      <c r="BC83">
        <v>0.94899999999999995</v>
      </c>
      <c r="BD83">
        <v>0.70599999999999996</v>
      </c>
      <c r="BE83">
        <v>0.85799999999999998</v>
      </c>
      <c r="BF83">
        <v>0.997</v>
      </c>
      <c r="BG83">
        <v>0.92</v>
      </c>
      <c r="BH83">
        <v>0.83699999999999997</v>
      </c>
      <c r="BI83">
        <v>0.97699999999999998</v>
      </c>
      <c r="BJ83">
        <v>0.86599999999999999</v>
      </c>
      <c r="BK83">
        <v>0.84199999999999997</v>
      </c>
      <c r="BL83">
        <v>0.86699999999999999</v>
      </c>
    </row>
    <row r="84" spans="1:64" x14ac:dyDescent="0.25">
      <c r="A84">
        <v>0.88900000000000001</v>
      </c>
      <c r="B84">
        <v>0.85799999999999998</v>
      </c>
      <c r="C84">
        <v>0.90300000000000002</v>
      </c>
      <c r="D84">
        <v>0.88100000000000001</v>
      </c>
      <c r="E84">
        <v>0.82099999999999995</v>
      </c>
      <c r="F84">
        <v>0.85199999999999998</v>
      </c>
      <c r="G84">
        <v>0.90700000000000003</v>
      </c>
      <c r="H84">
        <v>0.83499999999999996</v>
      </c>
      <c r="I84">
        <v>0.90300000000000002</v>
      </c>
      <c r="J84">
        <v>0.96899999999999997</v>
      </c>
      <c r="K84">
        <v>0.83699999999999997</v>
      </c>
      <c r="L84">
        <v>0.81399999999999995</v>
      </c>
      <c r="M84">
        <v>0.99299999999999999</v>
      </c>
      <c r="N84">
        <v>0.98699999999999999</v>
      </c>
      <c r="O84">
        <v>0.872</v>
      </c>
      <c r="P84">
        <v>0.84099999999999997</v>
      </c>
      <c r="Q84">
        <v>0.91400000000000003</v>
      </c>
      <c r="R84">
        <v>0.82299999999999995</v>
      </c>
      <c r="S84">
        <v>0.78900000000000003</v>
      </c>
      <c r="T84">
        <v>0.80400000000000005</v>
      </c>
      <c r="U84">
        <v>0.91900000000000004</v>
      </c>
      <c r="V84">
        <v>0.99399999999999999</v>
      </c>
      <c r="W84">
        <v>0.83599999999999997</v>
      </c>
      <c r="X84">
        <v>0.74299999999999999</v>
      </c>
      <c r="Y84">
        <v>0.871</v>
      </c>
      <c r="Z84">
        <v>0.94299999999999995</v>
      </c>
      <c r="AA84">
        <v>0.97699999999999998</v>
      </c>
      <c r="AB84">
        <v>0.98099999999999998</v>
      </c>
      <c r="AC84">
        <v>0.96499999999999997</v>
      </c>
      <c r="AD84">
        <v>0.97</v>
      </c>
      <c r="AE84">
        <v>0.95099999999999996</v>
      </c>
      <c r="AF84">
        <v>0.83699999999999997</v>
      </c>
      <c r="AG84">
        <v>0.77200000000000002</v>
      </c>
      <c r="AH84">
        <v>0.76600000000000001</v>
      </c>
      <c r="AI84">
        <v>0.75800000000000001</v>
      </c>
      <c r="AJ84">
        <v>0.68300000000000005</v>
      </c>
      <c r="AK84">
        <v>0.61799999999999999</v>
      </c>
      <c r="AL84">
        <v>0.62</v>
      </c>
      <c r="AM84">
        <v>0.66700000000000004</v>
      </c>
      <c r="AN84">
        <v>0.73599999999999999</v>
      </c>
      <c r="AO84">
        <v>0.80900000000000005</v>
      </c>
      <c r="AP84">
        <v>0.80800000000000005</v>
      </c>
      <c r="AQ84">
        <v>0.75</v>
      </c>
      <c r="AR84">
        <v>0.70399999999999996</v>
      </c>
      <c r="AS84">
        <v>0.78</v>
      </c>
      <c r="AT84">
        <v>0.78700000000000003</v>
      </c>
      <c r="AU84">
        <v>0.67200000000000004</v>
      </c>
      <c r="AV84">
        <v>0.58599999999999997</v>
      </c>
      <c r="AW84">
        <v>0.65</v>
      </c>
      <c r="AX84">
        <v>0.76600000000000001</v>
      </c>
      <c r="AY84">
        <v>0.83</v>
      </c>
      <c r="AZ84">
        <v>0.94799999999999995</v>
      </c>
      <c r="BA84">
        <v>0.999</v>
      </c>
      <c r="BB84">
        <v>0.95699999999999996</v>
      </c>
      <c r="BC84">
        <v>0.98899999999999999</v>
      </c>
      <c r="BD84">
        <v>0.77200000000000002</v>
      </c>
      <c r="BE84">
        <v>0.84199999999999997</v>
      </c>
      <c r="BF84">
        <v>0.90300000000000002</v>
      </c>
      <c r="BG84">
        <v>0.88</v>
      </c>
      <c r="BH84">
        <v>0.76300000000000001</v>
      </c>
      <c r="BI84">
        <v>0.82299999999999995</v>
      </c>
      <c r="BJ84">
        <v>0.80300000000000005</v>
      </c>
      <c r="BK84">
        <v>0.85799999999999998</v>
      </c>
      <c r="BL84">
        <v>0.95199999999999996</v>
      </c>
    </row>
    <row r="85" spans="1:64" x14ac:dyDescent="0.25">
      <c r="A85">
        <v>0.94199999999999995</v>
      </c>
      <c r="B85">
        <v>0.93</v>
      </c>
      <c r="C85">
        <v>0.94599999999999995</v>
      </c>
      <c r="D85">
        <v>0.89400000000000002</v>
      </c>
      <c r="E85">
        <v>0.81899999999999995</v>
      </c>
      <c r="F85">
        <v>0.85299999999999998</v>
      </c>
      <c r="G85">
        <v>0.81699999999999995</v>
      </c>
      <c r="H85">
        <v>0.86399999999999999</v>
      </c>
      <c r="I85">
        <v>0.97499999999999998</v>
      </c>
      <c r="J85">
        <v>0.98699999999999999</v>
      </c>
      <c r="K85">
        <v>0.86499999999999999</v>
      </c>
      <c r="L85">
        <v>0.85499999999999998</v>
      </c>
      <c r="M85">
        <v>0.95599999999999996</v>
      </c>
      <c r="N85">
        <v>0.95199999999999996</v>
      </c>
      <c r="O85">
        <v>0.91600000000000004</v>
      </c>
      <c r="P85">
        <v>0.874</v>
      </c>
      <c r="Q85">
        <v>0.872</v>
      </c>
      <c r="R85">
        <v>0.75600000000000001</v>
      </c>
      <c r="S85">
        <v>0.78</v>
      </c>
      <c r="T85">
        <v>0.875</v>
      </c>
      <c r="U85">
        <v>0.99299999999999999</v>
      </c>
      <c r="V85">
        <v>0.96099999999999997</v>
      </c>
      <c r="W85">
        <v>0.93799999999999994</v>
      </c>
      <c r="X85">
        <v>0.82599999999999996</v>
      </c>
      <c r="Y85">
        <v>0.83</v>
      </c>
      <c r="Z85">
        <v>0.84799999999999998</v>
      </c>
      <c r="AA85">
        <v>0.97199999999999998</v>
      </c>
      <c r="AB85">
        <v>0.94799999999999995</v>
      </c>
      <c r="AC85">
        <v>0.88100000000000001</v>
      </c>
      <c r="AD85">
        <v>0.95899999999999996</v>
      </c>
      <c r="AE85">
        <v>0.96299999999999997</v>
      </c>
      <c r="AF85">
        <v>0.79</v>
      </c>
      <c r="AG85">
        <v>0.70099999999999996</v>
      </c>
      <c r="AH85">
        <v>0.71399999999999997</v>
      </c>
      <c r="AI85">
        <v>0.72299999999999998</v>
      </c>
      <c r="AJ85">
        <v>0.67900000000000005</v>
      </c>
      <c r="AK85">
        <v>0.58799999999999997</v>
      </c>
      <c r="AL85">
        <v>0.59699999999999998</v>
      </c>
      <c r="AM85">
        <v>0.68300000000000005</v>
      </c>
      <c r="AN85">
        <v>0.77700000000000002</v>
      </c>
      <c r="AO85">
        <v>0.85599999999999998</v>
      </c>
      <c r="AP85">
        <v>0.80600000000000005</v>
      </c>
      <c r="AQ85">
        <v>0.76600000000000001</v>
      </c>
      <c r="AR85">
        <v>0.82599999999999996</v>
      </c>
      <c r="AS85">
        <v>0.748</v>
      </c>
      <c r="AT85">
        <v>0.76800000000000002</v>
      </c>
      <c r="AU85">
        <v>0.70599999999999996</v>
      </c>
      <c r="AV85">
        <v>0.59399999999999997</v>
      </c>
      <c r="AW85">
        <v>0.59399999999999997</v>
      </c>
      <c r="AX85">
        <v>0.65500000000000003</v>
      </c>
      <c r="AY85">
        <v>0.82499999999999996</v>
      </c>
      <c r="AZ85">
        <v>0.88500000000000001</v>
      </c>
      <c r="BA85">
        <v>0.96099999999999997</v>
      </c>
      <c r="BB85">
        <v>0.98599999999999999</v>
      </c>
      <c r="BC85">
        <v>0.996</v>
      </c>
      <c r="BD85">
        <v>0.89</v>
      </c>
      <c r="BE85">
        <v>0.79700000000000004</v>
      </c>
      <c r="BF85">
        <v>0.76600000000000001</v>
      </c>
      <c r="BG85">
        <v>0.80700000000000005</v>
      </c>
      <c r="BH85">
        <v>0.77200000000000002</v>
      </c>
      <c r="BI85">
        <v>0.73499999999999999</v>
      </c>
      <c r="BJ85">
        <v>0.66300000000000003</v>
      </c>
      <c r="BK85">
        <v>0.67500000000000004</v>
      </c>
      <c r="BL85">
        <v>0.82499999999999996</v>
      </c>
    </row>
    <row r="86" spans="1:64" x14ac:dyDescent="0.25">
      <c r="A86">
        <v>0.75</v>
      </c>
      <c r="B86">
        <v>0.77300000000000002</v>
      </c>
      <c r="C86">
        <v>0.78300000000000003</v>
      </c>
      <c r="D86">
        <v>0.81399999999999995</v>
      </c>
      <c r="E86">
        <v>0.82199999999999995</v>
      </c>
      <c r="F86">
        <v>0.83399999999999996</v>
      </c>
      <c r="G86">
        <v>0.83099999999999996</v>
      </c>
      <c r="H86">
        <v>0.90100000000000002</v>
      </c>
      <c r="I86">
        <v>0.96399999999999997</v>
      </c>
      <c r="J86">
        <v>0.96299999999999997</v>
      </c>
      <c r="K86">
        <v>0.84499999999999997</v>
      </c>
      <c r="L86">
        <v>0.83399999999999996</v>
      </c>
      <c r="M86">
        <v>0.92200000000000004</v>
      </c>
      <c r="N86">
        <v>0.98699999999999999</v>
      </c>
      <c r="O86">
        <v>0.97099999999999997</v>
      </c>
      <c r="P86">
        <v>0.88400000000000001</v>
      </c>
      <c r="Q86">
        <v>0.78</v>
      </c>
      <c r="R86">
        <v>0.74099999999999999</v>
      </c>
      <c r="S86">
        <v>0.876</v>
      </c>
      <c r="T86">
        <v>0.97299999999999998</v>
      </c>
      <c r="U86">
        <v>0.97699999999999998</v>
      </c>
      <c r="V86">
        <v>0.94599999999999995</v>
      </c>
      <c r="W86">
        <v>0.995</v>
      </c>
      <c r="X86">
        <v>0.95799999999999996</v>
      </c>
      <c r="Y86">
        <v>0.94499999999999995</v>
      </c>
      <c r="Z86">
        <v>0.84</v>
      </c>
      <c r="AA86">
        <v>0.86399999999999999</v>
      </c>
      <c r="AB86">
        <v>0.878</v>
      </c>
      <c r="AC86">
        <v>0.92700000000000005</v>
      </c>
      <c r="AD86">
        <v>0.995</v>
      </c>
      <c r="AE86">
        <v>0.91300000000000003</v>
      </c>
      <c r="AF86">
        <v>0.74</v>
      </c>
      <c r="AG86">
        <v>0.77</v>
      </c>
      <c r="AH86">
        <v>0.72399999999999998</v>
      </c>
      <c r="AI86">
        <v>0.78</v>
      </c>
      <c r="AJ86">
        <v>0.73</v>
      </c>
      <c r="AK86">
        <v>0.61</v>
      </c>
      <c r="AL86">
        <v>0.64800000000000002</v>
      </c>
      <c r="AM86">
        <v>0.74399999999999999</v>
      </c>
      <c r="AN86">
        <v>0.8</v>
      </c>
      <c r="AO86">
        <v>0.872</v>
      </c>
      <c r="AP86">
        <v>0.82799999999999996</v>
      </c>
      <c r="AQ86">
        <v>0.76500000000000001</v>
      </c>
      <c r="AR86">
        <v>0.89800000000000002</v>
      </c>
      <c r="AS86">
        <v>0.80800000000000005</v>
      </c>
      <c r="AT86">
        <v>0.73399999999999999</v>
      </c>
      <c r="AU86">
        <v>0.77200000000000002</v>
      </c>
      <c r="AV86">
        <v>0.66800000000000004</v>
      </c>
      <c r="AW86">
        <v>0.59399999999999997</v>
      </c>
      <c r="AX86">
        <v>0.625</v>
      </c>
      <c r="AY86">
        <v>0.79400000000000004</v>
      </c>
      <c r="AZ86">
        <v>0.83899999999999997</v>
      </c>
      <c r="BA86">
        <v>0.88200000000000001</v>
      </c>
      <c r="BB86">
        <v>0.92800000000000005</v>
      </c>
      <c r="BC86">
        <v>0.91500000000000004</v>
      </c>
      <c r="BD86">
        <v>0.874</v>
      </c>
      <c r="BE86">
        <v>0.86899999999999999</v>
      </c>
      <c r="BF86">
        <v>0.90800000000000003</v>
      </c>
      <c r="BG86">
        <v>0.86199999999999999</v>
      </c>
      <c r="BH86">
        <v>0.84699999999999998</v>
      </c>
      <c r="BI86">
        <v>0.95</v>
      </c>
      <c r="BJ86">
        <v>0.81299999999999994</v>
      </c>
      <c r="BK86">
        <v>0.70799999999999996</v>
      </c>
      <c r="BL86">
        <v>0.79900000000000004</v>
      </c>
    </row>
    <row r="87" spans="1:64" x14ac:dyDescent="0.25">
      <c r="A87">
        <v>0.59799999999999998</v>
      </c>
      <c r="B87">
        <v>0.60699999999999998</v>
      </c>
      <c r="C87">
        <v>0.626</v>
      </c>
      <c r="D87">
        <v>0.72199999999999998</v>
      </c>
      <c r="E87">
        <v>0.81100000000000005</v>
      </c>
      <c r="F87">
        <v>0.81</v>
      </c>
      <c r="G87">
        <v>0.77400000000000002</v>
      </c>
      <c r="H87">
        <v>0.76700000000000002</v>
      </c>
      <c r="I87">
        <v>0.84</v>
      </c>
      <c r="J87">
        <v>0.92500000000000004</v>
      </c>
      <c r="K87">
        <v>0.85699999999999998</v>
      </c>
      <c r="L87">
        <v>0.88900000000000001</v>
      </c>
      <c r="M87">
        <v>0.98099999999999998</v>
      </c>
      <c r="N87">
        <v>0.98</v>
      </c>
      <c r="O87">
        <v>0.93300000000000005</v>
      </c>
      <c r="P87">
        <v>0.88</v>
      </c>
      <c r="Q87">
        <v>0.84399999999999997</v>
      </c>
      <c r="R87">
        <v>0.93100000000000005</v>
      </c>
      <c r="S87">
        <v>0.995</v>
      </c>
      <c r="T87">
        <v>0.94899999999999995</v>
      </c>
      <c r="U87">
        <v>0.97599999999999998</v>
      </c>
      <c r="V87">
        <v>0.97499999999999998</v>
      </c>
      <c r="W87">
        <v>0.93500000000000005</v>
      </c>
      <c r="X87">
        <v>0.93899999999999995</v>
      </c>
      <c r="Y87">
        <v>0.91500000000000004</v>
      </c>
      <c r="Z87">
        <v>0.88800000000000001</v>
      </c>
      <c r="AA87">
        <v>0.83</v>
      </c>
      <c r="AB87">
        <v>0.81499999999999995</v>
      </c>
      <c r="AC87">
        <v>0.94799999999999995</v>
      </c>
      <c r="AD87">
        <v>0.96699999999999997</v>
      </c>
      <c r="AE87">
        <v>0.86499999999999999</v>
      </c>
      <c r="AF87">
        <v>0.84899999999999998</v>
      </c>
      <c r="AG87">
        <v>0.85199999999999998</v>
      </c>
      <c r="AH87">
        <v>0.69799999999999995</v>
      </c>
      <c r="AI87">
        <v>0.79600000000000004</v>
      </c>
      <c r="AJ87">
        <v>0.76</v>
      </c>
      <c r="AK87">
        <v>0.61899999999999999</v>
      </c>
      <c r="AL87">
        <v>0.65900000000000003</v>
      </c>
      <c r="AM87">
        <v>0.83199999999999996</v>
      </c>
      <c r="AN87">
        <v>0.80600000000000005</v>
      </c>
      <c r="AO87">
        <v>0.72899999999999998</v>
      </c>
      <c r="AP87">
        <v>0.77800000000000002</v>
      </c>
      <c r="AQ87">
        <v>0.77400000000000002</v>
      </c>
      <c r="AR87">
        <v>0.86</v>
      </c>
      <c r="AS87">
        <v>0.82299999999999995</v>
      </c>
      <c r="AT87">
        <v>0.71399999999999997</v>
      </c>
      <c r="AU87">
        <v>0.71299999999999997</v>
      </c>
      <c r="AV87">
        <v>0.68200000000000005</v>
      </c>
      <c r="AW87">
        <v>0.70399999999999996</v>
      </c>
      <c r="AX87">
        <v>0.68899999999999995</v>
      </c>
      <c r="AY87">
        <v>0.76600000000000001</v>
      </c>
      <c r="AZ87">
        <v>0.78600000000000003</v>
      </c>
      <c r="BA87">
        <v>0.81699999999999995</v>
      </c>
      <c r="BB87">
        <v>0.82499999999999996</v>
      </c>
      <c r="BC87">
        <v>0.86899999999999999</v>
      </c>
      <c r="BD87">
        <v>0.94599999999999995</v>
      </c>
      <c r="BE87">
        <v>0.96699999999999997</v>
      </c>
      <c r="BF87">
        <v>0.99099999999999999</v>
      </c>
      <c r="BG87">
        <v>0.88100000000000001</v>
      </c>
      <c r="BH87">
        <v>0.81299999999999994</v>
      </c>
      <c r="BI87">
        <v>0.94799999999999995</v>
      </c>
      <c r="BJ87">
        <v>0.871</v>
      </c>
      <c r="BK87">
        <v>0.69099999999999995</v>
      </c>
      <c r="BL87">
        <v>0.753</v>
      </c>
    </row>
    <row r="88" spans="1:64" x14ac:dyDescent="0.25">
      <c r="A88">
        <v>0.58199999999999996</v>
      </c>
      <c r="B88">
        <v>0.60099999999999998</v>
      </c>
      <c r="C88">
        <v>0.65800000000000003</v>
      </c>
      <c r="D88">
        <v>0.66300000000000003</v>
      </c>
      <c r="E88">
        <v>0.73599999999999999</v>
      </c>
      <c r="F88">
        <v>0.753</v>
      </c>
      <c r="G88">
        <v>0.746</v>
      </c>
      <c r="H88">
        <v>0.70499999999999996</v>
      </c>
      <c r="I88">
        <v>0.74299999999999999</v>
      </c>
      <c r="J88">
        <v>0.80300000000000005</v>
      </c>
      <c r="K88">
        <v>0.84199999999999997</v>
      </c>
      <c r="L88">
        <v>0.88500000000000001</v>
      </c>
      <c r="M88">
        <v>0.93600000000000005</v>
      </c>
      <c r="N88">
        <v>0.93400000000000005</v>
      </c>
      <c r="O88">
        <v>0.98799999999999999</v>
      </c>
      <c r="P88">
        <v>0.996</v>
      </c>
      <c r="Q88">
        <v>0.98</v>
      </c>
      <c r="R88">
        <v>0.95</v>
      </c>
      <c r="S88">
        <v>0.875</v>
      </c>
      <c r="T88">
        <v>0.83699999999999997</v>
      </c>
      <c r="U88">
        <v>0.80500000000000005</v>
      </c>
      <c r="V88">
        <v>0.88600000000000001</v>
      </c>
      <c r="W88">
        <v>0.96599999999999997</v>
      </c>
      <c r="X88">
        <v>0.86099999999999999</v>
      </c>
      <c r="Y88">
        <v>0.88500000000000001</v>
      </c>
      <c r="Z88">
        <v>0.89500000000000002</v>
      </c>
      <c r="AA88">
        <v>0.91</v>
      </c>
      <c r="AB88">
        <v>0.84199999999999997</v>
      </c>
      <c r="AC88">
        <v>0.88700000000000001</v>
      </c>
      <c r="AD88">
        <v>0.98</v>
      </c>
      <c r="AE88">
        <v>0.94499999999999995</v>
      </c>
      <c r="AF88">
        <v>0.93</v>
      </c>
      <c r="AG88">
        <v>0.80500000000000005</v>
      </c>
      <c r="AH88">
        <v>0.65100000000000002</v>
      </c>
      <c r="AI88">
        <v>0.83599999999999997</v>
      </c>
      <c r="AJ88">
        <v>0.79700000000000004</v>
      </c>
      <c r="AK88">
        <v>0.62</v>
      </c>
      <c r="AL88">
        <v>0.624</v>
      </c>
      <c r="AM88">
        <v>0.79600000000000004</v>
      </c>
      <c r="AN88">
        <v>0.90700000000000003</v>
      </c>
      <c r="AO88">
        <v>0.78600000000000003</v>
      </c>
      <c r="AP88">
        <v>0.77700000000000002</v>
      </c>
      <c r="AQ88">
        <v>0.81299999999999994</v>
      </c>
      <c r="AR88">
        <v>0.81399999999999995</v>
      </c>
      <c r="AS88">
        <v>0.76200000000000001</v>
      </c>
      <c r="AT88">
        <v>0.70799999999999996</v>
      </c>
      <c r="AU88">
        <v>0.63800000000000001</v>
      </c>
      <c r="AV88">
        <v>0.63900000000000001</v>
      </c>
      <c r="AW88">
        <v>0.77400000000000002</v>
      </c>
      <c r="AX88">
        <v>0.78900000000000003</v>
      </c>
      <c r="AY88">
        <v>0.8</v>
      </c>
      <c r="AZ88">
        <v>0.8</v>
      </c>
      <c r="BA88">
        <v>0.83899999999999997</v>
      </c>
      <c r="BB88">
        <v>0.86799999999999999</v>
      </c>
      <c r="BC88">
        <v>0.86199999999999999</v>
      </c>
      <c r="BD88">
        <v>0.82</v>
      </c>
      <c r="BE88">
        <v>0.84899999999999998</v>
      </c>
      <c r="BF88">
        <v>0.90400000000000003</v>
      </c>
      <c r="BG88">
        <v>0.85499999999999998</v>
      </c>
      <c r="BH88">
        <v>0.77600000000000002</v>
      </c>
      <c r="BI88">
        <v>0.878</v>
      </c>
      <c r="BJ88">
        <v>0.91900000000000004</v>
      </c>
      <c r="BK88">
        <v>0.66600000000000004</v>
      </c>
      <c r="BL88">
        <v>0.67100000000000004</v>
      </c>
    </row>
    <row r="89" spans="1:64" x14ac:dyDescent="0.25">
      <c r="A89">
        <v>0.63200000000000001</v>
      </c>
      <c r="B89">
        <v>0.66700000000000004</v>
      </c>
      <c r="C89">
        <v>0.80300000000000005</v>
      </c>
      <c r="D89">
        <v>0.81200000000000006</v>
      </c>
      <c r="E89">
        <v>0.77900000000000003</v>
      </c>
      <c r="F89">
        <v>0.69099999999999995</v>
      </c>
      <c r="G89">
        <v>0.68799999999999994</v>
      </c>
      <c r="H89">
        <v>0.67</v>
      </c>
      <c r="I89">
        <v>0.70799999999999996</v>
      </c>
      <c r="J89">
        <v>0.755</v>
      </c>
      <c r="K89">
        <v>0.79300000000000004</v>
      </c>
      <c r="L89">
        <v>0.84499999999999997</v>
      </c>
      <c r="M89">
        <v>0.93600000000000005</v>
      </c>
      <c r="N89">
        <v>0.98899999999999999</v>
      </c>
      <c r="O89">
        <v>0.96</v>
      </c>
      <c r="P89">
        <v>0.92200000000000004</v>
      </c>
      <c r="Q89">
        <v>0.83499999999999996</v>
      </c>
      <c r="R89">
        <v>0.81699999999999995</v>
      </c>
      <c r="S89">
        <v>0.84899999999999998</v>
      </c>
      <c r="T89">
        <v>0.88200000000000001</v>
      </c>
      <c r="U89">
        <v>0.85699999999999998</v>
      </c>
      <c r="V89">
        <v>0.74399999999999999</v>
      </c>
      <c r="W89">
        <v>0.83199999999999996</v>
      </c>
      <c r="X89">
        <v>0.86099999999999999</v>
      </c>
      <c r="Y89">
        <v>0.94</v>
      </c>
      <c r="Z89">
        <v>0.97299999999999998</v>
      </c>
      <c r="AA89">
        <v>0.95099999999999996</v>
      </c>
      <c r="AB89">
        <v>0.92400000000000004</v>
      </c>
      <c r="AC89">
        <v>0.84099999999999997</v>
      </c>
      <c r="AD89">
        <v>0.94399999999999995</v>
      </c>
      <c r="AE89">
        <v>0.99299999999999999</v>
      </c>
      <c r="AF89">
        <v>0.98899999999999999</v>
      </c>
      <c r="AG89">
        <v>0.81399999999999995</v>
      </c>
      <c r="AH89">
        <v>0.64700000000000002</v>
      </c>
      <c r="AI89">
        <v>0.76900000000000002</v>
      </c>
      <c r="AJ89">
        <v>0.78100000000000003</v>
      </c>
      <c r="AK89">
        <v>0.71299999999999997</v>
      </c>
      <c r="AL89">
        <v>0.67600000000000005</v>
      </c>
      <c r="AM89">
        <v>0.72899999999999998</v>
      </c>
      <c r="AN89">
        <v>0.85399999999999998</v>
      </c>
      <c r="AO89">
        <v>0.85899999999999999</v>
      </c>
      <c r="AP89">
        <v>0.83</v>
      </c>
      <c r="AQ89">
        <v>0.82099999999999995</v>
      </c>
      <c r="AR89">
        <v>0.83799999999999997</v>
      </c>
      <c r="AS89">
        <v>0.79200000000000004</v>
      </c>
      <c r="AT89">
        <v>0.67400000000000004</v>
      </c>
      <c r="AU89">
        <v>0.64300000000000002</v>
      </c>
      <c r="AV89">
        <v>0.62</v>
      </c>
      <c r="AW89">
        <v>0.79600000000000004</v>
      </c>
      <c r="AX89">
        <v>0.85399999999999998</v>
      </c>
      <c r="AY89">
        <v>0.72699999999999998</v>
      </c>
      <c r="AZ89">
        <v>0.71599999999999997</v>
      </c>
      <c r="BA89">
        <v>0.76200000000000001</v>
      </c>
      <c r="BB89">
        <v>0.80400000000000005</v>
      </c>
      <c r="BC89">
        <v>0.754</v>
      </c>
      <c r="BD89">
        <v>0.65600000000000003</v>
      </c>
      <c r="BE89">
        <v>0.64900000000000002</v>
      </c>
      <c r="BF89">
        <v>0.74199999999999999</v>
      </c>
      <c r="BG89">
        <v>0.74</v>
      </c>
      <c r="BH89">
        <v>0.67100000000000004</v>
      </c>
      <c r="BI89">
        <v>0.751</v>
      </c>
      <c r="BJ89">
        <v>0.82199999999999995</v>
      </c>
      <c r="BK89">
        <v>0.629</v>
      </c>
      <c r="BL89">
        <v>0.59099999999999997</v>
      </c>
    </row>
    <row r="90" spans="1:64" x14ac:dyDescent="0.25">
      <c r="A90">
        <v>0.78800000000000003</v>
      </c>
      <c r="B90">
        <v>0.83799999999999997</v>
      </c>
      <c r="C90">
        <v>0.93400000000000005</v>
      </c>
      <c r="D90">
        <v>0.93899999999999995</v>
      </c>
      <c r="E90">
        <v>0.85499999999999998</v>
      </c>
      <c r="F90">
        <v>0.74299999999999999</v>
      </c>
      <c r="G90">
        <v>0.78600000000000003</v>
      </c>
      <c r="H90">
        <v>0.74199999999999999</v>
      </c>
      <c r="I90">
        <v>0.747</v>
      </c>
      <c r="J90">
        <v>0.77200000000000002</v>
      </c>
      <c r="K90">
        <v>0.79700000000000004</v>
      </c>
      <c r="L90">
        <v>0.82399999999999995</v>
      </c>
      <c r="M90">
        <v>0.88300000000000001</v>
      </c>
      <c r="N90">
        <v>0.92700000000000005</v>
      </c>
      <c r="O90">
        <v>0.86899999999999999</v>
      </c>
      <c r="P90">
        <v>0.91400000000000003</v>
      </c>
      <c r="Q90">
        <v>0.99299999999999999</v>
      </c>
      <c r="R90">
        <v>0.998</v>
      </c>
      <c r="S90">
        <v>0.95399999999999996</v>
      </c>
      <c r="T90">
        <v>0.874</v>
      </c>
      <c r="U90">
        <v>0.80200000000000005</v>
      </c>
      <c r="V90">
        <v>0.69</v>
      </c>
      <c r="W90">
        <v>0.78300000000000003</v>
      </c>
      <c r="X90">
        <v>0.91500000000000004</v>
      </c>
      <c r="Y90">
        <v>0.90700000000000003</v>
      </c>
      <c r="Z90">
        <v>0.89300000000000002</v>
      </c>
      <c r="AA90">
        <v>0.871</v>
      </c>
      <c r="AB90">
        <v>0.94</v>
      </c>
      <c r="AC90">
        <v>0.91100000000000003</v>
      </c>
      <c r="AD90">
        <v>0.90200000000000002</v>
      </c>
      <c r="AE90">
        <v>0.99099999999999999</v>
      </c>
      <c r="AF90">
        <v>0.99</v>
      </c>
      <c r="AG90">
        <v>0.86499999999999999</v>
      </c>
      <c r="AH90">
        <v>0.76500000000000001</v>
      </c>
      <c r="AI90">
        <v>0.73399999999999999</v>
      </c>
      <c r="AJ90">
        <v>0.73899999999999999</v>
      </c>
      <c r="AK90">
        <v>0.81399999999999995</v>
      </c>
      <c r="AL90">
        <v>0.77900000000000003</v>
      </c>
      <c r="AM90">
        <v>0.76300000000000001</v>
      </c>
      <c r="AN90">
        <v>0.73199999999999998</v>
      </c>
      <c r="AO90">
        <v>0.81</v>
      </c>
      <c r="AP90">
        <v>0.872</v>
      </c>
      <c r="AQ90">
        <v>0.79700000000000004</v>
      </c>
      <c r="AR90">
        <v>0.86</v>
      </c>
      <c r="AS90">
        <v>0.86099999999999999</v>
      </c>
      <c r="AT90">
        <v>0.68500000000000005</v>
      </c>
      <c r="AU90">
        <v>0.68899999999999995</v>
      </c>
      <c r="AV90">
        <v>0.61599999999999999</v>
      </c>
      <c r="AW90">
        <v>0.80900000000000005</v>
      </c>
      <c r="AX90">
        <v>0.81100000000000005</v>
      </c>
      <c r="AY90">
        <v>0.73699999999999999</v>
      </c>
      <c r="AZ90">
        <v>0.70399999999999996</v>
      </c>
      <c r="BA90">
        <v>0.70499999999999996</v>
      </c>
      <c r="BB90">
        <v>0.67</v>
      </c>
      <c r="BC90">
        <v>0.71099999999999997</v>
      </c>
      <c r="BD90">
        <v>0.76800000000000002</v>
      </c>
      <c r="BE90">
        <v>0.68600000000000005</v>
      </c>
      <c r="BF90">
        <v>0.77</v>
      </c>
      <c r="BG90">
        <v>0.80700000000000005</v>
      </c>
      <c r="BH90">
        <v>0.65500000000000003</v>
      </c>
      <c r="BI90">
        <v>0.68500000000000005</v>
      </c>
      <c r="BJ90">
        <v>0.64200000000000002</v>
      </c>
      <c r="BK90">
        <v>0.621</v>
      </c>
      <c r="BL90">
        <v>0.67600000000000005</v>
      </c>
    </row>
    <row r="91" spans="1:64" x14ac:dyDescent="0.25">
      <c r="A91">
        <v>0.77200000000000002</v>
      </c>
      <c r="B91">
        <v>0.82699999999999996</v>
      </c>
      <c r="C91">
        <v>0.82099999999999995</v>
      </c>
      <c r="D91">
        <v>0.80800000000000005</v>
      </c>
      <c r="E91">
        <v>0.78100000000000003</v>
      </c>
      <c r="F91">
        <v>0.72799999999999998</v>
      </c>
      <c r="G91">
        <v>0.81</v>
      </c>
      <c r="H91">
        <v>0.73299999999999998</v>
      </c>
      <c r="I91">
        <v>0.67700000000000005</v>
      </c>
      <c r="J91">
        <v>0.66700000000000004</v>
      </c>
      <c r="K91">
        <v>0.71299999999999997</v>
      </c>
      <c r="L91">
        <v>0.79300000000000004</v>
      </c>
      <c r="M91">
        <v>0.81699999999999995</v>
      </c>
      <c r="N91">
        <v>0.81899999999999995</v>
      </c>
      <c r="O91">
        <v>0.76100000000000001</v>
      </c>
      <c r="P91">
        <v>0.70499999999999996</v>
      </c>
      <c r="Q91">
        <v>0.70199999999999996</v>
      </c>
      <c r="R91">
        <v>0.73299999999999998</v>
      </c>
      <c r="S91">
        <v>0.72699999999999998</v>
      </c>
      <c r="T91">
        <v>0.67800000000000005</v>
      </c>
      <c r="U91">
        <v>0.68799999999999994</v>
      </c>
      <c r="V91">
        <v>0.78800000000000003</v>
      </c>
      <c r="W91">
        <v>0.78400000000000003</v>
      </c>
      <c r="X91">
        <v>0.82899999999999996</v>
      </c>
      <c r="Y91">
        <v>0.81699999999999995</v>
      </c>
      <c r="Z91">
        <v>0.71199999999999997</v>
      </c>
      <c r="AA91">
        <v>0.72399999999999998</v>
      </c>
      <c r="AB91">
        <v>0.88100000000000001</v>
      </c>
      <c r="AC91">
        <v>0.97799999999999998</v>
      </c>
      <c r="AD91">
        <v>0.89800000000000002</v>
      </c>
      <c r="AE91">
        <v>0.95599999999999996</v>
      </c>
      <c r="AF91">
        <v>0.88400000000000001</v>
      </c>
      <c r="AG91">
        <v>0.76100000000000001</v>
      </c>
      <c r="AH91">
        <v>0.77100000000000002</v>
      </c>
      <c r="AI91">
        <v>0.71699999999999997</v>
      </c>
      <c r="AJ91">
        <v>0.72699999999999998</v>
      </c>
      <c r="AK91">
        <v>0.85</v>
      </c>
      <c r="AL91">
        <v>0.876</v>
      </c>
      <c r="AM91">
        <v>0.88800000000000001</v>
      </c>
      <c r="AN91">
        <v>0.78</v>
      </c>
      <c r="AO91">
        <v>0.71799999999999997</v>
      </c>
      <c r="AP91">
        <v>0.72499999999999998</v>
      </c>
      <c r="AQ91">
        <v>0.70199999999999996</v>
      </c>
      <c r="AR91">
        <v>0.77400000000000002</v>
      </c>
      <c r="AS91">
        <v>0.79800000000000004</v>
      </c>
      <c r="AT91">
        <v>0.78300000000000003</v>
      </c>
      <c r="AU91">
        <v>0.78500000000000003</v>
      </c>
      <c r="AV91">
        <v>0.68300000000000005</v>
      </c>
      <c r="AW91">
        <v>0.64500000000000002</v>
      </c>
      <c r="AX91">
        <v>0.7</v>
      </c>
      <c r="AY91">
        <v>0.78200000000000003</v>
      </c>
      <c r="AZ91">
        <v>0.73499999999999999</v>
      </c>
      <c r="BA91">
        <v>0.61499999999999999</v>
      </c>
      <c r="BB91">
        <v>0.56399999999999995</v>
      </c>
      <c r="BC91">
        <v>0.627</v>
      </c>
      <c r="BD91">
        <v>0.747</v>
      </c>
      <c r="BE91">
        <v>0.71</v>
      </c>
      <c r="BF91">
        <v>0.76300000000000001</v>
      </c>
      <c r="BG91">
        <v>0.77100000000000002</v>
      </c>
      <c r="BH91">
        <v>0.64800000000000002</v>
      </c>
      <c r="BI91">
        <v>0.65100000000000002</v>
      </c>
      <c r="BJ91">
        <v>0.59899999999999998</v>
      </c>
      <c r="BK91">
        <v>0.61299999999999999</v>
      </c>
      <c r="BL91">
        <v>0.68300000000000005</v>
      </c>
    </row>
    <row r="92" spans="1:64" x14ac:dyDescent="0.25">
      <c r="A92">
        <v>0.71599999999999997</v>
      </c>
      <c r="B92">
        <v>0.75600000000000001</v>
      </c>
      <c r="C92">
        <v>0.75</v>
      </c>
      <c r="D92">
        <v>0.75700000000000001</v>
      </c>
      <c r="E92">
        <v>0.73</v>
      </c>
      <c r="F92">
        <v>0.76200000000000001</v>
      </c>
      <c r="G92">
        <v>0.85299999999999998</v>
      </c>
      <c r="H92">
        <v>0.74</v>
      </c>
      <c r="I92">
        <v>0.61899999999999999</v>
      </c>
      <c r="J92">
        <v>0.61699999999999999</v>
      </c>
      <c r="K92">
        <v>0.70299999999999996</v>
      </c>
      <c r="L92">
        <v>0.77500000000000002</v>
      </c>
      <c r="M92">
        <v>0.81399999999999995</v>
      </c>
      <c r="N92">
        <v>0.89700000000000002</v>
      </c>
      <c r="O92">
        <v>0.89100000000000001</v>
      </c>
      <c r="P92">
        <v>0.85699999999999998</v>
      </c>
      <c r="Q92">
        <v>0.85399999999999998</v>
      </c>
      <c r="R92">
        <v>0.878</v>
      </c>
      <c r="S92">
        <v>0.88900000000000001</v>
      </c>
      <c r="T92">
        <v>0.89400000000000002</v>
      </c>
      <c r="U92">
        <v>0.85899999999999999</v>
      </c>
      <c r="V92">
        <v>0.81399999999999995</v>
      </c>
      <c r="W92">
        <v>0.72899999999999998</v>
      </c>
      <c r="X92">
        <v>0.755</v>
      </c>
      <c r="Y92">
        <v>0.84899999999999998</v>
      </c>
      <c r="Z92">
        <v>0.85</v>
      </c>
      <c r="AA92">
        <v>0.90900000000000003</v>
      </c>
      <c r="AB92">
        <v>0.86399999999999999</v>
      </c>
      <c r="AC92">
        <v>0.93200000000000005</v>
      </c>
      <c r="AD92">
        <v>0.873</v>
      </c>
      <c r="AE92">
        <v>0.89</v>
      </c>
      <c r="AF92">
        <v>0.80500000000000005</v>
      </c>
      <c r="AG92">
        <v>0.82699999999999996</v>
      </c>
      <c r="AH92">
        <v>0.876</v>
      </c>
      <c r="AI92">
        <v>0.78500000000000003</v>
      </c>
      <c r="AJ92">
        <v>0.76500000000000001</v>
      </c>
      <c r="AK92">
        <v>0.89300000000000002</v>
      </c>
      <c r="AL92">
        <v>0.95399999999999996</v>
      </c>
      <c r="AM92">
        <v>0.94099999999999995</v>
      </c>
      <c r="AN92">
        <v>0.90900000000000003</v>
      </c>
      <c r="AO92">
        <v>0.82099999999999995</v>
      </c>
      <c r="AP92">
        <v>0.65500000000000003</v>
      </c>
      <c r="AQ92">
        <v>0.62</v>
      </c>
      <c r="AR92">
        <v>0.69899999999999995</v>
      </c>
      <c r="AS92">
        <v>0.76600000000000001</v>
      </c>
      <c r="AT92">
        <v>0.84899999999999998</v>
      </c>
      <c r="AU92">
        <v>0.81200000000000006</v>
      </c>
      <c r="AV92">
        <v>0.76600000000000001</v>
      </c>
      <c r="AW92">
        <v>0.81299999999999994</v>
      </c>
      <c r="AX92">
        <v>0.80100000000000005</v>
      </c>
      <c r="AY92">
        <v>0.73099999999999998</v>
      </c>
      <c r="AZ92">
        <v>0.72</v>
      </c>
      <c r="BA92">
        <v>0.70599999999999996</v>
      </c>
      <c r="BB92">
        <v>0.70199999999999996</v>
      </c>
      <c r="BC92">
        <v>0.65900000000000003</v>
      </c>
      <c r="BD92">
        <v>0.65400000000000003</v>
      </c>
      <c r="BE92">
        <v>0.68</v>
      </c>
      <c r="BF92">
        <v>0.69899999999999995</v>
      </c>
      <c r="BG92">
        <v>0.67400000000000004</v>
      </c>
      <c r="BH92">
        <v>0.64400000000000002</v>
      </c>
      <c r="BI92">
        <v>0.6</v>
      </c>
      <c r="BJ92">
        <v>0.57899999999999996</v>
      </c>
      <c r="BK92">
        <v>0.57999999999999996</v>
      </c>
      <c r="BL92">
        <v>0.63400000000000001</v>
      </c>
    </row>
    <row r="93" spans="1:64" x14ac:dyDescent="0.25">
      <c r="A93">
        <v>0.67100000000000004</v>
      </c>
      <c r="B93">
        <v>0.73499999999999999</v>
      </c>
      <c r="C93">
        <v>0.76100000000000001</v>
      </c>
      <c r="D93">
        <v>0.76500000000000001</v>
      </c>
      <c r="E93">
        <v>0.77500000000000002</v>
      </c>
      <c r="F93">
        <v>0.89200000000000002</v>
      </c>
      <c r="G93">
        <v>0.95499999999999996</v>
      </c>
      <c r="H93">
        <v>0.81399999999999995</v>
      </c>
      <c r="I93">
        <v>0.748</v>
      </c>
      <c r="J93">
        <v>0.67600000000000005</v>
      </c>
      <c r="K93">
        <v>0.77</v>
      </c>
      <c r="L93">
        <v>0.86</v>
      </c>
      <c r="M93">
        <v>0.82699999999999996</v>
      </c>
      <c r="N93">
        <v>0.89300000000000002</v>
      </c>
      <c r="O93">
        <v>0.96</v>
      </c>
      <c r="P93">
        <v>0.97599999999999998</v>
      </c>
      <c r="Q93">
        <v>0.98799999999999999</v>
      </c>
      <c r="R93">
        <v>0.99299999999999999</v>
      </c>
      <c r="S93">
        <v>0.98899999999999999</v>
      </c>
      <c r="T93">
        <v>0.93799999999999994</v>
      </c>
      <c r="U93">
        <v>0.90300000000000002</v>
      </c>
      <c r="V93">
        <v>0.89600000000000002</v>
      </c>
      <c r="W93">
        <v>0.84799999999999998</v>
      </c>
      <c r="X93">
        <v>0.82399999999999995</v>
      </c>
      <c r="Y93">
        <v>0.90300000000000002</v>
      </c>
      <c r="Z93">
        <v>0.95499999999999996</v>
      </c>
      <c r="AA93">
        <v>0.97</v>
      </c>
      <c r="AB93">
        <v>0.88200000000000001</v>
      </c>
      <c r="AC93">
        <v>0.89400000000000002</v>
      </c>
      <c r="AD93">
        <v>0.879</v>
      </c>
      <c r="AE93">
        <v>0.91</v>
      </c>
      <c r="AF93">
        <v>0.88400000000000001</v>
      </c>
      <c r="AG93">
        <v>0.89700000000000002</v>
      </c>
      <c r="AH93">
        <v>0.86599999999999999</v>
      </c>
      <c r="AI93">
        <v>0.83699999999999997</v>
      </c>
      <c r="AJ93">
        <v>0.85399999999999998</v>
      </c>
      <c r="AK93">
        <v>0.85099999999999998</v>
      </c>
      <c r="AL93">
        <v>0.90900000000000003</v>
      </c>
      <c r="AM93">
        <v>0.90700000000000003</v>
      </c>
      <c r="AN93">
        <v>0.91900000000000004</v>
      </c>
      <c r="AO93">
        <v>0.876</v>
      </c>
      <c r="AP93">
        <v>0.64100000000000001</v>
      </c>
      <c r="AQ93">
        <v>0.61499999999999999</v>
      </c>
      <c r="AR93">
        <v>0.69299999999999995</v>
      </c>
      <c r="AS93">
        <v>0.74099999999999999</v>
      </c>
      <c r="AT93">
        <v>0.85399999999999998</v>
      </c>
      <c r="AU93">
        <v>0.89100000000000001</v>
      </c>
      <c r="AV93">
        <v>0.85799999999999998</v>
      </c>
      <c r="AW93">
        <v>0.92800000000000005</v>
      </c>
      <c r="AX93">
        <v>0.91700000000000004</v>
      </c>
      <c r="AY93">
        <v>0.78700000000000003</v>
      </c>
      <c r="AZ93">
        <v>0.76200000000000001</v>
      </c>
      <c r="BA93">
        <v>0.85499999999999998</v>
      </c>
      <c r="BB93">
        <v>0.94399999999999995</v>
      </c>
      <c r="BC93">
        <v>0.879</v>
      </c>
      <c r="BD93">
        <v>0.749</v>
      </c>
      <c r="BE93">
        <v>0.751</v>
      </c>
      <c r="BF93">
        <v>0.72099999999999997</v>
      </c>
      <c r="BG93">
        <v>0.63600000000000001</v>
      </c>
      <c r="BH93">
        <v>0.627</v>
      </c>
      <c r="BI93">
        <v>0.56299999999999994</v>
      </c>
      <c r="BJ93">
        <v>0.55300000000000005</v>
      </c>
      <c r="BK93">
        <v>0.52500000000000002</v>
      </c>
      <c r="BL93">
        <v>0.55800000000000005</v>
      </c>
    </row>
    <row r="94" spans="1:64" x14ac:dyDescent="0.25">
      <c r="A94">
        <v>0.88500000000000001</v>
      </c>
      <c r="B94">
        <v>0.86799999999999999</v>
      </c>
      <c r="C94">
        <v>0.77200000000000002</v>
      </c>
      <c r="D94">
        <v>0.746</v>
      </c>
      <c r="E94">
        <v>0.874</v>
      </c>
      <c r="F94">
        <v>0.94399999999999995</v>
      </c>
      <c r="G94">
        <v>0.90500000000000003</v>
      </c>
      <c r="H94">
        <v>0.78500000000000003</v>
      </c>
      <c r="I94">
        <v>0.98799999999999999</v>
      </c>
      <c r="J94">
        <v>0.82799999999999996</v>
      </c>
      <c r="K94">
        <v>0.80800000000000005</v>
      </c>
      <c r="L94">
        <v>0.93100000000000005</v>
      </c>
      <c r="M94">
        <v>0.877</v>
      </c>
      <c r="N94">
        <v>0.76900000000000002</v>
      </c>
      <c r="O94">
        <v>0.83899999999999997</v>
      </c>
      <c r="P94">
        <v>0.92700000000000005</v>
      </c>
      <c r="Q94">
        <v>0.98899999999999999</v>
      </c>
      <c r="R94">
        <v>0.995</v>
      </c>
      <c r="S94">
        <v>0.98</v>
      </c>
      <c r="T94">
        <v>0.95</v>
      </c>
      <c r="U94">
        <v>0.83399999999999996</v>
      </c>
      <c r="V94">
        <v>0.76300000000000001</v>
      </c>
      <c r="W94">
        <v>0.86399999999999999</v>
      </c>
      <c r="X94">
        <v>0.84899999999999998</v>
      </c>
      <c r="Y94">
        <v>0.90300000000000002</v>
      </c>
      <c r="Z94">
        <v>0.98</v>
      </c>
      <c r="AA94">
        <v>0.96399999999999997</v>
      </c>
      <c r="AB94">
        <v>0.878</v>
      </c>
      <c r="AC94">
        <v>0.85299999999999998</v>
      </c>
      <c r="AD94">
        <v>0.9</v>
      </c>
      <c r="AE94">
        <v>0.92800000000000005</v>
      </c>
      <c r="AF94">
        <v>0.93300000000000005</v>
      </c>
      <c r="AG94">
        <v>0.88300000000000001</v>
      </c>
      <c r="AH94">
        <v>0.78900000000000003</v>
      </c>
      <c r="AI94">
        <v>0.91700000000000004</v>
      </c>
      <c r="AJ94">
        <v>0.95599999999999996</v>
      </c>
      <c r="AK94">
        <v>0.86899999999999999</v>
      </c>
      <c r="AL94">
        <v>0.90200000000000002</v>
      </c>
      <c r="AM94">
        <v>0.93600000000000005</v>
      </c>
      <c r="AN94">
        <v>0.95899999999999996</v>
      </c>
      <c r="AO94">
        <v>0.89200000000000002</v>
      </c>
      <c r="AP94">
        <v>0.64200000000000002</v>
      </c>
      <c r="AQ94">
        <v>0.58499999999999996</v>
      </c>
      <c r="AR94">
        <v>0.625</v>
      </c>
      <c r="AS94">
        <v>0.70399999999999996</v>
      </c>
      <c r="AT94">
        <v>0.85399999999999998</v>
      </c>
      <c r="AU94">
        <v>0.88400000000000001</v>
      </c>
      <c r="AV94">
        <v>0.82899999999999996</v>
      </c>
      <c r="AW94">
        <v>0.80500000000000005</v>
      </c>
      <c r="AX94">
        <v>0.80100000000000005</v>
      </c>
      <c r="AY94">
        <v>0.84299999999999997</v>
      </c>
      <c r="AZ94">
        <v>0.79600000000000004</v>
      </c>
      <c r="BA94">
        <v>0.81</v>
      </c>
      <c r="BB94">
        <v>0.86099999999999999</v>
      </c>
      <c r="BC94">
        <v>0.93500000000000005</v>
      </c>
      <c r="BD94">
        <v>0.86399999999999999</v>
      </c>
      <c r="BE94">
        <v>0.81399999999999995</v>
      </c>
      <c r="BF94">
        <v>0.8</v>
      </c>
      <c r="BG94">
        <v>0.69499999999999995</v>
      </c>
      <c r="BH94">
        <v>0.66200000000000003</v>
      </c>
      <c r="BI94">
        <v>0.59599999999999997</v>
      </c>
      <c r="BJ94">
        <v>0.64800000000000002</v>
      </c>
      <c r="BK94">
        <v>0.63</v>
      </c>
      <c r="BL94">
        <v>0.60399999999999998</v>
      </c>
    </row>
    <row r="95" spans="1:64" x14ac:dyDescent="0.25">
      <c r="A95">
        <v>0.98299999999999998</v>
      </c>
      <c r="B95">
        <v>0.93899999999999995</v>
      </c>
      <c r="C95">
        <v>0.88</v>
      </c>
      <c r="D95">
        <v>0.86899999999999999</v>
      </c>
      <c r="E95">
        <v>0.876</v>
      </c>
      <c r="F95">
        <v>0.874</v>
      </c>
      <c r="G95">
        <v>0.78600000000000003</v>
      </c>
      <c r="H95">
        <v>0.84199999999999997</v>
      </c>
      <c r="I95">
        <v>0.97</v>
      </c>
      <c r="J95">
        <v>0.91800000000000004</v>
      </c>
      <c r="K95">
        <v>0.85399999999999998</v>
      </c>
      <c r="L95">
        <v>0.92200000000000004</v>
      </c>
      <c r="M95">
        <v>0.91100000000000003</v>
      </c>
      <c r="N95">
        <v>0.80100000000000005</v>
      </c>
      <c r="O95">
        <v>0.77800000000000002</v>
      </c>
      <c r="P95">
        <v>0.81899999999999995</v>
      </c>
      <c r="Q95">
        <v>0.94499999999999995</v>
      </c>
      <c r="R95">
        <v>0.98099999999999998</v>
      </c>
      <c r="S95">
        <v>0.98199999999999998</v>
      </c>
      <c r="T95">
        <v>0.93600000000000005</v>
      </c>
      <c r="U95">
        <v>0.77900000000000003</v>
      </c>
      <c r="V95">
        <v>0.63700000000000001</v>
      </c>
      <c r="W95">
        <v>0.75700000000000001</v>
      </c>
      <c r="X95">
        <v>0.86899999999999999</v>
      </c>
      <c r="Y95">
        <v>0.91900000000000004</v>
      </c>
      <c r="Z95">
        <v>0.96299999999999997</v>
      </c>
      <c r="AA95">
        <v>0.98599999999999999</v>
      </c>
      <c r="AB95">
        <v>0.99399999999999999</v>
      </c>
      <c r="AC95">
        <v>0.93100000000000005</v>
      </c>
      <c r="AD95">
        <v>0.81299999999999994</v>
      </c>
      <c r="AE95">
        <v>0.79500000000000004</v>
      </c>
      <c r="AF95">
        <v>0.86399999999999999</v>
      </c>
      <c r="AG95">
        <v>0.86</v>
      </c>
      <c r="AH95">
        <v>0.89100000000000001</v>
      </c>
      <c r="AI95">
        <v>0.95899999999999996</v>
      </c>
      <c r="AJ95">
        <v>0.98699999999999999</v>
      </c>
      <c r="AK95">
        <v>0.92500000000000004</v>
      </c>
      <c r="AL95">
        <v>0.876</v>
      </c>
      <c r="AM95">
        <v>0.96899999999999997</v>
      </c>
      <c r="AN95">
        <v>0.99299999999999999</v>
      </c>
      <c r="AO95">
        <v>0.97099999999999997</v>
      </c>
      <c r="AP95">
        <v>0.76500000000000001</v>
      </c>
      <c r="AQ95">
        <v>0.57099999999999995</v>
      </c>
      <c r="AR95">
        <v>0.55500000000000005</v>
      </c>
      <c r="AS95">
        <v>0.63800000000000001</v>
      </c>
      <c r="AT95">
        <v>0.754</v>
      </c>
      <c r="AU95">
        <v>0.7</v>
      </c>
      <c r="AV95">
        <v>0.70099999999999996</v>
      </c>
      <c r="AW95">
        <v>0.79400000000000004</v>
      </c>
      <c r="AX95">
        <v>0.84299999999999997</v>
      </c>
      <c r="AY95">
        <v>0.9</v>
      </c>
      <c r="AZ95">
        <v>0.91</v>
      </c>
      <c r="BA95">
        <v>0.86199999999999999</v>
      </c>
      <c r="BB95">
        <v>0.73699999999999999</v>
      </c>
      <c r="BC95">
        <v>0.93799999999999994</v>
      </c>
      <c r="BD95">
        <v>0.89800000000000002</v>
      </c>
      <c r="BE95">
        <v>0.77</v>
      </c>
      <c r="BF95">
        <v>0.81299999999999994</v>
      </c>
      <c r="BG95">
        <v>0.79100000000000004</v>
      </c>
      <c r="BH95">
        <v>0.71899999999999997</v>
      </c>
      <c r="BI95">
        <v>0.67900000000000005</v>
      </c>
      <c r="BJ95">
        <v>0.69599999999999995</v>
      </c>
      <c r="BK95">
        <v>0.64400000000000002</v>
      </c>
      <c r="BL95">
        <v>0.59199999999999997</v>
      </c>
    </row>
    <row r="96" spans="1:64" x14ac:dyDescent="0.25">
      <c r="A96">
        <v>0.92300000000000004</v>
      </c>
      <c r="B96">
        <v>0.92</v>
      </c>
      <c r="C96">
        <v>0.94899999999999995</v>
      </c>
      <c r="D96">
        <v>0.95399999999999996</v>
      </c>
      <c r="E96">
        <v>0.82799999999999996</v>
      </c>
      <c r="F96">
        <v>0.73</v>
      </c>
      <c r="G96">
        <v>0.72199999999999998</v>
      </c>
      <c r="H96">
        <v>0.80800000000000005</v>
      </c>
      <c r="I96">
        <v>0.79800000000000004</v>
      </c>
      <c r="J96">
        <v>0.83499999999999996</v>
      </c>
      <c r="K96">
        <v>0.84699999999999998</v>
      </c>
      <c r="L96">
        <v>0.89400000000000002</v>
      </c>
      <c r="M96">
        <v>0.89</v>
      </c>
      <c r="N96">
        <v>0.82599999999999996</v>
      </c>
      <c r="O96">
        <v>0.69299999999999995</v>
      </c>
      <c r="P96">
        <v>0.72099999999999997</v>
      </c>
      <c r="Q96">
        <v>0.97299999999999998</v>
      </c>
      <c r="R96">
        <v>0.96</v>
      </c>
      <c r="S96">
        <v>0.91800000000000004</v>
      </c>
      <c r="T96">
        <v>0.79500000000000004</v>
      </c>
      <c r="U96">
        <v>0.65400000000000003</v>
      </c>
      <c r="V96">
        <v>0.59799999999999998</v>
      </c>
      <c r="W96">
        <v>0.75700000000000001</v>
      </c>
      <c r="X96">
        <v>0.86199999999999999</v>
      </c>
      <c r="Y96">
        <v>0.88200000000000001</v>
      </c>
      <c r="Z96">
        <v>0.94699999999999995</v>
      </c>
      <c r="AA96">
        <v>0.98699999999999999</v>
      </c>
      <c r="AB96">
        <v>0.91600000000000004</v>
      </c>
      <c r="AC96">
        <v>0.82799999999999996</v>
      </c>
      <c r="AD96">
        <v>0.79</v>
      </c>
      <c r="AE96">
        <v>0.81200000000000006</v>
      </c>
      <c r="AF96">
        <v>0.86099999999999999</v>
      </c>
      <c r="AG96">
        <v>0.92700000000000005</v>
      </c>
      <c r="AH96">
        <v>0.97899999999999998</v>
      </c>
      <c r="AI96">
        <v>0.96099999999999997</v>
      </c>
      <c r="AJ96">
        <v>0.97</v>
      </c>
      <c r="AK96">
        <v>0.92500000000000004</v>
      </c>
      <c r="AL96">
        <v>0.86</v>
      </c>
      <c r="AM96">
        <v>0.98399999999999999</v>
      </c>
      <c r="AN96">
        <v>0.998</v>
      </c>
      <c r="AO96">
        <v>1</v>
      </c>
      <c r="AP96">
        <v>0.94399999999999995</v>
      </c>
      <c r="AQ96">
        <v>0.70299999999999996</v>
      </c>
      <c r="AR96">
        <v>0.61199999999999999</v>
      </c>
      <c r="AS96">
        <v>0.66100000000000003</v>
      </c>
      <c r="AT96">
        <v>0.77600000000000002</v>
      </c>
      <c r="AU96">
        <v>0.73899999999999999</v>
      </c>
      <c r="AV96">
        <v>0.67600000000000005</v>
      </c>
      <c r="AW96">
        <v>0.77600000000000002</v>
      </c>
      <c r="AX96">
        <v>0.80700000000000005</v>
      </c>
      <c r="AY96">
        <v>0.83</v>
      </c>
      <c r="AZ96">
        <v>0.93300000000000005</v>
      </c>
      <c r="BA96">
        <v>0.86799999999999999</v>
      </c>
      <c r="BB96">
        <v>0.755</v>
      </c>
      <c r="BC96">
        <v>0.95199999999999996</v>
      </c>
      <c r="BD96">
        <v>0.97499999999999998</v>
      </c>
      <c r="BE96">
        <v>0.84499999999999997</v>
      </c>
      <c r="BF96">
        <v>0.81899999999999995</v>
      </c>
      <c r="BG96">
        <v>0.82599999999999996</v>
      </c>
      <c r="BH96">
        <v>0.72499999999999998</v>
      </c>
      <c r="BI96">
        <v>0.78400000000000003</v>
      </c>
      <c r="BJ96">
        <v>0.79300000000000004</v>
      </c>
      <c r="BK96">
        <v>0.624</v>
      </c>
      <c r="BL96">
        <v>0.53300000000000003</v>
      </c>
    </row>
    <row r="97" spans="1:64" x14ac:dyDescent="0.25">
      <c r="A97">
        <v>0.876</v>
      </c>
      <c r="B97">
        <v>0.91100000000000003</v>
      </c>
      <c r="C97">
        <v>0.93700000000000006</v>
      </c>
      <c r="D97">
        <v>0.94599999999999995</v>
      </c>
      <c r="E97">
        <v>0.89400000000000002</v>
      </c>
      <c r="F97">
        <v>0.83499999999999996</v>
      </c>
      <c r="G97">
        <v>0.85899999999999999</v>
      </c>
      <c r="H97">
        <v>0.89700000000000002</v>
      </c>
      <c r="I97">
        <v>0.82499999999999996</v>
      </c>
      <c r="J97">
        <v>0.72799999999999998</v>
      </c>
      <c r="K97">
        <v>0.77800000000000002</v>
      </c>
      <c r="L97">
        <v>0.91200000000000003</v>
      </c>
      <c r="M97">
        <v>0.92300000000000004</v>
      </c>
      <c r="N97">
        <v>0.80800000000000005</v>
      </c>
      <c r="O97">
        <v>0.65200000000000002</v>
      </c>
      <c r="P97">
        <v>0.66600000000000004</v>
      </c>
      <c r="Q97">
        <v>0.99399999999999999</v>
      </c>
      <c r="R97">
        <v>0.86199999999999999</v>
      </c>
      <c r="S97">
        <v>0.84399999999999997</v>
      </c>
      <c r="T97">
        <v>0.748</v>
      </c>
      <c r="U97">
        <v>0.63300000000000001</v>
      </c>
      <c r="V97">
        <v>0.67300000000000004</v>
      </c>
      <c r="W97">
        <v>0.80700000000000005</v>
      </c>
      <c r="X97">
        <v>0.89300000000000002</v>
      </c>
      <c r="Y97">
        <v>0.93200000000000005</v>
      </c>
      <c r="Z97">
        <v>0.97099999999999997</v>
      </c>
      <c r="AA97">
        <v>0.92600000000000005</v>
      </c>
      <c r="AB97">
        <v>0.72</v>
      </c>
      <c r="AC97">
        <v>0.73699999999999999</v>
      </c>
      <c r="AD97">
        <v>0.86199999999999999</v>
      </c>
      <c r="AE97">
        <v>0.95099999999999996</v>
      </c>
      <c r="AF97">
        <v>0.92700000000000005</v>
      </c>
      <c r="AG97">
        <v>0.97</v>
      </c>
      <c r="AH97">
        <v>0.97799999999999998</v>
      </c>
      <c r="AI97">
        <v>0.95299999999999996</v>
      </c>
      <c r="AJ97">
        <v>0.9</v>
      </c>
      <c r="AK97">
        <v>0.86199999999999999</v>
      </c>
      <c r="AL97">
        <v>0.83399999999999996</v>
      </c>
      <c r="AM97">
        <v>0.93799999999999994</v>
      </c>
      <c r="AN97">
        <v>0.97399999999999998</v>
      </c>
      <c r="AO97">
        <v>0.98599999999999999</v>
      </c>
      <c r="AP97">
        <v>0.84599999999999997</v>
      </c>
      <c r="AQ97">
        <v>0.76800000000000002</v>
      </c>
      <c r="AR97">
        <v>0.82699999999999996</v>
      </c>
      <c r="AS97">
        <v>0.71599999999999997</v>
      </c>
      <c r="AT97">
        <v>0.79</v>
      </c>
      <c r="AU97">
        <v>0.82399999999999995</v>
      </c>
      <c r="AV97">
        <v>0.70299999999999996</v>
      </c>
      <c r="AW97">
        <v>0.72499999999999998</v>
      </c>
      <c r="AX97">
        <v>0.82399999999999995</v>
      </c>
      <c r="AY97">
        <v>0.84699999999999998</v>
      </c>
      <c r="AZ97">
        <v>0.84199999999999997</v>
      </c>
      <c r="BA97">
        <v>0.81200000000000006</v>
      </c>
      <c r="BB97">
        <v>0.73899999999999999</v>
      </c>
      <c r="BC97">
        <v>0.85699999999999998</v>
      </c>
      <c r="BD97">
        <v>0.96899999999999997</v>
      </c>
      <c r="BE97">
        <v>0.92800000000000005</v>
      </c>
      <c r="BF97">
        <v>0.89</v>
      </c>
      <c r="BG97">
        <v>0.83599999999999997</v>
      </c>
      <c r="BH97">
        <v>0.75</v>
      </c>
      <c r="BI97">
        <v>0.81200000000000006</v>
      </c>
      <c r="BJ97">
        <v>0.87</v>
      </c>
      <c r="BK97">
        <v>0.69899999999999995</v>
      </c>
      <c r="BL97">
        <v>0.63600000000000001</v>
      </c>
    </row>
    <row r="98" spans="1:64" x14ac:dyDescent="0.25">
      <c r="A98">
        <v>0.88800000000000001</v>
      </c>
      <c r="B98">
        <v>0.92500000000000004</v>
      </c>
      <c r="C98">
        <v>0.97799999999999998</v>
      </c>
      <c r="D98">
        <v>0.94</v>
      </c>
      <c r="E98">
        <v>0.94099999999999995</v>
      </c>
      <c r="F98">
        <v>0.95599999999999996</v>
      </c>
      <c r="G98">
        <v>0.99099999999999999</v>
      </c>
      <c r="H98">
        <v>0.99399999999999999</v>
      </c>
      <c r="I98">
        <v>0.99</v>
      </c>
      <c r="J98">
        <v>0.83699999999999997</v>
      </c>
      <c r="K98">
        <v>0.82299999999999995</v>
      </c>
      <c r="L98">
        <v>0.94099999999999995</v>
      </c>
      <c r="M98">
        <v>0.90100000000000002</v>
      </c>
      <c r="N98">
        <v>0.88200000000000001</v>
      </c>
      <c r="O98">
        <v>0.71099999999999997</v>
      </c>
      <c r="P98">
        <v>0.59299999999999997</v>
      </c>
      <c r="Q98">
        <v>0.86</v>
      </c>
      <c r="R98">
        <v>0.80400000000000005</v>
      </c>
      <c r="S98">
        <v>0.84599999999999997</v>
      </c>
      <c r="T98">
        <v>0.72099999999999997</v>
      </c>
      <c r="U98">
        <v>0.70399999999999996</v>
      </c>
      <c r="V98">
        <v>0.80800000000000005</v>
      </c>
      <c r="W98">
        <v>0.871</v>
      </c>
      <c r="X98">
        <v>0.95799999999999996</v>
      </c>
      <c r="Y98">
        <v>0.98299999999999998</v>
      </c>
      <c r="Z98">
        <v>0.995</v>
      </c>
      <c r="AA98">
        <v>0.93799999999999994</v>
      </c>
      <c r="AB98">
        <v>0.77</v>
      </c>
      <c r="AC98">
        <v>0.88900000000000001</v>
      </c>
      <c r="AD98">
        <v>0.96299999999999997</v>
      </c>
      <c r="AE98">
        <v>0.98899999999999999</v>
      </c>
      <c r="AF98">
        <v>0.97499999999999998</v>
      </c>
      <c r="AG98">
        <v>0.96199999999999997</v>
      </c>
      <c r="AH98">
        <v>0.93</v>
      </c>
      <c r="AI98">
        <v>0.85799999999999998</v>
      </c>
      <c r="AJ98">
        <v>0.76800000000000002</v>
      </c>
      <c r="AK98">
        <v>0.80100000000000005</v>
      </c>
      <c r="AL98">
        <v>0.81200000000000006</v>
      </c>
      <c r="AM98">
        <v>0.92200000000000004</v>
      </c>
      <c r="AN98">
        <v>0.93400000000000005</v>
      </c>
      <c r="AO98">
        <v>0.93600000000000005</v>
      </c>
      <c r="AP98">
        <v>0.77100000000000002</v>
      </c>
      <c r="AQ98">
        <v>0.78400000000000003</v>
      </c>
      <c r="AR98">
        <v>0.90100000000000002</v>
      </c>
      <c r="AS98">
        <v>0.93700000000000006</v>
      </c>
      <c r="AT98">
        <v>0.95799999999999996</v>
      </c>
      <c r="AU98">
        <v>0.999</v>
      </c>
      <c r="AV98">
        <v>0.93500000000000005</v>
      </c>
      <c r="AW98">
        <v>0.85</v>
      </c>
      <c r="AX98">
        <v>0.95599999999999996</v>
      </c>
      <c r="AY98">
        <v>0.90700000000000003</v>
      </c>
      <c r="AZ98">
        <v>0.92600000000000005</v>
      </c>
      <c r="BA98">
        <v>0.93799999999999994</v>
      </c>
      <c r="BB98">
        <v>0.80400000000000005</v>
      </c>
      <c r="BC98">
        <v>0.79600000000000004</v>
      </c>
      <c r="BD98">
        <v>0.86799999999999999</v>
      </c>
      <c r="BE98">
        <v>0.86799999999999999</v>
      </c>
      <c r="BF98">
        <v>0.84299999999999997</v>
      </c>
      <c r="BG98">
        <v>0.86599999999999999</v>
      </c>
      <c r="BH98">
        <v>0.77400000000000002</v>
      </c>
      <c r="BI98">
        <v>0.77600000000000002</v>
      </c>
      <c r="BJ98">
        <v>0.85199999999999998</v>
      </c>
      <c r="BK98">
        <v>0.73299999999999998</v>
      </c>
      <c r="BL98">
        <v>0.76900000000000002</v>
      </c>
    </row>
    <row r="99" spans="1:64" x14ac:dyDescent="0.25">
      <c r="A99">
        <v>0.84499999999999997</v>
      </c>
      <c r="B99">
        <v>0.90200000000000002</v>
      </c>
      <c r="C99">
        <v>0.94199999999999995</v>
      </c>
      <c r="D99">
        <v>0.88100000000000001</v>
      </c>
      <c r="E99">
        <v>0.93100000000000005</v>
      </c>
      <c r="F99">
        <v>0.95099999999999996</v>
      </c>
      <c r="G99">
        <v>0.878</v>
      </c>
      <c r="H99">
        <v>0.92</v>
      </c>
      <c r="I99">
        <v>0.92800000000000005</v>
      </c>
      <c r="J99">
        <v>0.75600000000000001</v>
      </c>
      <c r="K99">
        <v>0.82099999999999995</v>
      </c>
      <c r="L99">
        <v>0.93500000000000005</v>
      </c>
      <c r="M99">
        <v>0.88300000000000001</v>
      </c>
      <c r="N99">
        <v>0.97299999999999998</v>
      </c>
      <c r="O99">
        <v>0.84899999999999998</v>
      </c>
      <c r="P99">
        <v>0.64500000000000002</v>
      </c>
      <c r="Q99">
        <v>0.63300000000000001</v>
      </c>
      <c r="R99">
        <v>0.77900000000000003</v>
      </c>
      <c r="S99">
        <v>0.84799999999999998</v>
      </c>
      <c r="T99">
        <v>0.74399999999999999</v>
      </c>
      <c r="U99">
        <v>0.77300000000000002</v>
      </c>
      <c r="V99">
        <v>0.86799999999999999</v>
      </c>
      <c r="W99">
        <v>0.95399999999999996</v>
      </c>
      <c r="X99">
        <v>0.99099999999999999</v>
      </c>
      <c r="Y99">
        <v>0.99</v>
      </c>
      <c r="Z99">
        <v>0.99</v>
      </c>
      <c r="AA99">
        <v>0.9</v>
      </c>
      <c r="AB99">
        <v>0.83399999999999996</v>
      </c>
      <c r="AC99">
        <v>0.873</v>
      </c>
      <c r="AD99">
        <v>0.95199999999999996</v>
      </c>
      <c r="AE99">
        <v>0.95699999999999996</v>
      </c>
      <c r="AF99">
        <v>0.97899999999999998</v>
      </c>
      <c r="AG99">
        <v>0.97499999999999998</v>
      </c>
      <c r="AH99">
        <v>0.873</v>
      </c>
      <c r="AI99">
        <v>0.73599999999999999</v>
      </c>
      <c r="AJ99">
        <v>0.79600000000000004</v>
      </c>
      <c r="AK99">
        <v>0.93700000000000006</v>
      </c>
      <c r="AL99">
        <v>0.93200000000000005</v>
      </c>
      <c r="AM99">
        <v>0.99199999999999999</v>
      </c>
      <c r="AN99">
        <v>0.96799999999999997</v>
      </c>
      <c r="AO99">
        <v>0.90300000000000002</v>
      </c>
      <c r="AP99">
        <v>0.751</v>
      </c>
      <c r="AQ99">
        <v>0.80200000000000005</v>
      </c>
      <c r="AR99">
        <v>0.877</v>
      </c>
      <c r="AS99">
        <v>0.86699999999999999</v>
      </c>
      <c r="AT99">
        <v>0.94199999999999995</v>
      </c>
      <c r="AU99">
        <v>0.93300000000000005</v>
      </c>
      <c r="AV99">
        <v>0.78700000000000003</v>
      </c>
      <c r="AW99">
        <v>0.69699999999999995</v>
      </c>
      <c r="AX99">
        <v>0.748</v>
      </c>
      <c r="AY99">
        <v>0.76300000000000001</v>
      </c>
      <c r="AZ99">
        <v>0.76100000000000001</v>
      </c>
      <c r="BA99">
        <v>0.77600000000000002</v>
      </c>
      <c r="BB99">
        <v>0.86199999999999999</v>
      </c>
      <c r="BC99">
        <v>0.80700000000000005</v>
      </c>
      <c r="BD99">
        <v>0.73299999999999998</v>
      </c>
      <c r="BE99">
        <v>0.69399999999999995</v>
      </c>
      <c r="BF99">
        <v>0.68500000000000005</v>
      </c>
      <c r="BG99">
        <v>0.74299999999999999</v>
      </c>
      <c r="BH99">
        <v>0.73499999999999999</v>
      </c>
      <c r="BI99">
        <v>0.80200000000000005</v>
      </c>
      <c r="BJ99">
        <v>0.93100000000000005</v>
      </c>
      <c r="BK99">
        <v>0.73899999999999999</v>
      </c>
      <c r="BL99">
        <v>0.68600000000000005</v>
      </c>
    </row>
    <row r="100" spans="1:64" x14ac:dyDescent="0.25">
      <c r="A100">
        <v>0.752</v>
      </c>
      <c r="B100">
        <v>0.85299999999999998</v>
      </c>
      <c r="C100">
        <v>0.93200000000000005</v>
      </c>
      <c r="D100">
        <v>0.79700000000000004</v>
      </c>
      <c r="E100">
        <v>0.94399999999999995</v>
      </c>
      <c r="F100">
        <v>0.96299999999999997</v>
      </c>
      <c r="G100">
        <v>0.98299999999999998</v>
      </c>
      <c r="H100">
        <v>0.95699999999999996</v>
      </c>
      <c r="I100">
        <v>0.93700000000000006</v>
      </c>
      <c r="J100">
        <v>0.79400000000000004</v>
      </c>
      <c r="K100">
        <v>0.92800000000000005</v>
      </c>
      <c r="L100">
        <v>0.95099999999999996</v>
      </c>
      <c r="M100">
        <v>0.88100000000000001</v>
      </c>
      <c r="N100">
        <v>0.99399999999999999</v>
      </c>
      <c r="O100">
        <v>0.97699999999999998</v>
      </c>
      <c r="P100">
        <v>0.89600000000000002</v>
      </c>
      <c r="Q100">
        <v>0.81399999999999995</v>
      </c>
      <c r="R100">
        <v>0.83699999999999997</v>
      </c>
      <c r="S100">
        <v>0.86499999999999999</v>
      </c>
      <c r="T100">
        <v>0.84899999999999998</v>
      </c>
      <c r="U100">
        <v>0.84</v>
      </c>
      <c r="V100">
        <v>0.83599999999999997</v>
      </c>
      <c r="W100">
        <v>0.92600000000000005</v>
      </c>
      <c r="X100">
        <v>0.98599999999999999</v>
      </c>
      <c r="Y100">
        <v>0.999</v>
      </c>
      <c r="Z100">
        <v>0.94299999999999995</v>
      </c>
      <c r="AA100">
        <v>0.76200000000000001</v>
      </c>
      <c r="AB100">
        <v>0.83899999999999997</v>
      </c>
      <c r="AC100">
        <v>0.92800000000000005</v>
      </c>
      <c r="AD100">
        <v>0.90100000000000002</v>
      </c>
      <c r="AE100">
        <v>0.98299999999999998</v>
      </c>
      <c r="AF100">
        <v>0.95599999999999996</v>
      </c>
      <c r="AG100">
        <v>0.91800000000000004</v>
      </c>
      <c r="AH100">
        <v>0.78500000000000003</v>
      </c>
      <c r="AI100">
        <v>0.79</v>
      </c>
      <c r="AJ100">
        <v>0.91</v>
      </c>
      <c r="AK100">
        <v>0.94499999999999995</v>
      </c>
      <c r="AL100">
        <v>0.95799999999999996</v>
      </c>
      <c r="AM100">
        <v>0.98199999999999998</v>
      </c>
      <c r="AN100">
        <v>0.89900000000000002</v>
      </c>
      <c r="AO100">
        <v>0.73299999999999998</v>
      </c>
      <c r="AP100">
        <v>0.67800000000000005</v>
      </c>
      <c r="AQ100">
        <v>0.81499999999999995</v>
      </c>
      <c r="AR100">
        <v>0.90500000000000003</v>
      </c>
      <c r="AS100">
        <v>0.90900000000000003</v>
      </c>
      <c r="AT100">
        <v>0.87</v>
      </c>
      <c r="AU100">
        <v>0.75600000000000001</v>
      </c>
      <c r="AV100">
        <v>0.64800000000000002</v>
      </c>
      <c r="AW100">
        <v>0.623</v>
      </c>
      <c r="AX100">
        <v>0.65200000000000002</v>
      </c>
      <c r="AY100">
        <v>0.69399999999999995</v>
      </c>
      <c r="AZ100">
        <v>0.69699999999999995</v>
      </c>
      <c r="BA100">
        <v>0.71499999999999997</v>
      </c>
      <c r="BB100">
        <v>0.73499999999999999</v>
      </c>
      <c r="BC100">
        <v>0.66300000000000003</v>
      </c>
      <c r="BD100">
        <v>0.61299999999999999</v>
      </c>
      <c r="BE100">
        <v>0.68500000000000005</v>
      </c>
      <c r="BF100">
        <v>0.79</v>
      </c>
      <c r="BG100">
        <v>0.90900000000000003</v>
      </c>
      <c r="BH100">
        <v>0.874</v>
      </c>
      <c r="BI100">
        <v>0.88400000000000001</v>
      </c>
      <c r="BJ100">
        <v>0.86899999999999999</v>
      </c>
      <c r="BK100">
        <v>0.68</v>
      </c>
      <c r="BL100">
        <v>0.64800000000000002</v>
      </c>
    </row>
    <row r="101" spans="1:64" x14ac:dyDescent="0.25">
      <c r="A101">
        <v>0.748</v>
      </c>
      <c r="B101">
        <v>0.80700000000000005</v>
      </c>
      <c r="C101">
        <v>0.79400000000000004</v>
      </c>
      <c r="D101">
        <v>0.76400000000000001</v>
      </c>
      <c r="E101">
        <v>0.89400000000000002</v>
      </c>
      <c r="F101">
        <v>0.85299999999999998</v>
      </c>
      <c r="G101">
        <v>0.85599999999999998</v>
      </c>
      <c r="H101">
        <v>0.97399999999999998</v>
      </c>
      <c r="I101">
        <v>0.97499999999999998</v>
      </c>
      <c r="J101">
        <v>0.874</v>
      </c>
      <c r="K101">
        <v>0.91300000000000003</v>
      </c>
      <c r="L101">
        <v>0.94299999999999995</v>
      </c>
      <c r="M101">
        <v>0.90400000000000003</v>
      </c>
      <c r="N101">
        <v>1</v>
      </c>
      <c r="O101">
        <v>0.995</v>
      </c>
      <c r="P101">
        <v>0.95099999999999996</v>
      </c>
      <c r="Q101">
        <v>0.86</v>
      </c>
      <c r="R101">
        <v>0.78300000000000003</v>
      </c>
      <c r="S101">
        <v>0.82199999999999995</v>
      </c>
      <c r="T101">
        <v>0.91700000000000004</v>
      </c>
      <c r="U101">
        <v>0.88800000000000001</v>
      </c>
      <c r="V101">
        <v>0.9</v>
      </c>
      <c r="W101">
        <v>0.96</v>
      </c>
      <c r="X101">
        <v>0.92700000000000005</v>
      </c>
      <c r="Y101">
        <v>0.90300000000000002</v>
      </c>
      <c r="Z101">
        <v>0.81599999999999995</v>
      </c>
      <c r="AA101">
        <v>0.74299999999999999</v>
      </c>
      <c r="AB101">
        <v>0.88700000000000001</v>
      </c>
      <c r="AC101">
        <v>0.89800000000000002</v>
      </c>
      <c r="AD101">
        <v>0.98399999999999999</v>
      </c>
      <c r="AE101">
        <v>0.95499999999999996</v>
      </c>
      <c r="AF101">
        <v>0.99399999999999999</v>
      </c>
      <c r="AG101">
        <v>0.86599999999999999</v>
      </c>
      <c r="AH101">
        <v>0.75</v>
      </c>
      <c r="AI101">
        <v>0.85199999999999998</v>
      </c>
      <c r="AJ101">
        <v>0.92800000000000005</v>
      </c>
      <c r="AK101">
        <v>0.90600000000000003</v>
      </c>
      <c r="AL101">
        <v>0.88200000000000001</v>
      </c>
      <c r="AM101">
        <v>0.80900000000000005</v>
      </c>
      <c r="AN101">
        <v>0.68200000000000005</v>
      </c>
      <c r="AO101">
        <v>0.61399999999999999</v>
      </c>
      <c r="AP101">
        <v>0.70099999999999996</v>
      </c>
      <c r="AQ101">
        <v>0.84499999999999997</v>
      </c>
      <c r="AR101">
        <v>0.872</v>
      </c>
      <c r="AS101">
        <v>0.89400000000000002</v>
      </c>
      <c r="AT101">
        <v>0.88300000000000001</v>
      </c>
      <c r="AU101">
        <v>0.78800000000000003</v>
      </c>
      <c r="AV101">
        <v>0.72299999999999998</v>
      </c>
      <c r="AW101">
        <v>0.71599999999999997</v>
      </c>
      <c r="AX101">
        <v>0.70399999999999996</v>
      </c>
      <c r="AY101">
        <v>0.67600000000000005</v>
      </c>
      <c r="AZ101">
        <v>0.71199999999999997</v>
      </c>
      <c r="BA101">
        <v>0.80200000000000005</v>
      </c>
      <c r="BB101">
        <v>0.78800000000000003</v>
      </c>
      <c r="BC101">
        <v>0.71799999999999997</v>
      </c>
      <c r="BD101">
        <v>0.67800000000000005</v>
      </c>
      <c r="BE101">
        <v>0.80900000000000005</v>
      </c>
      <c r="BF101">
        <v>0.98499999999999999</v>
      </c>
      <c r="BG101">
        <v>0.94299999999999995</v>
      </c>
      <c r="BH101">
        <v>0.88700000000000001</v>
      </c>
      <c r="BI101">
        <v>0.86899999999999999</v>
      </c>
      <c r="BJ101">
        <v>0.72499999999999998</v>
      </c>
      <c r="BK101">
        <v>0.67700000000000005</v>
      </c>
      <c r="BL101">
        <v>0.79300000000000004</v>
      </c>
    </row>
    <row r="102" spans="1:64" x14ac:dyDescent="0.25">
      <c r="A102">
        <v>0.63900000000000001</v>
      </c>
      <c r="B102">
        <v>0.66400000000000003</v>
      </c>
      <c r="C102">
        <v>0.79600000000000004</v>
      </c>
      <c r="D102">
        <v>0.85199999999999998</v>
      </c>
      <c r="E102">
        <v>0.85099999999999998</v>
      </c>
      <c r="F102">
        <v>0.88600000000000001</v>
      </c>
      <c r="G102">
        <v>0.83199999999999996</v>
      </c>
      <c r="H102">
        <v>0.86699999999999999</v>
      </c>
      <c r="I102">
        <v>0.95399999999999996</v>
      </c>
      <c r="J102">
        <v>0.89300000000000002</v>
      </c>
      <c r="K102">
        <v>0.82399999999999995</v>
      </c>
      <c r="L102">
        <v>0.82699999999999996</v>
      </c>
      <c r="M102">
        <v>0.84599999999999997</v>
      </c>
      <c r="N102">
        <v>0.93500000000000005</v>
      </c>
      <c r="O102">
        <v>0.91400000000000003</v>
      </c>
      <c r="P102">
        <v>0.86599999999999999</v>
      </c>
      <c r="Q102">
        <v>0.82</v>
      </c>
      <c r="R102">
        <v>0.81899999999999995</v>
      </c>
      <c r="S102">
        <v>0.85699999999999998</v>
      </c>
      <c r="T102">
        <v>0.94399999999999995</v>
      </c>
      <c r="U102">
        <v>0.92900000000000005</v>
      </c>
      <c r="V102">
        <v>0.95599999999999996</v>
      </c>
      <c r="W102">
        <v>0.98899999999999999</v>
      </c>
      <c r="X102">
        <v>0.96299999999999997</v>
      </c>
      <c r="Y102">
        <v>0.96199999999999997</v>
      </c>
      <c r="Z102">
        <v>0.68200000000000005</v>
      </c>
      <c r="AA102">
        <v>0.70699999999999996</v>
      </c>
      <c r="AB102">
        <v>0.95</v>
      </c>
      <c r="AC102">
        <v>0.98199999999999998</v>
      </c>
      <c r="AD102">
        <v>0.96599999999999997</v>
      </c>
      <c r="AE102">
        <v>0.97799999999999998</v>
      </c>
      <c r="AF102">
        <v>0.95699999999999996</v>
      </c>
      <c r="AG102">
        <v>0.77700000000000002</v>
      </c>
      <c r="AH102">
        <v>0.745</v>
      </c>
      <c r="AI102">
        <v>0.90100000000000002</v>
      </c>
      <c r="AJ102">
        <v>0.94099999999999995</v>
      </c>
      <c r="AK102">
        <v>0.97099999999999997</v>
      </c>
      <c r="AL102">
        <v>0.92200000000000004</v>
      </c>
      <c r="AM102">
        <v>0.79</v>
      </c>
      <c r="AN102">
        <v>0.76500000000000001</v>
      </c>
      <c r="AO102">
        <v>0.79200000000000004</v>
      </c>
      <c r="AP102">
        <v>0.88200000000000001</v>
      </c>
      <c r="AQ102">
        <v>0.91600000000000004</v>
      </c>
      <c r="AR102">
        <v>0.89100000000000001</v>
      </c>
      <c r="AS102">
        <v>0.91</v>
      </c>
      <c r="AT102">
        <v>0.92500000000000004</v>
      </c>
      <c r="AU102">
        <v>0.81399999999999995</v>
      </c>
      <c r="AV102">
        <v>0.749</v>
      </c>
      <c r="AW102">
        <v>0.745</v>
      </c>
      <c r="AX102">
        <v>0.77200000000000002</v>
      </c>
      <c r="AY102">
        <v>0.84699999999999998</v>
      </c>
      <c r="AZ102">
        <v>0.875</v>
      </c>
      <c r="BA102">
        <v>0.86799999999999999</v>
      </c>
      <c r="BB102">
        <v>0.84699999999999998</v>
      </c>
      <c r="BC102">
        <v>0.77400000000000002</v>
      </c>
      <c r="BD102">
        <v>0.70699999999999996</v>
      </c>
      <c r="BE102">
        <v>0.85199999999999998</v>
      </c>
      <c r="BF102">
        <v>0.92200000000000004</v>
      </c>
      <c r="BG102">
        <v>0.95599999999999996</v>
      </c>
      <c r="BH102">
        <v>0.86499999999999999</v>
      </c>
      <c r="BI102">
        <v>0.76100000000000001</v>
      </c>
      <c r="BJ102">
        <v>0.64500000000000002</v>
      </c>
      <c r="BK102">
        <v>0.72399999999999998</v>
      </c>
      <c r="BL102">
        <v>0.82199999999999995</v>
      </c>
    </row>
    <row r="103" spans="1:64" x14ac:dyDescent="0.25">
      <c r="A103">
        <v>0.69799999999999995</v>
      </c>
      <c r="B103">
        <v>0.80300000000000005</v>
      </c>
      <c r="C103">
        <v>0.91600000000000004</v>
      </c>
      <c r="D103">
        <v>0.86499999999999999</v>
      </c>
      <c r="E103">
        <v>0.79200000000000004</v>
      </c>
      <c r="F103">
        <v>0.879</v>
      </c>
      <c r="G103">
        <v>0.75600000000000001</v>
      </c>
      <c r="H103">
        <v>0.80100000000000005</v>
      </c>
      <c r="I103">
        <v>0.94699999999999995</v>
      </c>
      <c r="J103">
        <v>0.92600000000000005</v>
      </c>
      <c r="K103">
        <v>0.78900000000000003</v>
      </c>
      <c r="L103">
        <v>0.69899999999999995</v>
      </c>
      <c r="M103">
        <v>0.72</v>
      </c>
      <c r="N103">
        <v>0.78600000000000003</v>
      </c>
      <c r="O103">
        <v>0.82499999999999996</v>
      </c>
      <c r="P103">
        <v>0.82599999999999996</v>
      </c>
      <c r="Q103">
        <v>0.88100000000000001</v>
      </c>
      <c r="R103">
        <v>0.91900000000000004</v>
      </c>
      <c r="S103">
        <v>0.90300000000000002</v>
      </c>
      <c r="T103">
        <v>0.95099999999999996</v>
      </c>
      <c r="U103">
        <v>0.94699999999999995</v>
      </c>
      <c r="V103">
        <v>0.88400000000000001</v>
      </c>
      <c r="W103">
        <v>0.90700000000000003</v>
      </c>
      <c r="X103">
        <v>0.99399999999999999</v>
      </c>
      <c r="Y103">
        <v>0.92700000000000005</v>
      </c>
      <c r="Z103">
        <v>0.74199999999999999</v>
      </c>
      <c r="AA103">
        <v>0.70799999999999996</v>
      </c>
      <c r="AB103">
        <v>0.88500000000000001</v>
      </c>
      <c r="AC103">
        <v>0.99199999999999999</v>
      </c>
      <c r="AD103">
        <v>0.96399999999999997</v>
      </c>
      <c r="AE103">
        <v>0.90800000000000003</v>
      </c>
      <c r="AF103">
        <v>0.78200000000000003</v>
      </c>
      <c r="AG103">
        <v>0.66800000000000004</v>
      </c>
      <c r="AH103">
        <v>0.77500000000000002</v>
      </c>
      <c r="AI103">
        <v>0.93400000000000005</v>
      </c>
      <c r="AJ103">
        <v>0.98499999999999999</v>
      </c>
      <c r="AK103">
        <v>0.96899999999999997</v>
      </c>
      <c r="AL103">
        <v>0.871</v>
      </c>
      <c r="AM103">
        <v>0.78100000000000003</v>
      </c>
      <c r="AN103">
        <v>0.82599999999999996</v>
      </c>
      <c r="AO103">
        <v>0.873</v>
      </c>
      <c r="AP103">
        <v>0.93799999999999994</v>
      </c>
      <c r="AQ103">
        <v>0.97499999999999998</v>
      </c>
      <c r="AR103">
        <v>0.94099999999999995</v>
      </c>
      <c r="AS103">
        <v>0.88600000000000001</v>
      </c>
      <c r="AT103">
        <v>0.73199999999999998</v>
      </c>
      <c r="AU103">
        <v>0.629</v>
      </c>
      <c r="AV103">
        <v>0.75700000000000001</v>
      </c>
      <c r="AW103">
        <v>0.81799999999999995</v>
      </c>
      <c r="AX103">
        <v>0.74399999999999999</v>
      </c>
      <c r="AY103">
        <v>0.90400000000000003</v>
      </c>
      <c r="AZ103">
        <v>0.88600000000000001</v>
      </c>
      <c r="BA103">
        <v>0.84399999999999997</v>
      </c>
      <c r="BB103">
        <v>0.86</v>
      </c>
      <c r="BC103">
        <v>0.76500000000000001</v>
      </c>
      <c r="BD103">
        <v>0.74</v>
      </c>
      <c r="BE103">
        <v>0.90200000000000002</v>
      </c>
      <c r="BF103">
        <v>0.92700000000000005</v>
      </c>
      <c r="BG103">
        <v>0.94199999999999995</v>
      </c>
      <c r="BH103">
        <v>0.76200000000000001</v>
      </c>
      <c r="BI103">
        <v>0.61299999999999999</v>
      </c>
      <c r="BJ103">
        <v>0.58899999999999997</v>
      </c>
      <c r="BK103">
        <v>0.64700000000000002</v>
      </c>
      <c r="BL103">
        <v>0.64800000000000002</v>
      </c>
    </row>
    <row r="104" spans="1:64" x14ac:dyDescent="0.25">
      <c r="A104">
        <v>0.90900000000000003</v>
      </c>
      <c r="B104">
        <v>0.92200000000000004</v>
      </c>
      <c r="C104">
        <v>0.82799999999999996</v>
      </c>
      <c r="D104">
        <v>0.73799999999999999</v>
      </c>
      <c r="E104">
        <v>0.80600000000000005</v>
      </c>
      <c r="F104">
        <v>0.93</v>
      </c>
      <c r="G104">
        <v>0.78200000000000003</v>
      </c>
      <c r="H104">
        <v>0.73</v>
      </c>
      <c r="I104">
        <v>0.86699999999999999</v>
      </c>
      <c r="J104">
        <v>0.93600000000000005</v>
      </c>
      <c r="K104">
        <v>0.93899999999999995</v>
      </c>
      <c r="L104">
        <v>0.81899999999999995</v>
      </c>
      <c r="M104">
        <v>0.84399999999999997</v>
      </c>
      <c r="N104">
        <v>0.875</v>
      </c>
      <c r="O104">
        <v>0.88900000000000001</v>
      </c>
      <c r="P104">
        <v>0.93300000000000005</v>
      </c>
      <c r="Q104">
        <v>0.97199999999999998</v>
      </c>
      <c r="R104">
        <v>0.96399999999999997</v>
      </c>
      <c r="S104">
        <v>0.91700000000000004</v>
      </c>
      <c r="T104">
        <v>0.82299999999999995</v>
      </c>
      <c r="U104">
        <v>0.98199999999999998</v>
      </c>
      <c r="V104">
        <v>0.94</v>
      </c>
      <c r="W104">
        <v>0.97599999999999998</v>
      </c>
      <c r="X104">
        <v>0.93899999999999995</v>
      </c>
      <c r="Y104">
        <v>0.88900000000000001</v>
      </c>
      <c r="Z104">
        <v>0.88900000000000001</v>
      </c>
      <c r="AA104">
        <v>0.77200000000000002</v>
      </c>
      <c r="AB104">
        <v>0.79300000000000004</v>
      </c>
      <c r="AC104">
        <v>0.95099999999999996</v>
      </c>
      <c r="AD104">
        <v>0.92100000000000004</v>
      </c>
      <c r="AE104">
        <v>0.82199999999999995</v>
      </c>
      <c r="AF104">
        <v>0.753</v>
      </c>
      <c r="AG104">
        <v>0.76700000000000002</v>
      </c>
      <c r="AH104">
        <v>0.85699999999999998</v>
      </c>
      <c r="AI104">
        <v>0.92</v>
      </c>
      <c r="AJ104">
        <v>0.96599999999999997</v>
      </c>
      <c r="AK104">
        <v>0.97799999999999998</v>
      </c>
      <c r="AL104">
        <v>0.77700000000000002</v>
      </c>
      <c r="AM104">
        <v>0.80600000000000005</v>
      </c>
      <c r="AN104">
        <v>0.93100000000000005</v>
      </c>
      <c r="AO104">
        <v>0.93300000000000005</v>
      </c>
      <c r="AP104">
        <v>0.98199999999999998</v>
      </c>
      <c r="AQ104">
        <v>0.99299999999999999</v>
      </c>
      <c r="AR104">
        <v>0.91700000000000004</v>
      </c>
      <c r="AS104">
        <v>0.80900000000000005</v>
      </c>
      <c r="AT104">
        <v>0.71899999999999997</v>
      </c>
      <c r="AU104">
        <v>0.73899999999999999</v>
      </c>
      <c r="AV104">
        <v>0.84399999999999997</v>
      </c>
      <c r="AW104">
        <v>0.81599999999999995</v>
      </c>
      <c r="AX104">
        <v>0.748</v>
      </c>
      <c r="AY104">
        <v>0.89700000000000002</v>
      </c>
      <c r="AZ104">
        <v>0.82199999999999995</v>
      </c>
      <c r="BA104">
        <v>0.89</v>
      </c>
      <c r="BB104">
        <v>0.92700000000000005</v>
      </c>
      <c r="BC104">
        <v>0.872</v>
      </c>
      <c r="BD104">
        <v>0.85299999999999998</v>
      </c>
      <c r="BE104">
        <v>0.99099999999999999</v>
      </c>
      <c r="BF104">
        <v>0.98599999999999999</v>
      </c>
      <c r="BG104">
        <v>0.86</v>
      </c>
      <c r="BH104">
        <v>0.66</v>
      </c>
      <c r="BI104">
        <v>0.58499999999999996</v>
      </c>
      <c r="BJ104">
        <v>0.60699999999999998</v>
      </c>
      <c r="BK104">
        <v>0.65800000000000003</v>
      </c>
      <c r="BL104">
        <v>0.63600000000000001</v>
      </c>
    </row>
    <row r="105" spans="1:64" x14ac:dyDescent="0.25">
      <c r="A105">
        <v>0.86199999999999999</v>
      </c>
      <c r="B105">
        <v>0.82599999999999996</v>
      </c>
      <c r="C105">
        <v>0.68799999999999994</v>
      </c>
      <c r="D105">
        <v>0.66600000000000004</v>
      </c>
      <c r="E105">
        <v>0.83599999999999997</v>
      </c>
      <c r="F105">
        <v>0.98699999999999999</v>
      </c>
      <c r="G105">
        <v>0.93100000000000005</v>
      </c>
      <c r="H105">
        <v>0.82099999999999995</v>
      </c>
      <c r="I105">
        <v>0.85399999999999998</v>
      </c>
      <c r="J105">
        <v>0.90800000000000003</v>
      </c>
      <c r="K105">
        <v>0.97099999999999997</v>
      </c>
      <c r="L105">
        <v>0.93</v>
      </c>
      <c r="M105">
        <v>0.85699999999999998</v>
      </c>
      <c r="N105">
        <v>0.80200000000000005</v>
      </c>
      <c r="O105">
        <v>0.88200000000000001</v>
      </c>
      <c r="P105">
        <v>0.97</v>
      </c>
      <c r="Q105">
        <v>0.91600000000000004</v>
      </c>
      <c r="R105">
        <v>0.94</v>
      </c>
      <c r="S105">
        <v>0.84</v>
      </c>
      <c r="T105">
        <v>0.79200000000000004</v>
      </c>
      <c r="U105">
        <v>0.996</v>
      </c>
      <c r="V105">
        <v>0.81399999999999995</v>
      </c>
      <c r="W105">
        <v>0.80500000000000005</v>
      </c>
      <c r="X105">
        <v>0.74</v>
      </c>
      <c r="Y105">
        <v>0.78</v>
      </c>
      <c r="Z105">
        <v>0.83799999999999997</v>
      </c>
      <c r="AA105">
        <v>0.76400000000000001</v>
      </c>
      <c r="AB105">
        <v>0.86399999999999999</v>
      </c>
      <c r="AC105">
        <v>0.90800000000000003</v>
      </c>
      <c r="AD105">
        <v>0.83799999999999997</v>
      </c>
      <c r="AE105">
        <v>0.746</v>
      </c>
      <c r="AF105">
        <v>0.69799999999999995</v>
      </c>
      <c r="AG105">
        <v>0.749</v>
      </c>
      <c r="AH105">
        <v>0.83799999999999997</v>
      </c>
      <c r="AI105">
        <v>0.92300000000000004</v>
      </c>
      <c r="AJ105">
        <v>0.872</v>
      </c>
      <c r="AK105">
        <v>0.98599999999999999</v>
      </c>
      <c r="AL105">
        <v>0.81399999999999995</v>
      </c>
      <c r="AM105">
        <v>0.80700000000000005</v>
      </c>
      <c r="AN105">
        <v>0.84699999999999998</v>
      </c>
      <c r="AO105">
        <v>0.83599999999999997</v>
      </c>
      <c r="AP105">
        <v>0.85799999999999998</v>
      </c>
      <c r="AQ105">
        <v>0.95299999999999996</v>
      </c>
      <c r="AR105">
        <v>0.872</v>
      </c>
      <c r="AS105">
        <v>0.76100000000000001</v>
      </c>
      <c r="AT105">
        <v>0.79300000000000004</v>
      </c>
      <c r="AU105">
        <v>0.88700000000000001</v>
      </c>
      <c r="AV105">
        <v>0.92300000000000004</v>
      </c>
      <c r="AW105">
        <v>0.8</v>
      </c>
      <c r="AX105">
        <v>0.80500000000000005</v>
      </c>
      <c r="AY105">
        <v>0.90300000000000002</v>
      </c>
      <c r="AZ105">
        <v>0.86399999999999999</v>
      </c>
      <c r="BA105">
        <v>0.99399999999999999</v>
      </c>
      <c r="BB105">
        <v>0.96899999999999997</v>
      </c>
      <c r="BC105">
        <v>0.94899999999999995</v>
      </c>
      <c r="BD105">
        <v>0.88100000000000001</v>
      </c>
      <c r="BE105">
        <v>0.95599999999999996</v>
      </c>
      <c r="BF105">
        <v>0.94399999999999995</v>
      </c>
      <c r="BG105">
        <v>0.746</v>
      </c>
      <c r="BH105">
        <v>0.70799999999999996</v>
      </c>
      <c r="BI105">
        <v>0.65700000000000003</v>
      </c>
      <c r="BJ105">
        <v>0.63700000000000001</v>
      </c>
      <c r="BK105">
        <v>0.63300000000000001</v>
      </c>
      <c r="BL105">
        <v>0.55600000000000005</v>
      </c>
    </row>
    <row r="106" spans="1:64" x14ac:dyDescent="0.25">
      <c r="A106">
        <v>0.78900000000000003</v>
      </c>
      <c r="B106">
        <v>0.81499999999999995</v>
      </c>
      <c r="C106">
        <v>0.77400000000000002</v>
      </c>
      <c r="D106">
        <v>0.80300000000000005</v>
      </c>
      <c r="E106">
        <v>0.94499999999999995</v>
      </c>
      <c r="F106">
        <v>0.90800000000000003</v>
      </c>
      <c r="G106">
        <v>0.89</v>
      </c>
      <c r="H106">
        <v>0.85299999999999998</v>
      </c>
      <c r="I106">
        <v>0.93799999999999994</v>
      </c>
      <c r="J106">
        <v>0.90900000000000003</v>
      </c>
      <c r="K106">
        <v>0.86199999999999999</v>
      </c>
      <c r="L106">
        <v>0.877</v>
      </c>
      <c r="M106">
        <v>0.81699999999999995</v>
      </c>
      <c r="N106">
        <v>0.80800000000000005</v>
      </c>
      <c r="O106">
        <v>0.88500000000000001</v>
      </c>
      <c r="P106">
        <v>0.88300000000000001</v>
      </c>
      <c r="Q106">
        <v>0.874</v>
      </c>
      <c r="R106">
        <v>0.97399999999999998</v>
      </c>
      <c r="S106">
        <v>0.83499999999999996</v>
      </c>
      <c r="T106">
        <v>0.83699999999999997</v>
      </c>
      <c r="U106">
        <v>0.93500000000000005</v>
      </c>
      <c r="V106">
        <v>0.754</v>
      </c>
      <c r="W106">
        <v>0.79600000000000004</v>
      </c>
      <c r="X106">
        <v>0.75700000000000001</v>
      </c>
      <c r="Y106">
        <v>0.749</v>
      </c>
      <c r="Z106">
        <v>0.73</v>
      </c>
      <c r="AA106">
        <v>0.747</v>
      </c>
      <c r="AB106">
        <v>0.91800000000000004</v>
      </c>
      <c r="AC106">
        <v>0.90700000000000003</v>
      </c>
      <c r="AD106">
        <v>0.66700000000000004</v>
      </c>
      <c r="AE106">
        <v>0.72599999999999998</v>
      </c>
      <c r="AF106">
        <v>0.75600000000000001</v>
      </c>
      <c r="AG106">
        <v>0.81899999999999995</v>
      </c>
      <c r="AH106">
        <v>0.88900000000000001</v>
      </c>
      <c r="AI106">
        <v>0.93700000000000006</v>
      </c>
      <c r="AJ106">
        <v>0.84299999999999997</v>
      </c>
      <c r="AK106">
        <v>0.94099999999999995</v>
      </c>
      <c r="AL106">
        <v>0.91300000000000003</v>
      </c>
      <c r="AM106">
        <v>0.88500000000000001</v>
      </c>
      <c r="AN106">
        <v>0.92400000000000004</v>
      </c>
      <c r="AO106">
        <v>0.95699999999999996</v>
      </c>
      <c r="AP106">
        <v>0.91</v>
      </c>
      <c r="AQ106">
        <v>0.89400000000000002</v>
      </c>
      <c r="AR106">
        <v>0.80800000000000005</v>
      </c>
      <c r="AS106">
        <v>0.76900000000000002</v>
      </c>
      <c r="AT106">
        <v>0.82599999999999996</v>
      </c>
      <c r="AU106">
        <v>0.82499999999999996</v>
      </c>
      <c r="AV106">
        <v>0.80500000000000005</v>
      </c>
      <c r="AW106">
        <v>0.80500000000000005</v>
      </c>
      <c r="AX106">
        <v>0.876</v>
      </c>
      <c r="AY106">
        <v>0.95299999999999996</v>
      </c>
      <c r="AZ106">
        <v>0.91400000000000003</v>
      </c>
      <c r="BA106">
        <v>0.99</v>
      </c>
      <c r="BB106">
        <v>0.96299999999999997</v>
      </c>
      <c r="BC106">
        <v>0.875</v>
      </c>
      <c r="BD106">
        <v>0.86299999999999999</v>
      </c>
      <c r="BE106">
        <v>0.86599999999999999</v>
      </c>
      <c r="BF106">
        <v>0.76100000000000001</v>
      </c>
      <c r="BG106">
        <v>0.68700000000000006</v>
      </c>
      <c r="BH106">
        <v>0.73099999999999998</v>
      </c>
      <c r="BI106">
        <v>0.65400000000000003</v>
      </c>
      <c r="BJ106">
        <v>0.57099999999999995</v>
      </c>
      <c r="BK106">
        <v>0.5</v>
      </c>
      <c r="BL106">
        <v>0.45600000000000002</v>
      </c>
    </row>
    <row r="107" spans="1:64" x14ac:dyDescent="0.25">
      <c r="A107">
        <v>0.82099999999999995</v>
      </c>
      <c r="B107">
        <v>0.84599999999999997</v>
      </c>
      <c r="C107">
        <v>0.84599999999999997</v>
      </c>
      <c r="D107">
        <v>0.84499999999999997</v>
      </c>
      <c r="E107">
        <v>0.93500000000000005</v>
      </c>
      <c r="F107">
        <v>0.80600000000000005</v>
      </c>
      <c r="G107">
        <v>0.7</v>
      </c>
      <c r="H107">
        <v>0.68400000000000005</v>
      </c>
      <c r="I107">
        <v>0.85599999999999998</v>
      </c>
      <c r="J107">
        <v>0.82699999999999996</v>
      </c>
      <c r="K107">
        <v>0.69699999999999995</v>
      </c>
      <c r="L107">
        <v>0.68</v>
      </c>
      <c r="M107">
        <v>0.79</v>
      </c>
      <c r="N107">
        <v>0.79400000000000004</v>
      </c>
      <c r="O107">
        <v>0.83799999999999997</v>
      </c>
      <c r="P107">
        <v>0.86699999999999999</v>
      </c>
      <c r="Q107">
        <v>0.85</v>
      </c>
      <c r="R107">
        <v>0.88900000000000001</v>
      </c>
      <c r="S107">
        <v>0.82899999999999996</v>
      </c>
      <c r="T107">
        <v>0.872</v>
      </c>
      <c r="U107">
        <v>0.91500000000000004</v>
      </c>
      <c r="V107">
        <v>0.75700000000000001</v>
      </c>
      <c r="W107">
        <v>0.745</v>
      </c>
      <c r="X107">
        <v>0.69699999999999995</v>
      </c>
      <c r="Y107">
        <v>0.88</v>
      </c>
      <c r="Z107">
        <v>0.873</v>
      </c>
      <c r="AA107">
        <v>0.875</v>
      </c>
      <c r="AB107">
        <v>0.88500000000000001</v>
      </c>
      <c r="AC107">
        <v>0.83299999999999996</v>
      </c>
      <c r="AD107">
        <v>0.68300000000000005</v>
      </c>
      <c r="AE107">
        <v>0.69899999999999995</v>
      </c>
      <c r="AF107">
        <v>0.86899999999999999</v>
      </c>
      <c r="AG107">
        <v>0.94899999999999995</v>
      </c>
      <c r="AH107">
        <v>0.97299999999999998</v>
      </c>
      <c r="AI107">
        <v>0.98699999999999999</v>
      </c>
      <c r="AJ107">
        <v>0.90600000000000003</v>
      </c>
      <c r="AK107">
        <v>0.83599999999999997</v>
      </c>
      <c r="AL107">
        <v>0.85299999999999998</v>
      </c>
      <c r="AM107">
        <v>0.77600000000000002</v>
      </c>
      <c r="AN107">
        <v>0.71399999999999997</v>
      </c>
      <c r="AO107">
        <v>0.67600000000000005</v>
      </c>
      <c r="AP107">
        <v>0.66500000000000004</v>
      </c>
      <c r="AQ107">
        <v>0.63900000000000001</v>
      </c>
      <c r="AR107">
        <v>0.65800000000000003</v>
      </c>
      <c r="AS107">
        <v>0.746</v>
      </c>
      <c r="AT107">
        <v>0.72399999999999998</v>
      </c>
      <c r="AU107">
        <v>0.71499999999999997</v>
      </c>
      <c r="AV107">
        <v>0.75800000000000001</v>
      </c>
      <c r="AW107">
        <v>0.78200000000000003</v>
      </c>
      <c r="AX107">
        <v>0.88200000000000001</v>
      </c>
      <c r="AY107">
        <v>0.93200000000000005</v>
      </c>
      <c r="AZ107">
        <v>0.90500000000000003</v>
      </c>
      <c r="BA107">
        <v>0.94899999999999995</v>
      </c>
      <c r="BB107">
        <v>0.95799999999999996</v>
      </c>
      <c r="BC107">
        <v>0.94599999999999995</v>
      </c>
      <c r="BD107">
        <v>0.92600000000000005</v>
      </c>
      <c r="BE107">
        <v>0.80100000000000005</v>
      </c>
      <c r="BF107">
        <v>0.64100000000000001</v>
      </c>
      <c r="BG107">
        <v>0.6</v>
      </c>
      <c r="BH107">
        <v>0.58399999999999996</v>
      </c>
      <c r="BI107">
        <v>0.53900000000000003</v>
      </c>
      <c r="BJ107">
        <v>0.50600000000000001</v>
      </c>
      <c r="BK107">
        <v>0.43099999999999999</v>
      </c>
      <c r="BL107">
        <v>0.439</v>
      </c>
    </row>
    <row r="108" spans="1:64" x14ac:dyDescent="0.25">
      <c r="A108">
        <v>0.69399999999999995</v>
      </c>
      <c r="B108">
        <v>0.69099999999999995</v>
      </c>
      <c r="C108">
        <v>0.68300000000000005</v>
      </c>
      <c r="D108">
        <v>0.69199999999999995</v>
      </c>
      <c r="E108">
        <v>0.75900000000000001</v>
      </c>
      <c r="F108">
        <v>0.81599999999999995</v>
      </c>
      <c r="G108">
        <v>0.81399999999999995</v>
      </c>
      <c r="H108">
        <v>0.66700000000000004</v>
      </c>
      <c r="I108">
        <v>0.75800000000000001</v>
      </c>
      <c r="J108">
        <v>0.83099999999999996</v>
      </c>
      <c r="K108">
        <v>0.84599999999999997</v>
      </c>
      <c r="L108">
        <v>0.83199999999999996</v>
      </c>
      <c r="M108">
        <v>0.85499999999999998</v>
      </c>
      <c r="N108">
        <v>0.78500000000000003</v>
      </c>
      <c r="O108">
        <v>0.77500000000000002</v>
      </c>
      <c r="P108">
        <v>0.78400000000000003</v>
      </c>
      <c r="Q108">
        <v>0.84099999999999997</v>
      </c>
      <c r="R108">
        <v>0.878</v>
      </c>
      <c r="S108">
        <v>0.84699999999999998</v>
      </c>
      <c r="T108">
        <v>0.89400000000000002</v>
      </c>
      <c r="U108">
        <v>0.85</v>
      </c>
      <c r="V108">
        <v>0.77400000000000002</v>
      </c>
      <c r="W108">
        <v>0.73099999999999998</v>
      </c>
      <c r="X108">
        <v>0.68200000000000005</v>
      </c>
      <c r="Y108">
        <v>0.93600000000000005</v>
      </c>
      <c r="Z108">
        <v>0.93100000000000005</v>
      </c>
      <c r="AA108">
        <v>0.92500000000000004</v>
      </c>
      <c r="AB108">
        <v>0.95199999999999996</v>
      </c>
      <c r="AC108">
        <v>0.92900000000000005</v>
      </c>
      <c r="AD108">
        <v>0.81799999999999995</v>
      </c>
      <c r="AE108">
        <v>0.69899999999999995</v>
      </c>
      <c r="AF108">
        <v>0.85599999999999998</v>
      </c>
      <c r="AG108">
        <v>0.97499999999999998</v>
      </c>
      <c r="AH108">
        <v>0.95299999999999996</v>
      </c>
      <c r="AI108">
        <v>0.96899999999999997</v>
      </c>
      <c r="AJ108">
        <v>0.96199999999999997</v>
      </c>
      <c r="AK108">
        <v>0.871</v>
      </c>
      <c r="AL108">
        <v>0.79100000000000004</v>
      </c>
      <c r="AM108">
        <v>0.76300000000000001</v>
      </c>
      <c r="AN108">
        <v>0.63900000000000001</v>
      </c>
      <c r="AO108">
        <v>0.64700000000000002</v>
      </c>
      <c r="AP108">
        <v>0.65</v>
      </c>
      <c r="AQ108">
        <v>0.64900000000000002</v>
      </c>
      <c r="AR108">
        <v>0.69399999999999995</v>
      </c>
      <c r="AS108">
        <v>0.72</v>
      </c>
      <c r="AT108">
        <v>0.68700000000000006</v>
      </c>
      <c r="AU108">
        <v>0.78500000000000003</v>
      </c>
      <c r="AV108">
        <v>0.82699999999999996</v>
      </c>
      <c r="AW108">
        <v>0.80900000000000005</v>
      </c>
      <c r="AX108">
        <v>0.88800000000000001</v>
      </c>
      <c r="AY108">
        <v>0.85799999999999998</v>
      </c>
      <c r="AZ108">
        <v>0.86499999999999999</v>
      </c>
      <c r="BA108">
        <v>0.95299999999999996</v>
      </c>
      <c r="BB108">
        <v>0.98899999999999999</v>
      </c>
      <c r="BC108">
        <v>0.96399999999999997</v>
      </c>
      <c r="BD108">
        <v>0.85</v>
      </c>
      <c r="BE108">
        <v>0.70299999999999996</v>
      </c>
      <c r="BF108">
        <v>0.57899999999999996</v>
      </c>
      <c r="BG108">
        <v>0.54600000000000004</v>
      </c>
      <c r="BH108">
        <v>0.49399999999999999</v>
      </c>
      <c r="BI108">
        <v>0.48899999999999999</v>
      </c>
      <c r="BJ108">
        <v>0.48099999999999998</v>
      </c>
      <c r="BK108">
        <v>0.41699999999999998</v>
      </c>
      <c r="BL108">
        <v>0.47399999999999998</v>
      </c>
    </row>
    <row r="109" spans="1:64" x14ac:dyDescent="0.25">
      <c r="A109">
        <v>0.69399999999999995</v>
      </c>
      <c r="B109">
        <v>0.68300000000000005</v>
      </c>
      <c r="C109">
        <v>0.66</v>
      </c>
      <c r="D109">
        <v>0.66</v>
      </c>
      <c r="E109">
        <v>0.68500000000000005</v>
      </c>
      <c r="F109">
        <v>0.755</v>
      </c>
      <c r="G109">
        <v>0.81599999999999995</v>
      </c>
      <c r="H109">
        <v>0.746</v>
      </c>
      <c r="I109">
        <v>0.752</v>
      </c>
      <c r="J109">
        <v>0.78800000000000003</v>
      </c>
      <c r="K109">
        <v>0.82799999999999996</v>
      </c>
      <c r="L109">
        <v>0.86199999999999999</v>
      </c>
      <c r="M109">
        <v>0.88300000000000001</v>
      </c>
      <c r="N109">
        <v>0.9</v>
      </c>
      <c r="O109">
        <v>0.83799999999999997</v>
      </c>
      <c r="P109">
        <v>0.72499999999999998</v>
      </c>
      <c r="Q109">
        <v>0.747</v>
      </c>
      <c r="R109">
        <v>0.89800000000000002</v>
      </c>
      <c r="S109">
        <v>0.89500000000000002</v>
      </c>
      <c r="T109">
        <v>0.89600000000000002</v>
      </c>
      <c r="U109">
        <v>0.76100000000000001</v>
      </c>
      <c r="V109">
        <v>0.72299999999999998</v>
      </c>
      <c r="W109">
        <v>0.72799999999999998</v>
      </c>
      <c r="X109">
        <v>0.78800000000000003</v>
      </c>
      <c r="Y109">
        <v>0.96299999999999997</v>
      </c>
      <c r="Z109">
        <v>0.92600000000000005</v>
      </c>
      <c r="AA109">
        <v>0.90700000000000003</v>
      </c>
      <c r="AB109">
        <v>0.95399999999999996</v>
      </c>
      <c r="AC109">
        <v>0.97899999999999998</v>
      </c>
      <c r="AD109">
        <v>0.89100000000000001</v>
      </c>
      <c r="AE109">
        <v>0.69</v>
      </c>
      <c r="AF109">
        <v>0.73599999999999999</v>
      </c>
      <c r="AG109">
        <v>0.95299999999999996</v>
      </c>
      <c r="AH109">
        <v>0.99099999999999999</v>
      </c>
      <c r="AI109">
        <v>0.999</v>
      </c>
      <c r="AJ109">
        <v>0.95899999999999996</v>
      </c>
      <c r="AK109">
        <v>0.91400000000000003</v>
      </c>
      <c r="AL109">
        <v>0.89800000000000002</v>
      </c>
      <c r="AM109">
        <v>0.79900000000000004</v>
      </c>
      <c r="AN109">
        <v>0.59399999999999997</v>
      </c>
      <c r="AO109">
        <v>0.69699999999999995</v>
      </c>
      <c r="AP109">
        <v>0.83499999999999996</v>
      </c>
      <c r="AQ109">
        <v>0.90900000000000003</v>
      </c>
      <c r="AR109">
        <v>0.94199999999999995</v>
      </c>
      <c r="AS109">
        <v>0.88700000000000001</v>
      </c>
      <c r="AT109">
        <v>0.81100000000000005</v>
      </c>
      <c r="AU109">
        <v>0.86599999999999999</v>
      </c>
      <c r="AV109">
        <v>0.77900000000000003</v>
      </c>
      <c r="AW109">
        <v>0.83099999999999996</v>
      </c>
      <c r="AX109">
        <v>0.92300000000000004</v>
      </c>
      <c r="AY109">
        <v>0.89</v>
      </c>
      <c r="AZ109">
        <v>0.94599999999999995</v>
      </c>
      <c r="BA109">
        <v>0.995</v>
      </c>
      <c r="BB109">
        <v>0.93400000000000005</v>
      </c>
      <c r="BC109">
        <v>0.77100000000000002</v>
      </c>
      <c r="BD109">
        <v>0.63300000000000001</v>
      </c>
      <c r="BE109">
        <v>0.58899999999999997</v>
      </c>
      <c r="BF109">
        <v>0.58199999999999996</v>
      </c>
      <c r="BG109">
        <v>0.54</v>
      </c>
      <c r="BH109">
        <v>0.48499999999999999</v>
      </c>
      <c r="BI109">
        <v>0.51</v>
      </c>
      <c r="BJ109">
        <v>0.53700000000000003</v>
      </c>
      <c r="BK109">
        <v>0.52100000000000002</v>
      </c>
      <c r="BL109">
        <v>0.57299999999999995</v>
      </c>
    </row>
    <row r="110" spans="1:64" x14ac:dyDescent="0.25">
      <c r="A110">
        <v>0.63200000000000001</v>
      </c>
      <c r="B110">
        <v>0.624</v>
      </c>
      <c r="C110">
        <v>0.64900000000000002</v>
      </c>
      <c r="D110">
        <v>0.67400000000000004</v>
      </c>
      <c r="E110">
        <v>0.7</v>
      </c>
      <c r="F110">
        <v>0.72299999999999998</v>
      </c>
      <c r="G110">
        <v>0.72499999999999998</v>
      </c>
      <c r="H110">
        <v>0.70499999999999996</v>
      </c>
      <c r="I110">
        <v>0.70099999999999996</v>
      </c>
      <c r="J110">
        <v>0.73099999999999998</v>
      </c>
      <c r="K110">
        <v>0.78</v>
      </c>
      <c r="L110">
        <v>0.73899999999999999</v>
      </c>
      <c r="M110">
        <v>0.82699999999999996</v>
      </c>
      <c r="N110">
        <v>0.92200000000000004</v>
      </c>
      <c r="O110">
        <v>0.85799999999999998</v>
      </c>
      <c r="P110">
        <v>0.76</v>
      </c>
      <c r="Q110">
        <v>0.745</v>
      </c>
      <c r="R110">
        <v>0.9</v>
      </c>
      <c r="S110">
        <v>0.89200000000000002</v>
      </c>
      <c r="T110">
        <v>0.86899999999999999</v>
      </c>
      <c r="U110">
        <v>0.79800000000000004</v>
      </c>
      <c r="V110">
        <v>0.78500000000000003</v>
      </c>
      <c r="W110">
        <v>0.76800000000000002</v>
      </c>
      <c r="X110">
        <v>0.78400000000000003</v>
      </c>
      <c r="Y110">
        <v>0.876</v>
      </c>
      <c r="Z110">
        <v>0.93400000000000005</v>
      </c>
      <c r="AA110">
        <v>0.94499999999999995</v>
      </c>
      <c r="AB110">
        <v>0.97299999999999998</v>
      </c>
      <c r="AC110">
        <v>0.96599999999999997</v>
      </c>
      <c r="AD110">
        <v>0.93200000000000005</v>
      </c>
      <c r="AE110">
        <v>0.752</v>
      </c>
      <c r="AF110">
        <v>0.64900000000000002</v>
      </c>
      <c r="AG110">
        <v>0.81899999999999995</v>
      </c>
      <c r="AH110">
        <v>0.88100000000000001</v>
      </c>
      <c r="AI110">
        <v>0.93600000000000005</v>
      </c>
      <c r="AJ110">
        <v>0.85099999999999998</v>
      </c>
      <c r="AK110">
        <v>0.88800000000000001</v>
      </c>
      <c r="AL110">
        <v>0.90900000000000003</v>
      </c>
      <c r="AM110">
        <v>0.76800000000000002</v>
      </c>
      <c r="AN110">
        <v>0.63400000000000001</v>
      </c>
      <c r="AO110">
        <v>0.81200000000000006</v>
      </c>
      <c r="AP110">
        <v>0.98099999999999998</v>
      </c>
      <c r="AQ110">
        <v>0.98299999999999998</v>
      </c>
      <c r="AR110">
        <v>0.96499999999999997</v>
      </c>
      <c r="AS110">
        <v>0.81599999999999995</v>
      </c>
      <c r="AT110">
        <v>0.79500000000000004</v>
      </c>
      <c r="AU110">
        <v>0.85799999999999998</v>
      </c>
      <c r="AV110">
        <v>0.745</v>
      </c>
      <c r="AW110">
        <v>0.81899999999999995</v>
      </c>
      <c r="AX110">
        <v>0.879</v>
      </c>
      <c r="AY110">
        <v>0.94499999999999995</v>
      </c>
      <c r="AZ110">
        <v>0.92900000000000005</v>
      </c>
      <c r="BA110">
        <v>0.90300000000000002</v>
      </c>
      <c r="BB110">
        <v>0.73499999999999999</v>
      </c>
      <c r="BC110">
        <v>0.72399999999999998</v>
      </c>
      <c r="BD110">
        <v>0.73</v>
      </c>
      <c r="BE110">
        <v>0.72799999999999998</v>
      </c>
      <c r="BF110">
        <v>0.69</v>
      </c>
      <c r="BG110">
        <v>0.54200000000000004</v>
      </c>
      <c r="BH110">
        <v>0.46800000000000003</v>
      </c>
      <c r="BI110">
        <v>0.57999999999999996</v>
      </c>
      <c r="BJ110">
        <v>0.65400000000000003</v>
      </c>
      <c r="BK110">
        <v>0.64600000000000002</v>
      </c>
      <c r="BL110">
        <v>0.58099999999999996</v>
      </c>
    </row>
    <row r="111" spans="1:64" x14ac:dyDescent="0.25">
      <c r="A111">
        <v>0.56499999999999995</v>
      </c>
      <c r="B111">
        <v>0.59199999999999997</v>
      </c>
      <c r="C111">
        <v>0.63700000000000001</v>
      </c>
      <c r="D111">
        <v>0.67500000000000004</v>
      </c>
      <c r="E111">
        <v>0.745</v>
      </c>
      <c r="F111">
        <v>0.72599999999999998</v>
      </c>
      <c r="G111">
        <v>0.64800000000000002</v>
      </c>
      <c r="H111">
        <v>0.58399999999999996</v>
      </c>
      <c r="I111">
        <v>0.59099999999999997</v>
      </c>
      <c r="J111">
        <v>0.71</v>
      </c>
      <c r="K111">
        <v>0.78500000000000003</v>
      </c>
      <c r="L111">
        <v>0.75600000000000001</v>
      </c>
      <c r="M111">
        <v>0.82599999999999996</v>
      </c>
      <c r="N111">
        <v>0.82799999999999996</v>
      </c>
      <c r="O111">
        <v>0.78700000000000003</v>
      </c>
      <c r="P111">
        <v>0.82299999999999995</v>
      </c>
      <c r="Q111">
        <v>0.83499999999999996</v>
      </c>
      <c r="R111">
        <v>0.93500000000000005</v>
      </c>
      <c r="S111">
        <v>0.88700000000000001</v>
      </c>
      <c r="T111">
        <v>0.81599999999999995</v>
      </c>
      <c r="U111">
        <v>0.77300000000000002</v>
      </c>
      <c r="V111">
        <v>0.73799999999999999</v>
      </c>
      <c r="W111">
        <v>0.751</v>
      </c>
      <c r="X111">
        <v>0.80100000000000005</v>
      </c>
      <c r="Y111">
        <v>0.90600000000000003</v>
      </c>
      <c r="Z111">
        <v>0.93799999999999994</v>
      </c>
      <c r="AA111">
        <v>0.97099999999999997</v>
      </c>
      <c r="AB111">
        <v>0.995</v>
      </c>
      <c r="AC111">
        <v>0.96499999999999997</v>
      </c>
      <c r="AD111">
        <v>0.94199999999999995</v>
      </c>
      <c r="AE111">
        <v>0.877</v>
      </c>
      <c r="AF111">
        <v>0.747</v>
      </c>
      <c r="AG111">
        <v>0.70699999999999996</v>
      </c>
      <c r="AH111">
        <v>0.79</v>
      </c>
      <c r="AI111">
        <v>0.84899999999999998</v>
      </c>
      <c r="AJ111">
        <v>0.68700000000000006</v>
      </c>
      <c r="AK111">
        <v>0.82799999999999996</v>
      </c>
      <c r="AL111">
        <v>0.876</v>
      </c>
      <c r="AM111">
        <v>0.74199999999999999</v>
      </c>
      <c r="AN111">
        <v>0.75</v>
      </c>
      <c r="AO111">
        <v>0.88500000000000001</v>
      </c>
      <c r="AP111">
        <v>0.95799999999999996</v>
      </c>
      <c r="AQ111">
        <v>0.88</v>
      </c>
      <c r="AR111">
        <v>0.78800000000000003</v>
      </c>
      <c r="AS111">
        <v>0.69799999999999995</v>
      </c>
      <c r="AT111">
        <v>0.755</v>
      </c>
      <c r="AU111">
        <v>0.81899999999999995</v>
      </c>
      <c r="AV111">
        <v>0.73899999999999999</v>
      </c>
      <c r="AW111">
        <v>0.81799999999999995</v>
      </c>
      <c r="AX111">
        <v>0.94299999999999995</v>
      </c>
      <c r="AY111">
        <v>0.95199999999999996</v>
      </c>
      <c r="AZ111">
        <v>0.81499999999999995</v>
      </c>
      <c r="BA111">
        <v>0.622</v>
      </c>
      <c r="BB111">
        <v>0.61699999999999999</v>
      </c>
      <c r="BC111">
        <v>0.73299999999999998</v>
      </c>
      <c r="BD111">
        <v>0.85199999999999998</v>
      </c>
      <c r="BE111">
        <v>0.80200000000000005</v>
      </c>
      <c r="BF111">
        <v>0.65200000000000002</v>
      </c>
      <c r="BG111">
        <v>0.55300000000000005</v>
      </c>
      <c r="BH111">
        <v>0.48599999999999999</v>
      </c>
      <c r="BI111">
        <v>0.56000000000000005</v>
      </c>
      <c r="BJ111">
        <v>0.66900000000000004</v>
      </c>
      <c r="BK111">
        <v>0.59299999999999997</v>
      </c>
      <c r="BL111">
        <v>0.54100000000000004</v>
      </c>
    </row>
    <row r="112" spans="1:64" x14ac:dyDescent="0.25">
      <c r="A112">
        <v>0.52100000000000002</v>
      </c>
      <c r="B112">
        <v>0.57499999999999996</v>
      </c>
      <c r="C112">
        <v>0.68899999999999995</v>
      </c>
      <c r="D112">
        <v>0.76300000000000001</v>
      </c>
      <c r="E112">
        <v>0.77700000000000002</v>
      </c>
      <c r="F112">
        <v>0.74099999999999999</v>
      </c>
      <c r="G112">
        <v>0.72199999999999998</v>
      </c>
      <c r="H112">
        <v>0.69299999999999995</v>
      </c>
      <c r="I112">
        <v>0.65500000000000003</v>
      </c>
      <c r="J112">
        <v>0.627</v>
      </c>
      <c r="K112">
        <v>0.61799999999999999</v>
      </c>
      <c r="L112">
        <v>0.76</v>
      </c>
      <c r="M112">
        <v>0.80400000000000005</v>
      </c>
      <c r="N112">
        <v>0.746</v>
      </c>
      <c r="O112">
        <v>0.76800000000000002</v>
      </c>
      <c r="P112">
        <v>0.81699999999999995</v>
      </c>
      <c r="Q112">
        <v>0.86199999999999999</v>
      </c>
      <c r="R112">
        <v>0.90400000000000003</v>
      </c>
      <c r="S112">
        <v>0.83299999999999996</v>
      </c>
      <c r="T112">
        <v>0.75</v>
      </c>
      <c r="U112">
        <v>0.70899999999999996</v>
      </c>
      <c r="V112">
        <v>0.79100000000000004</v>
      </c>
      <c r="W112">
        <v>0.93200000000000005</v>
      </c>
      <c r="X112">
        <v>0.93600000000000005</v>
      </c>
      <c r="Y112">
        <v>0.98499999999999999</v>
      </c>
      <c r="Z112">
        <v>0.997</v>
      </c>
      <c r="AA112">
        <v>0.998</v>
      </c>
      <c r="AB112">
        <v>0.95799999999999996</v>
      </c>
      <c r="AC112">
        <v>0.97499999999999998</v>
      </c>
      <c r="AD112">
        <v>0.88900000000000001</v>
      </c>
      <c r="AE112">
        <v>0.91</v>
      </c>
      <c r="AF112">
        <v>0.9</v>
      </c>
      <c r="AG112">
        <v>0.80400000000000005</v>
      </c>
      <c r="AH112">
        <v>0.76100000000000001</v>
      </c>
      <c r="AI112">
        <v>0.68899999999999995</v>
      </c>
      <c r="AJ112">
        <v>0.62</v>
      </c>
      <c r="AK112">
        <v>0.80900000000000005</v>
      </c>
      <c r="AL112">
        <v>0.90600000000000003</v>
      </c>
      <c r="AM112">
        <v>0.78700000000000003</v>
      </c>
      <c r="AN112">
        <v>0.83899999999999997</v>
      </c>
      <c r="AO112">
        <v>0.86499999999999999</v>
      </c>
      <c r="AP112">
        <v>0.85099999999999998</v>
      </c>
      <c r="AQ112">
        <v>0.84499999999999997</v>
      </c>
      <c r="AR112">
        <v>0.75900000000000001</v>
      </c>
      <c r="AS112">
        <v>0.69699999999999995</v>
      </c>
      <c r="AT112">
        <v>0.72699999999999998</v>
      </c>
      <c r="AU112">
        <v>0.73099999999999998</v>
      </c>
      <c r="AV112">
        <v>0.71499999999999997</v>
      </c>
      <c r="AW112">
        <v>0.81399999999999995</v>
      </c>
      <c r="AX112">
        <v>0.92100000000000004</v>
      </c>
      <c r="AY112">
        <v>0.871</v>
      </c>
      <c r="AZ112">
        <v>0.746</v>
      </c>
      <c r="BA112">
        <v>0.73899999999999999</v>
      </c>
      <c r="BB112">
        <v>0.79600000000000004</v>
      </c>
      <c r="BC112">
        <v>0.82899999999999996</v>
      </c>
      <c r="BD112">
        <v>0.86299999999999999</v>
      </c>
      <c r="BE112">
        <v>0.81499999999999995</v>
      </c>
      <c r="BF112">
        <v>0.62</v>
      </c>
      <c r="BG112">
        <v>0.58699999999999997</v>
      </c>
      <c r="BH112">
        <v>0.52400000000000002</v>
      </c>
      <c r="BI112">
        <v>0.505</v>
      </c>
      <c r="BJ112">
        <v>0.56699999999999995</v>
      </c>
      <c r="BK112">
        <v>0.59199999999999997</v>
      </c>
      <c r="BL112">
        <v>0.61399999999999999</v>
      </c>
    </row>
    <row r="113" spans="1:64" x14ac:dyDescent="0.25">
      <c r="A113">
        <v>0.44600000000000001</v>
      </c>
      <c r="B113">
        <v>0.52300000000000002</v>
      </c>
      <c r="C113">
        <v>0.67800000000000005</v>
      </c>
      <c r="D113">
        <v>0.84599999999999997</v>
      </c>
      <c r="E113">
        <v>0.92</v>
      </c>
      <c r="F113">
        <v>0.94299999999999995</v>
      </c>
      <c r="G113">
        <v>0.93</v>
      </c>
      <c r="H113">
        <v>0.84599999999999997</v>
      </c>
      <c r="I113">
        <v>0.748</v>
      </c>
      <c r="J113">
        <v>0.627</v>
      </c>
      <c r="K113">
        <v>0.61299999999999999</v>
      </c>
      <c r="L113">
        <v>0.69</v>
      </c>
      <c r="M113">
        <v>0.71499999999999997</v>
      </c>
      <c r="N113">
        <v>0.68400000000000005</v>
      </c>
      <c r="O113">
        <v>0.60299999999999998</v>
      </c>
      <c r="P113">
        <v>0.61599999999999999</v>
      </c>
      <c r="Q113">
        <v>0.78400000000000003</v>
      </c>
      <c r="R113">
        <v>0.83199999999999996</v>
      </c>
      <c r="S113">
        <v>0.85299999999999998</v>
      </c>
      <c r="T113">
        <v>0.76700000000000002</v>
      </c>
      <c r="U113">
        <v>0.75900000000000001</v>
      </c>
      <c r="V113">
        <v>0.88700000000000001</v>
      </c>
      <c r="W113">
        <v>0.98499999999999999</v>
      </c>
      <c r="X113">
        <v>0.90100000000000002</v>
      </c>
      <c r="Y113">
        <v>0.873</v>
      </c>
      <c r="Z113">
        <v>0.89600000000000002</v>
      </c>
      <c r="AA113">
        <v>0.94899999999999995</v>
      </c>
      <c r="AB113">
        <v>0.97399999999999998</v>
      </c>
      <c r="AC113">
        <v>0.998</v>
      </c>
      <c r="AD113">
        <v>0.875</v>
      </c>
      <c r="AE113">
        <v>0.93600000000000005</v>
      </c>
      <c r="AF113">
        <v>0.93100000000000005</v>
      </c>
      <c r="AG113">
        <v>0.90800000000000003</v>
      </c>
      <c r="AH113">
        <v>0.71399999999999997</v>
      </c>
      <c r="AI113">
        <v>0.60799999999999998</v>
      </c>
      <c r="AJ113">
        <v>0.59299999999999997</v>
      </c>
      <c r="AK113">
        <v>0.72799999999999998</v>
      </c>
      <c r="AL113">
        <v>0.83199999999999996</v>
      </c>
      <c r="AM113">
        <v>0.72899999999999998</v>
      </c>
      <c r="AN113">
        <v>0.72599999999999998</v>
      </c>
      <c r="AO113">
        <v>0.70499999999999996</v>
      </c>
      <c r="AP113">
        <v>0.73299999999999998</v>
      </c>
      <c r="AQ113">
        <v>0.76200000000000001</v>
      </c>
      <c r="AR113">
        <v>0.73199999999999998</v>
      </c>
      <c r="AS113">
        <v>0.68200000000000005</v>
      </c>
      <c r="AT113">
        <v>0.63300000000000001</v>
      </c>
      <c r="AU113">
        <v>0.622</v>
      </c>
      <c r="AV113">
        <v>0.69399999999999995</v>
      </c>
      <c r="AW113">
        <v>0.79700000000000004</v>
      </c>
      <c r="AX113">
        <v>0.86</v>
      </c>
      <c r="AY113">
        <v>0.874</v>
      </c>
      <c r="AZ113">
        <v>0.77900000000000003</v>
      </c>
      <c r="BA113">
        <v>0.80800000000000005</v>
      </c>
      <c r="BB113">
        <v>0.85599999999999998</v>
      </c>
      <c r="BC113">
        <v>0.85399999999999998</v>
      </c>
      <c r="BD113">
        <v>0.85399999999999998</v>
      </c>
      <c r="BE113">
        <v>0.78700000000000003</v>
      </c>
      <c r="BF113">
        <v>0.65200000000000002</v>
      </c>
      <c r="BG113">
        <v>0.63400000000000001</v>
      </c>
      <c r="BH113">
        <v>0.50800000000000001</v>
      </c>
      <c r="BI113">
        <v>0.48</v>
      </c>
      <c r="BJ113">
        <v>0.53700000000000003</v>
      </c>
      <c r="BK113">
        <v>0.60899999999999999</v>
      </c>
      <c r="BL113">
        <v>0.66600000000000004</v>
      </c>
    </row>
    <row r="114" spans="1:64" x14ac:dyDescent="0.25">
      <c r="A114">
        <v>0.59099999999999997</v>
      </c>
      <c r="B114">
        <v>0.68600000000000005</v>
      </c>
      <c r="C114">
        <v>0.73799999999999999</v>
      </c>
      <c r="D114">
        <v>0.82099999999999995</v>
      </c>
      <c r="E114">
        <v>0.90100000000000002</v>
      </c>
      <c r="F114">
        <v>0.93</v>
      </c>
      <c r="G114">
        <v>0.89100000000000001</v>
      </c>
      <c r="H114">
        <v>0.878</v>
      </c>
      <c r="I114">
        <v>0.72899999999999998</v>
      </c>
      <c r="J114">
        <v>0.621</v>
      </c>
      <c r="K114">
        <v>0.627</v>
      </c>
      <c r="L114">
        <v>0.61799999999999999</v>
      </c>
      <c r="M114">
        <v>0.61299999999999999</v>
      </c>
      <c r="N114">
        <v>0.64400000000000002</v>
      </c>
      <c r="O114">
        <v>0.61299999999999999</v>
      </c>
      <c r="P114">
        <v>0.52700000000000002</v>
      </c>
      <c r="Q114">
        <v>0.61199999999999999</v>
      </c>
      <c r="R114">
        <v>0.72099999999999997</v>
      </c>
      <c r="S114">
        <v>0.78700000000000003</v>
      </c>
      <c r="T114">
        <v>0.71899999999999997</v>
      </c>
      <c r="U114">
        <v>0.81599999999999995</v>
      </c>
      <c r="V114">
        <v>0.79700000000000004</v>
      </c>
      <c r="W114">
        <v>0.85</v>
      </c>
      <c r="X114">
        <v>0.96199999999999997</v>
      </c>
      <c r="Y114">
        <v>0.996</v>
      </c>
      <c r="Z114">
        <v>0.95399999999999996</v>
      </c>
      <c r="AA114">
        <v>0.91100000000000003</v>
      </c>
      <c r="AB114">
        <v>0.91400000000000003</v>
      </c>
      <c r="AC114">
        <v>0.90900000000000003</v>
      </c>
      <c r="AD114">
        <v>0.91300000000000003</v>
      </c>
      <c r="AE114">
        <v>0.94499999999999995</v>
      </c>
      <c r="AF114">
        <v>0.94199999999999995</v>
      </c>
      <c r="AG114">
        <v>0.83199999999999996</v>
      </c>
      <c r="AH114">
        <v>0.66800000000000004</v>
      </c>
      <c r="AI114">
        <v>0.60399999999999998</v>
      </c>
      <c r="AJ114">
        <v>0.57199999999999995</v>
      </c>
      <c r="AK114">
        <v>0.68100000000000005</v>
      </c>
      <c r="AL114">
        <v>0.76700000000000002</v>
      </c>
      <c r="AM114">
        <v>0.68100000000000005</v>
      </c>
      <c r="AN114">
        <v>0.627</v>
      </c>
      <c r="AO114">
        <v>0.63</v>
      </c>
      <c r="AP114">
        <v>0.71499999999999997</v>
      </c>
      <c r="AQ114">
        <v>0.75600000000000001</v>
      </c>
      <c r="AR114">
        <v>0.751</v>
      </c>
      <c r="AS114">
        <v>0.66</v>
      </c>
      <c r="AT114">
        <v>0.59199999999999997</v>
      </c>
      <c r="AU114">
        <v>0.63</v>
      </c>
      <c r="AV114">
        <v>0.66900000000000004</v>
      </c>
      <c r="AW114">
        <v>0.75700000000000001</v>
      </c>
      <c r="AX114">
        <v>0.81399999999999995</v>
      </c>
      <c r="AY114">
        <v>0.79500000000000004</v>
      </c>
      <c r="AZ114">
        <v>0.69</v>
      </c>
      <c r="BA114">
        <v>0.67700000000000005</v>
      </c>
      <c r="BB114">
        <v>0.73499999999999999</v>
      </c>
      <c r="BC114">
        <v>0.76300000000000001</v>
      </c>
      <c r="BD114">
        <v>0.71699999999999997</v>
      </c>
      <c r="BE114">
        <v>0.66500000000000004</v>
      </c>
      <c r="BF114">
        <v>0.67300000000000004</v>
      </c>
      <c r="BG114">
        <v>0.64</v>
      </c>
      <c r="BH114">
        <v>0.502</v>
      </c>
      <c r="BI114">
        <v>0.48699999999999999</v>
      </c>
      <c r="BJ114">
        <v>0.54200000000000004</v>
      </c>
      <c r="BK114">
        <v>0.65500000000000003</v>
      </c>
      <c r="BL114">
        <v>0.69099999999999995</v>
      </c>
    </row>
    <row r="115" spans="1:64" x14ac:dyDescent="0.25">
      <c r="A115">
        <v>0.76200000000000001</v>
      </c>
      <c r="B115">
        <v>0.86299999999999999</v>
      </c>
      <c r="C115">
        <v>0.89300000000000002</v>
      </c>
      <c r="D115">
        <v>0.872</v>
      </c>
      <c r="E115">
        <v>0.88600000000000001</v>
      </c>
      <c r="F115">
        <v>0.81399999999999995</v>
      </c>
      <c r="G115">
        <v>0.75700000000000001</v>
      </c>
      <c r="H115">
        <v>0.84399999999999997</v>
      </c>
      <c r="I115">
        <v>0.74199999999999999</v>
      </c>
      <c r="J115">
        <v>0.59299999999999997</v>
      </c>
      <c r="K115">
        <v>0.52</v>
      </c>
      <c r="L115">
        <v>0.53200000000000003</v>
      </c>
      <c r="M115">
        <v>0.54500000000000004</v>
      </c>
      <c r="N115">
        <v>0.57899999999999996</v>
      </c>
      <c r="O115">
        <v>0.623</v>
      </c>
      <c r="P115">
        <v>0.53500000000000003</v>
      </c>
      <c r="Q115">
        <v>0.49199999999999999</v>
      </c>
      <c r="R115">
        <v>0.53700000000000003</v>
      </c>
      <c r="S115">
        <v>0.61899999999999999</v>
      </c>
      <c r="T115">
        <v>0.64800000000000002</v>
      </c>
      <c r="U115">
        <v>0.80300000000000005</v>
      </c>
      <c r="V115">
        <v>0.77600000000000002</v>
      </c>
      <c r="W115">
        <v>0.80400000000000005</v>
      </c>
      <c r="X115">
        <v>0.751</v>
      </c>
      <c r="Y115">
        <v>0.71099999999999997</v>
      </c>
      <c r="Z115">
        <v>0.65300000000000002</v>
      </c>
      <c r="AA115">
        <v>0.68700000000000006</v>
      </c>
      <c r="AB115">
        <v>0.73099999999999998</v>
      </c>
      <c r="AC115">
        <v>0.753</v>
      </c>
      <c r="AD115">
        <v>0.873</v>
      </c>
      <c r="AE115">
        <v>0.84199999999999997</v>
      </c>
      <c r="AF115">
        <v>0.75700000000000001</v>
      </c>
      <c r="AG115">
        <v>0.626</v>
      </c>
      <c r="AH115">
        <v>0.56899999999999995</v>
      </c>
      <c r="AI115">
        <v>0.57799999999999996</v>
      </c>
      <c r="AJ115">
        <v>0.61299999999999999</v>
      </c>
      <c r="AK115">
        <v>0.66300000000000003</v>
      </c>
      <c r="AL115">
        <v>0.67100000000000004</v>
      </c>
      <c r="AM115">
        <v>0.64100000000000001</v>
      </c>
      <c r="AN115">
        <v>0.64300000000000002</v>
      </c>
      <c r="AO115">
        <v>0.70799999999999996</v>
      </c>
      <c r="AP115">
        <v>0.76700000000000002</v>
      </c>
      <c r="AQ115">
        <v>0.78400000000000003</v>
      </c>
      <c r="AR115">
        <v>0.72299999999999998</v>
      </c>
      <c r="AS115">
        <v>0.60399999999999998</v>
      </c>
      <c r="AT115">
        <v>0.59199999999999997</v>
      </c>
      <c r="AU115">
        <v>0.67300000000000004</v>
      </c>
      <c r="AV115">
        <v>0.65200000000000002</v>
      </c>
      <c r="AW115">
        <v>0.60499999999999998</v>
      </c>
      <c r="AX115">
        <v>0.60499999999999998</v>
      </c>
      <c r="AY115">
        <v>0.60499999999999998</v>
      </c>
      <c r="AZ115">
        <v>0.59799999999999998</v>
      </c>
      <c r="BA115">
        <v>0.68100000000000005</v>
      </c>
      <c r="BB115">
        <v>0.83</v>
      </c>
      <c r="BC115">
        <v>0.88400000000000001</v>
      </c>
      <c r="BD115">
        <v>0.78</v>
      </c>
      <c r="BE115">
        <v>0.70499999999999996</v>
      </c>
      <c r="BF115">
        <v>0.69599999999999995</v>
      </c>
      <c r="BG115">
        <v>0.66700000000000004</v>
      </c>
      <c r="BH115">
        <v>0.58399999999999996</v>
      </c>
      <c r="BI115">
        <v>0.53400000000000003</v>
      </c>
      <c r="BJ115">
        <v>0.54</v>
      </c>
      <c r="BK115">
        <v>0.67900000000000005</v>
      </c>
      <c r="BL115">
        <v>0.78500000000000003</v>
      </c>
    </row>
    <row r="116" spans="1:64" x14ac:dyDescent="0.25">
      <c r="A116">
        <v>0.98399999999999999</v>
      </c>
      <c r="B116">
        <v>0.97099999999999997</v>
      </c>
      <c r="C116">
        <v>0.91500000000000004</v>
      </c>
      <c r="D116">
        <v>0.83699999999999997</v>
      </c>
      <c r="E116">
        <v>0.81</v>
      </c>
      <c r="F116">
        <v>0.68899999999999995</v>
      </c>
      <c r="G116">
        <v>0.69099999999999995</v>
      </c>
      <c r="H116">
        <v>0.73099999999999998</v>
      </c>
      <c r="I116">
        <v>0.75</v>
      </c>
      <c r="J116">
        <v>0.67500000000000004</v>
      </c>
      <c r="K116">
        <v>0.55400000000000005</v>
      </c>
      <c r="L116">
        <v>0.54800000000000004</v>
      </c>
      <c r="M116">
        <v>0.62</v>
      </c>
      <c r="N116">
        <v>0.57599999999999996</v>
      </c>
      <c r="O116">
        <v>0.56399999999999995</v>
      </c>
      <c r="P116">
        <v>0.56000000000000005</v>
      </c>
      <c r="Q116">
        <v>0.51500000000000001</v>
      </c>
      <c r="R116">
        <v>0.50600000000000001</v>
      </c>
      <c r="S116">
        <v>0.59599999999999997</v>
      </c>
      <c r="T116">
        <v>0.73199999999999998</v>
      </c>
      <c r="U116">
        <v>0.83099999999999996</v>
      </c>
      <c r="V116">
        <v>0.74199999999999999</v>
      </c>
      <c r="W116">
        <v>0.67200000000000004</v>
      </c>
      <c r="X116">
        <v>0.63500000000000001</v>
      </c>
      <c r="Y116">
        <v>0.60299999999999998</v>
      </c>
      <c r="Z116">
        <v>0.63400000000000001</v>
      </c>
      <c r="AA116">
        <v>0.74099999999999999</v>
      </c>
      <c r="AB116">
        <v>0.77700000000000002</v>
      </c>
      <c r="AC116">
        <v>0.73199999999999998</v>
      </c>
      <c r="AD116">
        <v>0.70399999999999996</v>
      </c>
      <c r="AE116">
        <v>0.63100000000000001</v>
      </c>
      <c r="AF116">
        <v>0.64200000000000002</v>
      </c>
      <c r="AG116">
        <v>0.64900000000000002</v>
      </c>
      <c r="AH116">
        <v>0.58799999999999997</v>
      </c>
      <c r="AI116">
        <v>0.56899999999999995</v>
      </c>
      <c r="AJ116">
        <v>0.58499999999999996</v>
      </c>
      <c r="AK116">
        <v>0.56599999999999995</v>
      </c>
      <c r="AL116">
        <v>0.58699999999999997</v>
      </c>
      <c r="AM116">
        <v>0.66400000000000003</v>
      </c>
      <c r="AN116">
        <v>0.69</v>
      </c>
      <c r="AO116">
        <v>0.74399999999999999</v>
      </c>
      <c r="AP116">
        <v>0.76</v>
      </c>
      <c r="AQ116">
        <v>0.71499999999999997</v>
      </c>
      <c r="AR116">
        <v>0.62</v>
      </c>
      <c r="AS116">
        <v>0.57299999999999995</v>
      </c>
      <c r="AT116">
        <v>0.60099999999999998</v>
      </c>
      <c r="AU116">
        <v>0.66500000000000004</v>
      </c>
      <c r="AV116">
        <v>0.68600000000000005</v>
      </c>
      <c r="AW116">
        <v>0.64600000000000002</v>
      </c>
      <c r="AX116">
        <v>0.63600000000000001</v>
      </c>
      <c r="AY116">
        <v>0.66500000000000004</v>
      </c>
      <c r="AZ116">
        <v>0.67600000000000005</v>
      </c>
      <c r="BA116">
        <v>0.79</v>
      </c>
      <c r="BB116">
        <v>0.85199999999999998</v>
      </c>
      <c r="BC116">
        <v>0.86599999999999999</v>
      </c>
      <c r="BD116">
        <v>0.77400000000000002</v>
      </c>
      <c r="BE116">
        <v>0.75700000000000001</v>
      </c>
      <c r="BF116">
        <v>0.746</v>
      </c>
      <c r="BG116">
        <v>0.74399999999999999</v>
      </c>
      <c r="BH116">
        <v>0.752</v>
      </c>
      <c r="BI116">
        <v>0.57399999999999995</v>
      </c>
      <c r="BJ116">
        <v>0.52600000000000002</v>
      </c>
      <c r="BK116">
        <v>0.63900000000000001</v>
      </c>
      <c r="BL116">
        <v>0.83399999999999996</v>
      </c>
    </row>
    <row r="117" spans="1:64" x14ac:dyDescent="0.25">
      <c r="A117">
        <v>0.82399999999999995</v>
      </c>
      <c r="B117">
        <v>0.79200000000000004</v>
      </c>
      <c r="C117">
        <v>0.74299999999999999</v>
      </c>
      <c r="D117">
        <v>0.72799999999999998</v>
      </c>
      <c r="E117">
        <v>0.753</v>
      </c>
      <c r="F117">
        <v>0.68400000000000005</v>
      </c>
      <c r="G117">
        <v>0.72399999999999998</v>
      </c>
      <c r="H117">
        <v>0.66500000000000004</v>
      </c>
      <c r="I117">
        <v>0.67</v>
      </c>
      <c r="J117">
        <v>0.77800000000000002</v>
      </c>
      <c r="K117">
        <v>0.74399999999999999</v>
      </c>
      <c r="L117">
        <v>0.65</v>
      </c>
      <c r="M117">
        <v>0.75600000000000001</v>
      </c>
      <c r="N117">
        <v>0.69</v>
      </c>
      <c r="O117">
        <v>0.55200000000000005</v>
      </c>
      <c r="P117">
        <v>0.52600000000000002</v>
      </c>
      <c r="Q117">
        <v>0.52500000000000002</v>
      </c>
      <c r="R117">
        <v>0.5</v>
      </c>
      <c r="S117">
        <v>0.54300000000000004</v>
      </c>
      <c r="T117">
        <v>0.73899999999999999</v>
      </c>
      <c r="U117">
        <v>0.86099999999999999</v>
      </c>
      <c r="V117">
        <v>0.72199999999999998</v>
      </c>
      <c r="W117">
        <v>0.59599999999999997</v>
      </c>
      <c r="X117">
        <v>0.56699999999999995</v>
      </c>
      <c r="Y117">
        <v>0.61699999999999999</v>
      </c>
      <c r="Z117">
        <v>0.75800000000000001</v>
      </c>
      <c r="AA117">
        <v>0.85699999999999998</v>
      </c>
      <c r="AB117">
        <v>0.84199999999999997</v>
      </c>
      <c r="AC117">
        <v>0.74099999999999999</v>
      </c>
      <c r="AD117">
        <v>0.60099999999999998</v>
      </c>
      <c r="AE117">
        <v>0.56299999999999994</v>
      </c>
      <c r="AF117">
        <v>0.60699999999999998</v>
      </c>
      <c r="AG117">
        <v>0.59799999999999998</v>
      </c>
      <c r="AH117">
        <v>0.57899999999999996</v>
      </c>
      <c r="AI117">
        <v>0.59199999999999997</v>
      </c>
      <c r="AJ117">
        <v>0.57799999999999996</v>
      </c>
      <c r="AK117">
        <v>0.56299999999999994</v>
      </c>
      <c r="AL117">
        <v>0.68500000000000005</v>
      </c>
      <c r="AM117">
        <v>0.81299999999999994</v>
      </c>
      <c r="AN117">
        <v>0.73599999999999999</v>
      </c>
      <c r="AO117">
        <v>0.67500000000000004</v>
      </c>
      <c r="AP117">
        <v>0.747</v>
      </c>
      <c r="AQ117">
        <v>0.66300000000000003</v>
      </c>
      <c r="AR117">
        <v>0.497</v>
      </c>
      <c r="AS117">
        <v>0.52100000000000002</v>
      </c>
      <c r="AT117">
        <v>0.60699999999999998</v>
      </c>
      <c r="AU117">
        <v>0.68899999999999995</v>
      </c>
      <c r="AV117">
        <v>0.76</v>
      </c>
      <c r="AW117">
        <v>0.85699999999999998</v>
      </c>
      <c r="AX117">
        <v>0.89900000000000002</v>
      </c>
      <c r="AY117">
        <v>0.89500000000000002</v>
      </c>
      <c r="AZ117">
        <v>0.79400000000000004</v>
      </c>
      <c r="BA117">
        <v>0.748</v>
      </c>
      <c r="BB117">
        <v>0.68400000000000005</v>
      </c>
      <c r="BC117">
        <v>0.69699999999999995</v>
      </c>
      <c r="BD117">
        <v>0.79200000000000004</v>
      </c>
      <c r="BE117">
        <v>0.84899999999999998</v>
      </c>
      <c r="BF117">
        <v>0.872</v>
      </c>
      <c r="BG117">
        <v>0.83099999999999996</v>
      </c>
      <c r="BH117">
        <v>0.80800000000000005</v>
      </c>
      <c r="BI117">
        <v>0.60899999999999999</v>
      </c>
      <c r="BJ117">
        <v>0.53900000000000003</v>
      </c>
      <c r="BK117">
        <v>0.621</v>
      </c>
      <c r="BL117">
        <v>0.80300000000000005</v>
      </c>
    </row>
    <row r="118" spans="1:64" x14ac:dyDescent="0.25">
      <c r="A118">
        <v>0.65700000000000003</v>
      </c>
      <c r="B118">
        <v>0.73099999999999998</v>
      </c>
      <c r="C118">
        <v>0.78200000000000003</v>
      </c>
      <c r="D118">
        <v>0.77900000000000003</v>
      </c>
      <c r="E118">
        <v>0.83</v>
      </c>
      <c r="F118">
        <v>0.77900000000000003</v>
      </c>
      <c r="G118">
        <v>0.86899999999999999</v>
      </c>
      <c r="H118">
        <v>0.82099999999999995</v>
      </c>
      <c r="I118">
        <v>0.76200000000000001</v>
      </c>
      <c r="J118">
        <v>0.78700000000000003</v>
      </c>
      <c r="K118">
        <v>0.78200000000000003</v>
      </c>
      <c r="L118">
        <v>0.72599999999999998</v>
      </c>
      <c r="M118">
        <v>0.79300000000000004</v>
      </c>
      <c r="N118">
        <v>0.81</v>
      </c>
      <c r="O118">
        <v>0.746</v>
      </c>
      <c r="P118">
        <v>0.66200000000000003</v>
      </c>
      <c r="Q118">
        <v>0.64600000000000002</v>
      </c>
      <c r="R118">
        <v>0.60499999999999998</v>
      </c>
      <c r="S118">
        <v>0.55500000000000005</v>
      </c>
      <c r="T118">
        <v>0.55100000000000005</v>
      </c>
      <c r="U118">
        <v>0.58499999999999996</v>
      </c>
      <c r="V118">
        <v>0.54300000000000004</v>
      </c>
      <c r="W118">
        <v>0.56100000000000005</v>
      </c>
      <c r="X118">
        <v>0.59499999999999997</v>
      </c>
      <c r="Y118">
        <v>0.64600000000000002</v>
      </c>
      <c r="Z118">
        <v>0.67</v>
      </c>
      <c r="AA118">
        <v>0.68799999999999994</v>
      </c>
      <c r="AB118">
        <v>0.70899999999999996</v>
      </c>
      <c r="AC118">
        <v>0.66800000000000004</v>
      </c>
      <c r="AD118">
        <v>0.63100000000000001</v>
      </c>
      <c r="AE118">
        <v>0.65900000000000003</v>
      </c>
      <c r="AF118">
        <v>0.622</v>
      </c>
      <c r="AG118">
        <v>0.57499999999999996</v>
      </c>
      <c r="AH118">
        <v>0.56699999999999995</v>
      </c>
      <c r="AI118">
        <v>0.57199999999999995</v>
      </c>
      <c r="AJ118">
        <v>0.56599999999999995</v>
      </c>
      <c r="AK118">
        <v>0.61399999999999999</v>
      </c>
      <c r="AL118">
        <v>0.77900000000000003</v>
      </c>
      <c r="AM118">
        <v>0.82399999999999995</v>
      </c>
      <c r="AN118">
        <v>0.65</v>
      </c>
      <c r="AO118">
        <v>0.58599999999999997</v>
      </c>
      <c r="AP118">
        <v>0.68</v>
      </c>
      <c r="AQ118">
        <v>0.61699999999999999</v>
      </c>
      <c r="AR118">
        <v>0.52700000000000002</v>
      </c>
      <c r="AS118">
        <v>0.65200000000000002</v>
      </c>
      <c r="AT118">
        <v>0.69</v>
      </c>
      <c r="AU118">
        <v>0.71399999999999997</v>
      </c>
      <c r="AV118">
        <v>0.77700000000000002</v>
      </c>
      <c r="AW118">
        <v>0.86499999999999999</v>
      </c>
      <c r="AX118">
        <v>0.88700000000000001</v>
      </c>
      <c r="AY118">
        <v>0.83199999999999996</v>
      </c>
      <c r="AZ118">
        <v>0.71</v>
      </c>
      <c r="BA118">
        <v>0.73199999999999998</v>
      </c>
      <c r="BB118">
        <v>0.73099999999999998</v>
      </c>
      <c r="BC118">
        <v>0.74</v>
      </c>
      <c r="BD118">
        <v>0.82399999999999995</v>
      </c>
      <c r="BE118">
        <v>0.93500000000000005</v>
      </c>
      <c r="BF118">
        <v>0.877</v>
      </c>
      <c r="BG118">
        <v>0.77</v>
      </c>
      <c r="BH118">
        <v>0.81699999999999995</v>
      </c>
      <c r="BI118">
        <v>0.67100000000000004</v>
      </c>
      <c r="BJ118">
        <v>0.56899999999999995</v>
      </c>
      <c r="BK118">
        <v>0.61199999999999999</v>
      </c>
      <c r="BL118">
        <v>0.80700000000000005</v>
      </c>
    </row>
    <row r="119" spans="1:64" x14ac:dyDescent="0.25">
      <c r="A119">
        <v>0.65400000000000003</v>
      </c>
      <c r="B119">
        <v>0.74399999999999999</v>
      </c>
      <c r="C119">
        <v>0.88</v>
      </c>
      <c r="D119">
        <v>0.84099999999999997</v>
      </c>
      <c r="E119">
        <v>0.78400000000000003</v>
      </c>
      <c r="F119">
        <v>0.90600000000000003</v>
      </c>
      <c r="G119">
        <v>0.997</v>
      </c>
      <c r="H119">
        <v>0.97199999999999998</v>
      </c>
      <c r="I119">
        <v>0.90700000000000003</v>
      </c>
      <c r="J119">
        <v>0.89600000000000002</v>
      </c>
      <c r="K119">
        <v>0.77200000000000002</v>
      </c>
      <c r="L119">
        <v>0.74199999999999999</v>
      </c>
      <c r="M119">
        <v>0.81799999999999995</v>
      </c>
      <c r="N119">
        <v>0.85799999999999998</v>
      </c>
      <c r="O119">
        <v>0.85</v>
      </c>
      <c r="P119">
        <v>0.82299999999999995</v>
      </c>
      <c r="Q119">
        <v>0.78600000000000003</v>
      </c>
      <c r="R119">
        <v>0.71299999999999997</v>
      </c>
      <c r="S119">
        <v>0.60099999999999998</v>
      </c>
      <c r="T119">
        <v>0.48199999999999998</v>
      </c>
      <c r="U119">
        <v>0.443</v>
      </c>
      <c r="V119">
        <v>0.46200000000000002</v>
      </c>
      <c r="W119">
        <v>0.51200000000000001</v>
      </c>
      <c r="X119">
        <v>0.55900000000000005</v>
      </c>
      <c r="Y119">
        <v>0.59199999999999997</v>
      </c>
      <c r="Z119">
        <v>0.59199999999999997</v>
      </c>
      <c r="AA119">
        <v>0.58799999999999997</v>
      </c>
      <c r="AB119">
        <v>0.57999999999999996</v>
      </c>
      <c r="AC119">
        <v>0.54200000000000004</v>
      </c>
      <c r="AD119">
        <v>0.56399999999999995</v>
      </c>
      <c r="AE119">
        <v>0.56999999999999995</v>
      </c>
      <c r="AF119">
        <v>0.52900000000000003</v>
      </c>
      <c r="AG119">
        <v>0.52100000000000002</v>
      </c>
      <c r="AH119">
        <v>0.54400000000000004</v>
      </c>
      <c r="AI119">
        <v>0.55200000000000005</v>
      </c>
      <c r="AJ119">
        <v>0.55000000000000004</v>
      </c>
      <c r="AK119">
        <v>0.63400000000000001</v>
      </c>
      <c r="AL119">
        <v>0.74</v>
      </c>
      <c r="AM119">
        <v>0.73599999999999999</v>
      </c>
      <c r="AN119">
        <v>0.57099999999999995</v>
      </c>
      <c r="AO119">
        <v>0.55300000000000005</v>
      </c>
      <c r="AP119">
        <v>0.65500000000000003</v>
      </c>
      <c r="AQ119">
        <v>0.63200000000000001</v>
      </c>
      <c r="AR119">
        <v>0.64900000000000002</v>
      </c>
      <c r="AS119">
        <v>0.85499999999999998</v>
      </c>
      <c r="AT119">
        <v>0.85699999999999998</v>
      </c>
      <c r="AU119">
        <v>0.84599999999999997</v>
      </c>
      <c r="AV119">
        <v>0.9</v>
      </c>
      <c r="AW119">
        <v>0.90600000000000003</v>
      </c>
      <c r="AX119">
        <v>0.85099999999999998</v>
      </c>
      <c r="AY119">
        <v>0.76800000000000002</v>
      </c>
      <c r="AZ119">
        <v>0.71599999999999997</v>
      </c>
      <c r="BA119">
        <v>0.85399999999999998</v>
      </c>
      <c r="BB119">
        <v>0.93500000000000005</v>
      </c>
      <c r="BC119">
        <v>0.93799999999999994</v>
      </c>
      <c r="BD119">
        <v>0.90700000000000003</v>
      </c>
      <c r="BE119">
        <v>0.89500000000000002</v>
      </c>
      <c r="BF119">
        <v>0.88500000000000001</v>
      </c>
      <c r="BG119">
        <v>0.72699999999999998</v>
      </c>
      <c r="BH119">
        <v>0.67600000000000005</v>
      </c>
      <c r="BI119">
        <v>0.63</v>
      </c>
      <c r="BJ119">
        <v>0.60199999999999998</v>
      </c>
      <c r="BK119">
        <v>0.63200000000000001</v>
      </c>
      <c r="BL119">
        <v>0.82899999999999996</v>
      </c>
    </row>
    <row r="120" spans="1:64" x14ac:dyDescent="0.25">
      <c r="A120">
        <v>0.65900000000000003</v>
      </c>
      <c r="B120">
        <v>0.66600000000000004</v>
      </c>
      <c r="C120">
        <v>0.78600000000000003</v>
      </c>
      <c r="D120">
        <v>0.80900000000000005</v>
      </c>
      <c r="E120">
        <v>0.83599999999999997</v>
      </c>
      <c r="F120">
        <v>0.90400000000000003</v>
      </c>
      <c r="G120">
        <v>0.96299999999999997</v>
      </c>
      <c r="H120">
        <v>0.98399999999999999</v>
      </c>
      <c r="I120">
        <v>0.92400000000000004</v>
      </c>
      <c r="J120">
        <v>0.91600000000000004</v>
      </c>
      <c r="K120">
        <v>0.86699999999999999</v>
      </c>
      <c r="L120">
        <v>0.81899999999999995</v>
      </c>
      <c r="M120">
        <v>0.85199999999999998</v>
      </c>
      <c r="N120">
        <v>0.81799999999999995</v>
      </c>
      <c r="O120">
        <v>0.77600000000000002</v>
      </c>
      <c r="P120">
        <v>0.745</v>
      </c>
      <c r="Q120">
        <v>0.753</v>
      </c>
      <c r="R120">
        <v>0.73199999999999998</v>
      </c>
      <c r="S120">
        <v>0.65900000000000003</v>
      </c>
      <c r="T120">
        <v>0.56200000000000006</v>
      </c>
      <c r="U120">
        <v>0.52900000000000003</v>
      </c>
      <c r="V120">
        <v>0.58199999999999996</v>
      </c>
      <c r="W120">
        <v>0.59199999999999997</v>
      </c>
      <c r="X120">
        <v>0.54</v>
      </c>
      <c r="Y120">
        <v>0.52700000000000002</v>
      </c>
      <c r="Z120">
        <v>0.56599999999999995</v>
      </c>
      <c r="AA120">
        <v>0.58899999999999997</v>
      </c>
      <c r="AB120">
        <v>0.61499999999999999</v>
      </c>
      <c r="AC120">
        <v>0.60499999999999998</v>
      </c>
      <c r="AD120">
        <v>0.57099999999999995</v>
      </c>
      <c r="AE120">
        <v>0.52100000000000002</v>
      </c>
      <c r="AF120">
        <v>0.49099999999999999</v>
      </c>
      <c r="AG120">
        <v>0.50700000000000001</v>
      </c>
      <c r="AH120">
        <v>0.56799999999999995</v>
      </c>
      <c r="AI120">
        <v>0.61899999999999999</v>
      </c>
      <c r="AJ120">
        <v>0.67100000000000004</v>
      </c>
      <c r="AK120">
        <v>0.70799999999999996</v>
      </c>
      <c r="AL120">
        <v>0.67600000000000005</v>
      </c>
      <c r="AM120">
        <v>0.625</v>
      </c>
      <c r="AN120">
        <v>0.55600000000000005</v>
      </c>
      <c r="AO120">
        <v>0.56200000000000006</v>
      </c>
      <c r="AP120">
        <v>0.63600000000000001</v>
      </c>
      <c r="AQ120">
        <v>0.63600000000000001</v>
      </c>
      <c r="AR120">
        <v>0.72799999999999998</v>
      </c>
      <c r="AS120">
        <v>0.92600000000000005</v>
      </c>
      <c r="AT120">
        <v>0.88400000000000001</v>
      </c>
      <c r="AU120">
        <v>0.85699999999999998</v>
      </c>
      <c r="AV120">
        <v>0.91700000000000004</v>
      </c>
      <c r="AW120">
        <v>0.92400000000000004</v>
      </c>
      <c r="AX120">
        <v>0.92700000000000005</v>
      </c>
      <c r="AY120">
        <v>0.90500000000000003</v>
      </c>
      <c r="AZ120">
        <v>0.85399999999999998</v>
      </c>
      <c r="BA120">
        <v>0.98799999999999999</v>
      </c>
      <c r="BB120">
        <v>0.99099999999999999</v>
      </c>
      <c r="BC120">
        <v>0.98899999999999999</v>
      </c>
      <c r="BD120">
        <v>0.97799999999999998</v>
      </c>
      <c r="BE120">
        <v>0.93899999999999995</v>
      </c>
      <c r="BF120">
        <v>0.89500000000000002</v>
      </c>
      <c r="BG120">
        <v>0.69699999999999995</v>
      </c>
      <c r="BH120">
        <v>0.57499999999999996</v>
      </c>
      <c r="BI120">
        <v>0.64900000000000002</v>
      </c>
      <c r="BJ120">
        <v>0.66200000000000003</v>
      </c>
      <c r="BK120">
        <v>0.72099999999999997</v>
      </c>
      <c r="BL120">
        <v>0.83699999999999997</v>
      </c>
    </row>
    <row r="121" spans="1:64" x14ac:dyDescent="0.25">
      <c r="A121">
        <v>0.60299999999999998</v>
      </c>
      <c r="B121">
        <v>0.628</v>
      </c>
      <c r="C121">
        <v>0.76200000000000001</v>
      </c>
      <c r="D121">
        <v>0.85799999999999998</v>
      </c>
      <c r="E121">
        <v>0.85</v>
      </c>
      <c r="F121">
        <v>0.81499999999999995</v>
      </c>
      <c r="G121">
        <v>0.871</v>
      </c>
      <c r="H121">
        <v>0.89200000000000002</v>
      </c>
      <c r="I121">
        <v>0.86299999999999999</v>
      </c>
      <c r="J121">
        <v>0.81</v>
      </c>
      <c r="K121">
        <v>0.873</v>
      </c>
      <c r="L121">
        <v>0.94299999999999995</v>
      </c>
      <c r="M121">
        <v>0.94899999999999995</v>
      </c>
      <c r="N121">
        <v>0.88100000000000001</v>
      </c>
      <c r="O121">
        <v>0.87</v>
      </c>
      <c r="P121">
        <v>0.79600000000000004</v>
      </c>
      <c r="Q121">
        <v>0.69799999999999995</v>
      </c>
      <c r="R121">
        <v>0.68500000000000005</v>
      </c>
      <c r="S121">
        <v>0.71599999999999997</v>
      </c>
      <c r="T121">
        <v>0.69</v>
      </c>
      <c r="U121">
        <v>0.67600000000000005</v>
      </c>
      <c r="V121">
        <v>0.626</v>
      </c>
      <c r="W121">
        <v>0.56999999999999995</v>
      </c>
      <c r="X121">
        <v>0.53600000000000003</v>
      </c>
      <c r="Y121">
        <v>0.51100000000000001</v>
      </c>
      <c r="Z121">
        <v>0.58199999999999996</v>
      </c>
      <c r="AA121">
        <v>0.66100000000000003</v>
      </c>
      <c r="AB121">
        <v>0.69399999999999995</v>
      </c>
      <c r="AC121">
        <v>0.64400000000000002</v>
      </c>
      <c r="AD121">
        <v>0.53500000000000003</v>
      </c>
      <c r="AE121">
        <v>0.48499999999999999</v>
      </c>
      <c r="AF121">
        <v>0.46200000000000002</v>
      </c>
      <c r="AG121">
        <v>0.51800000000000002</v>
      </c>
      <c r="AH121">
        <v>0.64</v>
      </c>
      <c r="AI121">
        <v>0.745</v>
      </c>
      <c r="AJ121">
        <v>0.79200000000000004</v>
      </c>
      <c r="AK121">
        <v>0.71299999999999997</v>
      </c>
      <c r="AL121">
        <v>0.625</v>
      </c>
      <c r="AM121">
        <v>0.54900000000000004</v>
      </c>
      <c r="AN121">
        <v>0.53300000000000003</v>
      </c>
      <c r="AO121">
        <v>0.55300000000000005</v>
      </c>
      <c r="AP121">
        <v>0.61799999999999999</v>
      </c>
      <c r="AQ121">
        <v>0.71399999999999997</v>
      </c>
      <c r="AR121">
        <v>0.91900000000000004</v>
      </c>
      <c r="AS121">
        <v>0.98199999999999998</v>
      </c>
      <c r="AT121">
        <v>0.81299999999999994</v>
      </c>
      <c r="AU121">
        <v>0.78500000000000003</v>
      </c>
      <c r="AV121">
        <v>0.81599999999999995</v>
      </c>
      <c r="AW121">
        <v>0.86099999999999999</v>
      </c>
      <c r="AX121">
        <v>0.90800000000000003</v>
      </c>
      <c r="AY121">
        <v>0.95499999999999996</v>
      </c>
      <c r="AZ121">
        <v>0.90100000000000002</v>
      </c>
      <c r="BA121">
        <v>0.98099999999999998</v>
      </c>
      <c r="BB121">
        <v>0.96</v>
      </c>
      <c r="BC121">
        <v>0.98599999999999999</v>
      </c>
      <c r="BD121">
        <v>0.98499999999999999</v>
      </c>
      <c r="BE121">
        <v>0.91500000000000004</v>
      </c>
      <c r="BF121">
        <v>0.87</v>
      </c>
      <c r="BG121">
        <v>0.71799999999999997</v>
      </c>
      <c r="BH121">
        <v>0.60599999999999998</v>
      </c>
      <c r="BI121">
        <v>0.70499999999999996</v>
      </c>
      <c r="BJ121">
        <v>0.72899999999999998</v>
      </c>
      <c r="BK121">
        <v>0.80500000000000005</v>
      </c>
      <c r="BL121">
        <v>0.74399999999999999</v>
      </c>
    </row>
    <row r="122" spans="1:64" x14ac:dyDescent="0.25">
      <c r="A122">
        <v>0.746</v>
      </c>
      <c r="B122">
        <v>0.78700000000000003</v>
      </c>
      <c r="C122">
        <v>0.84399999999999997</v>
      </c>
      <c r="D122">
        <v>0.93100000000000005</v>
      </c>
      <c r="E122">
        <v>0.88300000000000001</v>
      </c>
      <c r="F122">
        <v>0.80400000000000005</v>
      </c>
      <c r="G122">
        <v>0.90900000000000003</v>
      </c>
      <c r="H122">
        <v>0.98299999999999998</v>
      </c>
      <c r="I122">
        <v>0.94699999999999995</v>
      </c>
      <c r="J122">
        <v>0.78700000000000003</v>
      </c>
      <c r="K122">
        <v>0.84499999999999997</v>
      </c>
      <c r="L122">
        <v>0.96699999999999997</v>
      </c>
      <c r="M122">
        <v>0.95499999999999996</v>
      </c>
      <c r="N122">
        <v>0.88400000000000001</v>
      </c>
      <c r="O122">
        <v>0.91</v>
      </c>
      <c r="P122">
        <v>0.91500000000000004</v>
      </c>
      <c r="Q122">
        <v>0.82099999999999995</v>
      </c>
      <c r="R122">
        <v>0.71299999999999997</v>
      </c>
      <c r="S122">
        <v>0.73099999999999998</v>
      </c>
      <c r="T122">
        <v>0.76600000000000001</v>
      </c>
      <c r="U122">
        <v>0.76400000000000001</v>
      </c>
      <c r="V122">
        <v>0.66400000000000003</v>
      </c>
      <c r="W122">
        <v>0.61199999999999999</v>
      </c>
      <c r="X122">
        <v>0.60599999999999998</v>
      </c>
      <c r="Y122">
        <v>0.54500000000000004</v>
      </c>
      <c r="Z122">
        <v>0.53500000000000003</v>
      </c>
      <c r="AA122">
        <v>0.628</v>
      </c>
      <c r="AB122">
        <v>0.56499999999999995</v>
      </c>
      <c r="AC122">
        <v>0.48499999999999999</v>
      </c>
      <c r="AD122">
        <v>0.48</v>
      </c>
      <c r="AE122">
        <v>0.53400000000000003</v>
      </c>
      <c r="AF122">
        <v>0.54800000000000004</v>
      </c>
      <c r="AG122">
        <v>0.623</v>
      </c>
      <c r="AH122">
        <v>0.65800000000000003</v>
      </c>
      <c r="AI122">
        <v>0.73699999999999999</v>
      </c>
      <c r="AJ122">
        <v>0.73699999999999999</v>
      </c>
      <c r="AK122">
        <v>0.69599999999999995</v>
      </c>
      <c r="AL122">
        <v>0.60599999999999998</v>
      </c>
      <c r="AM122">
        <v>0.66200000000000003</v>
      </c>
      <c r="AN122">
        <v>0.63500000000000001</v>
      </c>
      <c r="AO122">
        <v>0.60699999999999998</v>
      </c>
      <c r="AP122">
        <v>0.72799999999999998</v>
      </c>
      <c r="AQ122">
        <v>0.92300000000000004</v>
      </c>
      <c r="AR122">
        <v>0.98399999999999999</v>
      </c>
      <c r="AS122">
        <v>0.89200000000000002</v>
      </c>
      <c r="AT122">
        <v>0.753</v>
      </c>
      <c r="AU122">
        <v>0.86799999999999999</v>
      </c>
      <c r="AV122">
        <v>0.873</v>
      </c>
      <c r="AW122">
        <v>0.96399999999999997</v>
      </c>
      <c r="AX122">
        <v>0.83399999999999996</v>
      </c>
      <c r="AY122">
        <v>0.90900000000000003</v>
      </c>
      <c r="AZ122">
        <v>0.91600000000000004</v>
      </c>
      <c r="BA122">
        <v>0.96699999999999997</v>
      </c>
      <c r="BB122">
        <v>0.94499999999999995</v>
      </c>
      <c r="BC122">
        <v>0.96599999999999997</v>
      </c>
      <c r="BD122">
        <v>0.94299999999999995</v>
      </c>
      <c r="BE122">
        <v>0.86299999999999999</v>
      </c>
      <c r="BF122">
        <v>0.82099999999999995</v>
      </c>
      <c r="BG122">
        <v>0.70199999999999996</v>
      </c>
      <c r="BH122">
        <v>0.58699999999999997</v>
      </c>
      <c r="BI122">
        <v>0.60299999999999998</v>
      </c>
      <c r="BJ122">
        <v>0.65200000000000002</v>
      </c>
      <c r="BK122">
        <v>0.66800000000000004</v>
      </c>
      <c r="BL122">
        <v>0.56499999999999995</v>
      </c>
    </row>
    <row r="123" spans="1:64" x14ac:dyDescent="0.25">
      <c r="A123">
        <v>0.83099999999999996</v>
      </c>
      <c r="B123">
        <v>0.93200000000000005</v>
      </c>
      <c r="C123">
        <v>0.93200000000000005</v>
      </c>
      <c r="D123">
        <v>0.94599999999999995</v>
      </c>
      <c r="E123">
        <v>0.93500000000000005</v>
      </c>
      <c r="F123">
        <v>0.81200000000000006</v>
      </c>
      <c r="G123">
        <v>0.95099999999999996</v>
      </c>
      <c r="H123">
        <v>0.94799999999999995</v>
      </c>
      <c r="I123">
        <v>0.89700000000000002</v>
      </c>
      <c r="J123">
        <v>0.91100000000000003</v>
      </c>
      <c r="K123">
        <v>0.86099999999999999</v>
      </c>
      <c r="L123">
        <v>0.95799999999999996</v>
      </c>
      <c r="M123">
        <v>0.97899999999999998</v>
      </c>
      <c r="N123">
        <v>0.95599999999999996</v>
      </c>
      <c r="O123">
        <v>0.99099999999999999</v>
      </c>
      <c r="P123">
        <v>0.99</v>
      </c>
      <c r="Q123">
        <v>0.88700000000000001</v>
      </c>
      <c r="R123">
        <v>0.79800000000000004</v>
      </c>
      <c r="S123">
        <v>0.70099999999999996</v>
      </c>
      <c r="T123">
        <v>0.77500000000000002</v>
      </c>
      <c r="U123">
        <v>0.83499999999999996</v>
      </c>
      <c r="V123">
        <v>0.73699999999999999</v>
      </c>
      <c r="W123">
        <v>0.70299999999999996</v>
      </c>
      <c r="X123">
        <v>0.67400000000000004</v>
      </c>
      <c r="Y123">
        <v>0.61399999999999999</v>
      </c>
      <c r="Z123">
        <v>0.52700000000000002</v>
      </c>
      <c r="AA123">
        <v>0.55300000000000005</v>
      </c>
      <c r="AB123">
        <v>0.49399999999999999</v>
      </c>
      <c r="AC123">
        <v>0.503</v>
      </c>
      <c r="AD123">
        <v>0.59699999999999998</v>
      </c>
      <c r="AE123">
        <v>0.68600000000000005</v>
      </c>
      <c r="AF123">
        <v>0.71399999999999997</v>
      </c>
      <c r="AG123">
        <v>0.77600000000000002</v>
      </c>
      <c r="AH123">
        <v>0.67800000000000005</v>
      </c>
      <c r="AI123">
        <v>0.60399999999999998</v>
      </c>
      <c r="AJ123">
        <v>0.61199999999999999</v>
      </c>
      <c r="AK123">
        <v>0.70499999999999996</v>
      </c>
      <c r="AL123">
        <v>0.621</v>
      </c>
      <c r="AM123">
        <v>0.75600000000000001</v>
      </c>
      <c r="AN123">
        <v>0.78300000000000003</v>
      </c>
      <c r="AO123">
        <v>0.72899999999999998</v>
      </c>
      <c r="AP123">
        <v>0.91100000000000003</v>
      </c>
      <c r="AQ123">
        <v>0.95599999999999996</v>
      </c>
      <c r="AR123">
        <v>0.86399999999999999</v>
      </c>
      <c r="AS123">
        <v>0.71399999999999997</v>
      </c>
      <c r="AT123">
        <v>0.76300000000000001</v>
      </c>
      <c r="AU123">
        <v>0.94699999999999995</v>
      </c>
      <c r="AV123">
        <v>0.93600000000000005</v>
      </c>
      <c r="AW123">
        <v>0.98799999999999999</v>
      </c>
      <c r="AX123">
        <v>0.95</v>
      </c>
      <c r="AY123">
        <v>0.86399999999999999</v>
      </c>
      <c r="AZ123">
        <v>0.80500000000000005</v>
      </c>
      <c r="BA123">
        <v>0.77300000000000002</v>
      </c>
      <c r="BB123">
        <v>0.73799999999999999</v>
      </c>
      <c r="BC123">
        <v>0.79200000000000004</v>
      </c>
      <c r="BD123">
        <v>0.91200000000000003</v>
      </c>
      <c r="BE123">
        <v>0.83299999999999996</v>
      </c>
      <c r="BF123">
        <v>0.73</v>
      </c>
      <c r="BG123">
        <v>0.61699999999999999</v>
      </c>
      <c r="BH123">
        <v>0.55300000000000005</v>
      </c>
      <c r="BI123">
        <v>0.54800000000000004</v>
      </c>
      <c r="BJ123">
        <v>0.56399999999999995</v>
      </c>
      <c r="BK123">
        <v>0.54300000000000004</v>
      </c>
      <c r="BL123">
        <v>0.51900000000000002</v>
      </c>
    </row>
    <row r="124" spans="1:64" x14ac:dyDescent="0.25">
      <c r="A124">
        <v>0.98499999999999999</v>
      </c>
      <c r="B124">
        <v>0.98799999999999999</v>
      </c>
      <c r="C124">
        <v>0.99</v>
      </c>
      <c r="D124">
        <v>0.98199999999999998</v>
      </c>
      <c r="E124">
        <v>0.86799999999999999</v>
      </c>
      <c r="F124">
        <v>0.80400000000000005</v>
      </c>
      <c r="G124">
        <v>0.95699999999999996</v>
      </c>
      <c r="H124">
        <v>0.95199999999999996</v>
      </c>
      <c r="I124">
        <v>0.93</v>
      </c>
      <c r="J124">
        <v>0.92600000000000005</v>
      </c>
      <c r="K124">
        <v>0.88800000000000001</v>
      </c>
      <c r="L124">
        <v>0.91</v>
      </c>
      <c r="M124">
        <v>0.92800000000000005</v>
      </c>
      <c r="N124">
        <v>0.96799999999999997</v>
      </c>
      <c r="O124">
        <v>0.96399999999999997</v>
      </c>
      <c r="P124">
        <v>0.89600000000000002</v>
      </c>
      <c r="Q124">
        <v>0.78500000000000003</v>
      </c>
      <c r="R124">
        <v>0.83</v>
      </c>
      <c r="S124">
        <v>0.85199999999999998</v>
      </c>
      <c r="T124">
        <v>0.80700000000000005</v>
      </c>
      <c r="U124">
        <v>0.79500000000000004</v>
      </c>
      <c r="V124">
        <v>0.73199999999999998</v>
      </c>
      <c r="W124">
        <v>0.76200000000000001</v>
      </c>
      <c r="X124">
        <v>0.81499999999999995</v>
      </c>
      <c r="Y124">
        <v>0.755</v>
      </c>
      <c r="Z124">
        <v>0.63700000000000001</v>
      </c>
      <c r="AA124">
        <v>0.67500000000000004</v>
      </c>
      <c r="AB124">
        <v>0.67300000000000004</v>
      </c>
      <c r="AC124">
        <v>0.72199999999999998</v>
      </c>
      <c r="AD124">
        <v>0.73099999999999998</v>
      </c>
      <c r="AE124">
        <v>0.72799999999999998</v>
      </c>
      <c r="AF124">
        <v>0.73899999999999999</v>
      </c>
      <c r="AG124">
        <v>0.77</v>
      </c>
      <c r="AH124">
        <v>0.755</v>
      </c>
      <c r="AI124">
        <v>0.78400000000000003</v>
      </c>
      <c r="AJ124">
        <v>0.78200000000000003</v>
      </c>
      <c r="AK124">
        <v>0.75900000000000001</v>
      </c>
      <c r="AL124">
        <v>0.70599999999999996</v>
      </c>
      <c r="AM124">
        <v>0.78100000000000003</v>
      </c>
      <c r="AN124">
        <v>0.78500000000000003</v>
      </c>
      <c r="AO124">
        <v>0.79500000000000004</v>
      </c>
      <c r="AP124">
        <v>0.94199999999999995</v>
      </c>
      <c r="AQ124">
        <v>0.85799999999999998</v>
      </c>
      <c r="AR124">
        <v>0.78300000000000003</v>
      </c>
      <c r="AS124">
        <v>0.80500000000000005</v>
      </c>
      <c r="AT124">
        <v>0.94099999999999995</v>
      </c>
      <c r="AU124">
        <v>0.98599999999999999</v>
      </c>
      <c r="AV124">
        <v>0.98899999999999999</v>
      </c>
      <c r="AW124">
        <v>0.97199999999999998</v>
      </c>
      <c r="AX124">
        <v>0.99099999999999999</v>
      </c>
      <c r="AY124">
        <v>0.872</v>
      </c>
      <c r="AZ124">
        <v>0.76100000000000001</v>
      </c>
      <c r="BA124">
        <v>0.81</v>
      </c>
      <c r="BB124">
        <v>0.88500000000000001</v>
      </c>
      <c r="BC124">
        <v>0.88400000000000001</v>
      </c>
      <c r="BD124">
        <v>0.91400000000000003</v>
      </c>
      <c r="BE124">
        <v>0.79500000000000004</v>
      </c>
      <c r="BF124">
        <v>0.63900000000000001</v>
      </c>
      <c r="BG124">
        <v>0.65400000000000003</v>
      </c>
      <c r="BH124">
        <v>0.68600000000000005</v>
      </c>
      <c r="BI124">
        <v>0.60699999999999998</v>
      </c>
      <c r="BJ124">
        <v>0.61299999999999999</v>
      </c>
      <c r="BK124">
        <v>0.57699999999999996</v>
      </c>
      <c r="BL124">
        <v>0.55700000000000005</v>
      </c>
    </row>
    <row r="125" spans="1:64" x14ac:dyDescent="0.25">
      <c r="A125">
        <v>0.98299999999999998</v>
      </c>
      <c r="B125">
        <v>0.98</v>
      </c>
      <c r="C125">
        <v>0.89200000000000002</v>
      </c>
      <c r="D125">
        <v>0.84799999999999998</v>
      </c>
      <c r="E125">
        <v>0.84899999999999998</v>
      </c>
      <c r="F125">
        <v>0.91200000000000003</v>
      </c>
      <c r="G125">
        <v>0.95199999999999996</v>
      </c>
      <c r="H125">
        <v>0.94599999999999995</v>
      </c>
      <c r="I125">
        <v>0.89200000000000002</v>
      </c>
      <c r="J125">
        <v>0.85599999999999998</v>
      </c>
      <c r="K125">
        <v>0.84099999999999997</v>
      </c>
      <c r="L125">
        <v>0.81100000000000005</v>
      </c>
      <c r="M125">
        <v>0.78600000000000003</v>
      </c>
      <c r="N125">
        <v>0.80600000000000005</v>
      </c>
      <c r="O125">
        <v>0.80600000000000005</v>
      </c>
      <c r="P125">
        <v>0.78600000000000003</v>
      </c>
      <c r="Q125">
        <v>0.84799999999999998</v>
      </c>
      <c r="R125">
        <v>0.94399999999999995</v>
      </c>
      <c r="S125">
        <v>0.94299999999999995</v>
      </c>
      <c r="T125">
        <v>0.82299999999999995</v>
      </c>
      <c r="U125">
        <v>0.71499999999999997</v>
      </c>
      <c r="V125">
        <v>0.69299999999999995</v>
      </c>
      <c r="W125">
        <v>0.75600000000000001</v>
      </c>
      <c r="X125">
        <v>0.83499999999999996</v>
      </c>
      <c r="Y125">
        <v>0.80600000000000005</v>
      </c>
      <c r="Z125">
        <v>0.72199999999999998</v>
      </c>
      <c r="AA125">
        <v>0.81499999999999995</v>
      </c>
      <c r="AB125">
        <v>0.77900000000000003</v>
      </c>
      <c r="AC125">
        <v>0.74099999999999999</v>
      </c>
      <c r="AD125">
        <v>0.73799999999999999</v>
      </c>
      <c r="AE125">
        <v>0.72899999999999998</v>
      </c>
      <c r="AF125">
        <v>0.72499999999999998</v>
      </c>
      <c r="AG125">
        <v>0.76100000000000001</v>
      </c>
      <c r="AH125">
        <v>0.79300000000000004</v>
      </c>
      <c r="AI125">
        <v>0.90700000000000003</v>
      </c>
      <c r="AJ125">
        <v>0.88</v>
      </c>
      <c r="AK125">
        <v>0.85</v>
      </c>
      <c r="AL125">
        <v>0.83599999999999997</v>
      </c>
      <c r="AM125">
        <v>0.79600000000000004</v>
      </c>
      <c r="AN125">
        <v>0.71</v>
      </c>
      <c r="AO125">
        <v>0.84699999999999998</v>
      </c>
      <c r="AP125">
        <v>0.96099999999999997</v>
      </c>
      <c r="AQ125">
        <v>0.87</v>
      </c>
      <c r="AR125">
        <v>0.94199999999999995</v>
      </c>
      <c r="AS125">
        <v>0.97</v>
      </c>
      <c r="AT125">
        <v>0.98699999999999999</v>
      </c>
      <c r="AU125">
        <v>0.98499999999999999</v>
      </c>
      <c r="AV125">
        <v>0.97499999999999998</v>
      </c>
      <c r="AW125">
        <v>0.95199999999999996</v>
      </c>
      <c r="AX125">
        <v>0.91800000000000004</v>
      </c>
      <c r="AY125">
        <v>0.753</v>
      </c>
      <c r="AZ125">
        <v>0.78600000000000003</v>
      </c>
      <c r="BA125">
        <v>0.91500000000000004</v>
      </c>
      <c r="BB125">
        <v>0.9</v>
      </c>
      <c r="BC125">
        <v>0.88</v>
      </c>
      <c r="BD125">
        <v>0.90100000000000002</v>
      </c>
      <c r="BE125">
        <v>0.753</v>
      </c>
      <c r="BF125">
        <v>0.66700000000000004</v>
      </c>
      <c r="BG125">
        <v>0.71699999999999997</v>
      </c>
      <c r="BH125">
        <v>0.76600000000000001</v>
      </c>
      <c r="BI125">
        <v>0.626</v>
      </c>
      <c r="BJ125">
        <v>0.53</v>
      </c>
      <c r="BK125">
        <v>0.52200000000000002</v>
      </c>
      <c r="BL125">
        <v>0.59199999999999997</v>
      </c>
    </row>
    <row r="126" spans="1:64" x14ac:dyDescent="0.25">
      <c r="A126">
        <v>0.91800000000000004</v>
      </c>
      <c r="B126">
        <v>0.95099999999999996</v>
      </c>
      <c r="C126">
        <v>0.93500000000000005</v>
      </c>
      <c r="D126">
        <v>0.90700000000000003</v>
      </c>
      <c r="E126">
        <v>0.93500000000000005</v>
      </c>
      <c r="F126">
        <v>0.96299999999999997</v>
      </c>
      <c r="G126">
        <v>0.95199999999999996</v>
      </c>
      <c r="H126">
        <v>0.97499999999999998</v>
      </c>
      <c r="I126">
        <v>0.94599999999999995</v>
      </c>
      <c r="J126">
        <v>0.93</v>
      </c>
      <c r="K126">
        <v>0.97799999999999998</v>
      </c>
      <c r="L126">
        <v>0.996</v>
      </c>
      <c r="M126">
        <v>0.98199999999999998</v>
      </c>
      <c r="N126">
        <v>0.95</v>
      </c>
      <c r="O126">
        <v>0.90300000000000002</v>
      </c>
      <c r="P126">
        <v>0.90200000000000002</v>
      </c>
      <c r="Q126">
        <v>0.96</v>
      </c>
      <c r="R126">
        <v>0.96599999999999997</v>
      </c>
      <c r="S126">
        <v>0.91600000000000004</v>
      </c>
      <c r="T126">
        <v>0.86899999999999999</v>
      </c>
      <c r="U126">
        <v>0.83199999999999996</v>
      </c>
      <c r="V126">
        <v>0.77700000000000002</v>
      </c>
      <c r="W126">
        <v>0.81499999999999995</v>
      </c>
      <c r="X126">
        <v>0.86399999999999999</v>
      </c>
      <c r="Y126">
        <v>0.85599999999999998</v>
      </c>
      <c r="Z126">
        <v>0.74199999999999999</v>
      </c>
      <c r="AA126">
        <v>0.69699999999999995</v>
      </c>
      <c r="AB126">
        <v>0.62</v>
      </c>
      <c r="AC126">
        <v>0.63</v>
      </c>
      <c r="AD126">
        <v>0.66600000000000004</v>
      </c>
      <c r="AE126">
        <v>0.66900000000000004</v>
      </c>
      <c r="AF126">
        <v>0.73499999999999999</v>
      </c>
      <c r="AG126">
        <v>0.82</v>
      </c>
      <c r="AH126">
        <v>0.753</v>
      </c>
      <c r="AI126">
        <v>0.67600000000000005</v>
      </c>
      <c r="AJ126">
        <v>0.71899999999999997</v>
      </c>
      <c r="AK126">
        <v>0.77400000000000002</v>
      </c>
      <c r="AL126">
        <v>0.77800000000000002</v>
      </c>
      <c r="AM126">
        <v>0.78300000000000003</v>
      </c>
      <c r="AN126">
        <v>0.751</v>
      </c>
      <c r="AO126">
        <v>0.93</v>
      </c>
      <c r="AP126">
        <v>0.93600000000000005</v>
      </c>
      <c r="AQ126">
        <v>0.86599999999999999</v>
      </c>
      <c r="AR126">
        <v>0.96099999999999997</v>
      </c>
      <c r="AS126">
        <v>0.97799999999999998</v>
      </c>
      <c r="AT126">
        <v>0.95599999999999996</v>
      </c>
      <c r="AU126">
        <v>0.95799999999999996</v>
      </c>
      <c r="AV126">
        <v>0.88400000000000001</v>
      </c>
      <c r="AW126">
        <v>0.83399999999999996</v>
      </c>
      <c r="AX126">
        <v>0.77700000000000002</v>
      </c>
      <c r="AY126">
        <v>0.73799999999999999</v>
      </c>
      <c r="AZ126">
        <v>0.876</v>
      </c>
      <c r="BA126">
        <v>0.96299999999999997</v>
      </c>
      <c r="BB126">
        <v>0.93600000000000005</v>
      </c>
      <c r="BC126">
        <v>0.86399999999999999</v>
      </c>
      <c r="BD126">
        <v>0.80400000000000005</v>
      </c>
      <c r="BE126">
        <v>0.71499999999999997</v>
      </c>
      <c r="BF126">
        <v>0.65100000000000002</v>
      </c>
      <c r="BG126">
        <v>0.68899999999999995</v>
      </c>
      <c r="BH126">
        <v>0.73199999999999998</v>
      </c>
      <c r="BI126">
        <v>0.60499999999999998</v>
      </c>
      <c r="BJ126">
        <v>0.48899999999999999</v>
      </c>
      <c r="BK126">
        <v>0.504</v>
      </c>
      <c r="BL126">
        <v>0.63500000000000001</v>
      </c>
    </row>
    <row r="127" spans="1:64" x14ac:dyDescent="0.25">
      <c r="A127">
        <v>0.98199999999999998</v>
      </c>
      <c r="B127">
        <v>0.99099999999999999</v>
      </c>
      <c r="C127">
        <v>0.84499999999999997</v>
      </c>
      <c r="D127">
        <v>0.79800000000000004</v>
      </c>
      <c r="E127">
        <v>0.82399999999999995</v>
      </c>
      <c r="F127">
        <v>0.78900000000000003</v>
      </c>
      <c r="G127">
        <v>0.755</v>
      </c>
      <c r="H127">
        <v>0.747</v>
      </c>
      <c r="I127">
        <v>0.76800000000000002</v>
      </c>
      <c r="J127">
        <v>0.81</v>
      </c>
      <c r="K127">
        <v>0.86599999999999999</v>
      </c>
      <c r="L127">
        <v>0.91900000000000004</v>
      </c>
      <c r="M127">
        <v>0.91100000000000003</v>
      </c>
      <c r="N127">
        <v>0.96</v>
      </c>
      <c r="O127">
        <v>0.96</v>
      </c>
      <c r="P127">
        <v>0.95299999999999996</v>
      </c>
      <c r="Q127">
        <v>0.97199999999999998</v>
      </c>
      <c r="R127">
        <v>0.98599999999999999</v>
      </c>
      <c r="S127">
        <v>0.93500000000000005</v>
      </c>
      <c r="T127">
        <v>0.82699999999999996</v>
      </c>
      <c r="U127">
        <v>0.84199999999999997</v>
      </c>
      <c r="V127">
        <v>0.90700000000000003</v>
      </c>
      <c r="W127">
        <v>0.96499999999999997</v>
      </c>
      <c r="X127">
        <v>0.9</v>
      </c>
      <c r="Y127">
        <v>0.79900000000000004</v>
      </c>
      <c r="Z127">
        <v>0.70899999999999996</v>
      </c>
      <c r="AA127">
        <v>0.68300000000000005</v>
      </c>
      <c r="AB127">
        <v>0.61599999999999999</v>
      </c>
      <c r="AC127">
        <v>0.65300000000000002</v>
      </c>
      <c r="AD127">
        <v>0.72299999999999998</v>
      </c>
      <c r="AE127">
        <v>0.80400000000000005</v>
      </c>
      <c r="AF127">
        <v>0.86099999999999999</v>
      </c>
      <c r="AG127">
        <v>0.80700000000000005</v>
      </c>
      <c r="AH127">
        <v>0.74</v>
      </c>
      <c r="AI127">
        <v>0.70099999999999996</v>
      </c>
      <c r="AJ127">
        <v>0.70099999999999996</v>
      </c>
      <c r="AK127">
        <v>0.73099999999999998</v>
      </c>
      <c r="AL127">
        <v>0.76200000000000001</v>
      </c>
      <c r="AM127">
        <v>0.84599999999999997</v>
      </c>
      <c r="AN127">
        <v>0.93600000000000005</v>
      </c>
      <c r="AO127">
        <v>0.89700000000000002</v>
      </c>
      <c r="AP127">
        <v>0.878</v>
      </c>
      <c r="AQ127">
        <v>0.874</v>
      </c>
      <c r="AR127">
        <v>0.91500000000000004</v>
      </c>
      <c r="AS127">
        <v>0.89300000000000002</v>
      </c>
      <c r="AT127">
        <v>0.94499999999999995</v>
      </c>
      <c r="AU127">
        <v>0.97699999999999998</v>
      </c>
      <c r="AV127">
        <v>0.90300000000000002</v>
      </c>
      <c r="AW127">
        <v>0.871</v>
      </c>
      <c r="AX127">
        <v>0.85499999999999998</v>
      </c>
      <c r="AY127">
        <v>0.89400000000000002</v>
      </c>
      <c r="AZ127">
        <v>0.97399999999999998</v>
      </c>
      <c r="BA127">
        <v>0.99</v>
      </c>
      <c r="BB127">
        <v>0.92900000000000005</v>
      </c>
      <c r="BC127">
        <v>0.76800000000000002</v>
      </c>
      <c r="BD127">
        <v>0.68600000000000005</v>
      </c>
      <c r="BE127">
        <v>0.65300000000000002</v>
      </c>
      <c r="BF127">
        <v>0.58199999999999996</v>
      </c>
      <c r="BG127">
        <v>0.59399999999999997</v>
      </c>
      <c r="BH127">
        <v>0.58699999999999997</v>
      </c>
      <c r="BI127">
        <v>0.55100000000000005</v>
      </c>
      <c r="BJ127">
        <v>0.54600000000000004</v>
      </c>
      <c r="BK127">
        <v>0.53400000000000003</v>
      </c>
      <c r="BL127">
        <v>0.59299999999999997</v>
      </c>
    </row>
    <row r="128" spans="1:64" x14ac:dyDescent="0.25">
      <c r="A128">
        <v>0.86299999999999999</v>
      </c>
      <c r="B128">
        <v>0.91400000000000003</v>
      </c>
      <c r="C128">
        <v>0.70199999999999996</v>
      </c>
      <c r="D128">
        <v>0.68799999999999994</v>
      </c>
      <c r="E128">
        <v>0.84099999999999997</v>
      </c>
      <c r="F128">
        <v>0.85299999999999998</v>
      </c>
      <c r="G128">
        <v>0.77900000000000003</v>
      </c>
      <c r="H128">
        <v>0.75</v>
      </c>
      <c r="I128">
        <v>0.752</v>
      </c>
      <c r="J128">
        <v>0.83299999999999996</v>
      </c>
      <c r="K128">
        <v>0.90400000000000003</v>
      </c>
      <c r="L128">
        <v>0.92300000000000004</v>
      </c>
      <c r="M128">
        <v>0.94399999999999995</v>
      </c>
      <c r="N128">
        <v>0.86499999999999999</v>
      </c>
      <c r="O128">
        <v>0.81599999999999995</v>
      </c>
      <c r="P128">
        <v>0.82699999999999996</v>
      </c>
      <c r="Q128">
        <v>0.83099999999999996</v>
      </c>
      <c r="R128">
        <v>0.91500000000000004</v>
      </c>
      <c r="S128">
        <v>0.91900000000000004</v>
      </c>
      <c r="T128">
        <v>0.76200000000000001</v>
      </c>
      <c r="U128">
        <v>0.78200000000000003</v>
      </c>
      <c r="V128">
        <v>0.92900000000000005</v>
      </c>
      <c r="W128">
        <v>0.90100000000000002</v>
      </c>
      <c r="X128">
        <v>0.78200000000000003</v>
      </c>
      <c r="Y128">
        <v>0.84299999999999997</v>
      </c>
      <c r="Z128">
        <v>0.85599999999999998</v>
      </c>
      <c r="AA128">
        <v>0.89200000000000002</v>
      </c>
      <c r="AB128">
        <v>0.76600000000000001</v>
      </c>
      <c r="AC128">
        <v>0.76600000000000001</v>
      </c>
      <c r="AD128">
        <v>0.78900000000000003</v>
      </c>
      <c r="AE128">
        <v>0.83399999999999996</v>
      </c>
      <c r="AF128">
        <v>0.80500000000000005</v>
      </c>
      <c r="AG128">
        <v>0.75900000000000001</v>
      </c>
      <c r="AH128">
        <v>0.84399999999999997</v>
      </c>
      <c r="AI128">
        <v>0.88</v>
      </c>
      <c r="AJ128">
        <v>0.86199999999999999</v>
      </c>
      <c r="AK128">
        <v>0.88100000000000001</v>
      </c>
      <c r="AL128">
        <v>0.94199999999999995</v>
      </c>
      <c r="AM128">
        <v>0.97899999999999998</v>
      </c>
      <c r="AN128">
        <v>0.95599999999999996</v>
      </c>
      <c r="AO128">
        <v>0.875</v>
      </c>
      <c r="AP128">
        <v>0.79200000000000004</v>
      </c>
      <c r="AQ128">
        <v>0.95299999999999996</v>
      </c>
      <c r="AR128">
        <v>0.997</v>
      </c>
      <c r="AS128">
        <v>0.96499999999999997</v>
      </c>
      <c r="AT128">
        <v>0.98899999999999999</v>
      </c>
      <c r="AU128">
        <v>0.96799999999999997</v>
      </c>
      <c r="AV128">
        <v>0.88200000000000001</v>
      </c>
      <c r="AW128">
        <v>0.94399999999999995</v>
      </c>
      <c r="AX128">
        <v>0.93700000000000006</v>
      </c>
      <c r="AY128">
        <v>0.93899999999999995</v>
      </c>
      <c r="AZ128">
        <v>0.97199999999999998</v>
      </c>
      <c r="BA128">
        <v>0.91500000000000004</v>
      </c>
      <c r="BB128">
        <v>0.77600000000000002</v>
      </c>
      <c r="BC128">
        <v>0.76100000000000001</v>
      </c>
      <c r="BD128">
        <v>0.76700000000000002</v>
      </c>
      <c r="BE128">
        <v>0.66700000000000004</v>
      </c>
      <c r="BF128">
        <v>0.57899999999999996</v>
      </c>
      <c r="BG128">
        <v>0.56899999999999995</v>
      </c>
      <c r="BH128">
        <v>0.56599999999999995</v>
      </c>
      <c r="BI128">
        <v>0.57799999999999996</v>
      </c>
      <c r="BJ128">
        <v>0.60799999999999998</v>
      </c>
      <c r="BK128">
        <v>0.58299999999999996</v>
      </c>
      <c r="BL128">
        <v>0.59</v>
      </c>
    </row>
    <row r="129" spans="1:64" x14ac:dyDescent="0.25">
      <c r="A129">
        <v>0.99</v>
      </c>
      <c r="B129">
        <v>0.88400000000000001</v>
      </c>
      <c r="C129">
        <v>0.69899999999999995</v>
      </c>
      <c r="D129">
        <v>0.76900000000000002</v>
      </c>
      <c r="E129">
        <v>0.89200000000000002</v>
      </c>
      <c r="F129">
        <v>0.89500000000000002</v>
      </c>
      <c r="G129">
        <v>0.82699999999999996</v>
      </c>
      <c r="H129">
        <v>0.76500000000000001</v>
      </c>
      <c r="I129">
        <v>0.69</v>
      </c>
      <c r="J129">
        <v>0.71699999999999997</v>
      </c>
      <c r="K129">
        <v>0.85199999999999998</v>
      </c>
      <c r="L129">
        <v>0.86799999999999999</v>
      </c>
      <c r="M129">
        <v>0.90400000000000003</v>
      </c>
      <c r="N129">
        <v>0.85299999999999998</v>
      </c>
      <c r="O129">
        <v>0.76600000000000001</v>
      </c>
      <c r="P129">
        <v>0.73499999999999999</v>
      </c>
      <c r="Q129">
        <v>0.7</v>
      </c>
      <c r="R129">
        <v>0.77</v>
      </c>
      <c r="S129">
        <v>0.83</v>
      </c>
      <c r="T129">
        <v>0.71799999999999997</v>
      </c>
      <c r="U129">
        <v>0.79500000000000004</v>
      </c>
      <c r="V129">
        <v>0.85099999999999998</v>
      </c>
      <c r="W129">
        <v>0.80800000000000005</v>
      </c>
      <c r="X129">
        <v>0.79500000000000004</v>
      </c>
      <c r="Y129">
        <v>0.89400000000000002</v>
      </c>
      <c r="Z129">
        <v>0.878</v>
      </c>
      <c r="AA129">
        <v>0.90300000000000002</v>
      </c>
      <c r="AB129">
        <v>0.77100000000000002</v>
      </c>
      <c r="AC129">
        <v>0.82099999999999995</v>
      </c>
      <c r="AD129">
        <v>0.89600000000000002</v>
      </c>
      <c r="AE129">
        <v>0.82199999999999995</v>
      </c>
      <c r="AF129">
        <v>0.71299999999999997</v>
      </c>
      <c r="AG129">
        <v>0.74299999999999999</v>
      </c>
      <c r="AH129">
        <v>0.82099999999999995</v>
      </c>
      <c r="AI129">
        <v>0.92200000000000004</v>
      </c>
      <c r="AJ129">
        <v>0.98599999999999999</v>
      </c>
      <c r="AK129">
        <v>0.998</v>
      </c>
      <c r="AL129">
        <v>0.999</v>
      </c>
      <c r="AM129">
        <v>0.97799999999999998</v>
      </c>
      <c r="AN129">
        <v>0.88300000000000001</v>
      </c>
      <c r="AO129">
        <v>0.81499999999999995</v>
      </c>
      <c r="AP129">
        <v>0.83</v>
      </c>
      <c r="AQ129">
        <v>0.97399999999999998</v>
      </c>
      <c r="AR129">
        <v>0.998</v>
      </c>
      <c r="AS129">
        <v>0.97199999999999998</v>
      </c>
      <c r="AT129">
        <v>0.997</v>
      </c>
      <c r="AU129">
        <v>0.95699999999999996</v>
      </c>
      <c r="AV129">
        <v>0.82699999999999996</v>
      </c>
      <c r="AW129">
        <v>0.94499999999999995</v>
      </c>
      <c r="AX129">
        <v>0.96099999999999997</v>
      </c>
      <c r="AY129">
        <v>0.92300000000000004</v>
      </c>
      <c r="AZ129">
        <v>0.95499999999999996</v>
      </c>
      <c r="BA129">
        <v>0.85299999999999998</v>
      </c>
      <c r="BB129">
        <v>0.749</v>
      </c>
      <c r="BC129">
        <v>0.78</v>
      </c>
      <c r="BD129">
        <v>0.78700000000000003</v>
      </c>
      <c r="BE129">
        <v>0.66</v>
      </c>
      <c r="BF129">
        <v>0.58799999999999997</v>
      </c>
      <c r="BG129">
        <v>0.60099999999999998</v>
      </c>
      <c r="BH129">
        <v>0.627</v>
      </c>
      <c r="BI129">
        <v>0.68200000000000005</v>
      </c>
      <c r="BJ129">
        <v>0.751</v>
      </c>
      <c r="BK129">
        <v>0.69399999999999995</v>
      </c>
      <c r="BL129">
        <v>0.63200000000000001</v>
      </c>
    </row>
    <row r="131" spans="1:64" x14ac:dyDescent="0.25">
      <c r="A131">
        <v>0.51700000000000002</v>
      </c>
      <c r="B131">
        <v>0.314</v>
      </c>
      <c r="C131">
        <v>-2.3E-2</v>
      </c>
      <c r="D131">
        <v>-0.1</v>
      </c>
      <c r="E131">
        <v>2.1999999999999999E-2</v>
      </c>
      <c r="F131">
        <v>0.35099999999999998</v>
      </c>
      <c r="G131">
        <v>0.48499999999999999</v>
      </c>
      <c r="H131">
        <v>0.38100000000000001</v>
      </c>
      <c r="I131">
        <v>0.19500000000000001</v>
      </c>
      <c r="J131">
        <v>7.2999999999999995E-2</v>
      </c>
      <c r="K131">
        <v>-4.7E-2</v>
      </c>
      <c r="L131">
        <v>-0.42099999999999999</v>
      </c>
      <c r="M131">
        <v>-0.69799999999999995</v>
      </c>
      <c r="N131">
        <v>-0.50700000000000001</v>
      </c>
      <c r="O131">
        <v>-0.23</v>
      </c>
      <c r="P131">
        <v>-0.318</v>
      </c>
      <c r="Q131">
        <v>-0.214</v>
      </c>
      <c r="R131">
        <v>-0.107</v>
      </c>
      <c r="S131">
        <v>-6.9000000000000006E-2</v>
      </c>
      <c r="T131">
        <v>-7.9000000000000001E-2</v>
      </c>
      <c r="U131">
        <v>-0.312</v>
      </c>
      <c r="V131">
        <v>-0.374</v>
      </c>
      <c r="W131">
        <v>-6.4000000000000001E-2</v>
      </c>
      <c r="X131">
        <v>0.115</v>
      </c>
      <c r="Y131">
        <v>0.128</v>
      </c>
      <c r="Z131">
        <v>-4.0000000000000001E-3</v>
      </c>
      <c r="AA131">
        <v>-0.123</v>
      </c>
      <c r="AB131">
        <v>-0.29399999999999998</v>
      </c>
      <c r="AC131">
        <v>-0.42499999999999999</v>
      </c>
      <c r="AD131">
        <v>-0.45</v>
      </c>
      <c r="AE131">
        <v>-0.52900000000000003</v>
      </c>
      <c r="AF131">
        <v>-0.67900000000000005</v>
      </c>
      <c r="AG131">
        <v>-0.78800000000000003</v>
      </c>
      <c r="AH131">
        <v>-0.68500000000000005</v>
      </c>
      <c r="AI131">
        <v>-0.41299999999999998</v>
      </c>
      <c r="AJ131">
        <v>-0.434</v>
      </c>
      <c r="AK131">
        <v>-0.623</v>
      </c>
      <c r="AL131">
        <v>-0.71499999999999997</v>
      </c>
      <c r="AM131">
        <v>-0.61</v>
      </c>
      <c r="AN131">
        <v>-0.45100000000000001</v>
      </c>
      <c r="AO131">
        <v>-0.54900000000000004</v>
      </c>
      <c r="AP131">
        <v>-0.70199999999999996</v>
      </c>
      <c r="AQ131">
        <v>-0.57599999999999996</v>
      </c>
      <c r="AR131">
        <v>-2.9000000000000001E-2</v>
      </c>
      <c r="AS131">
        <v>0.19600000000000001</v>
      </c>
      <c r="AT131">
        <v>-2.4E-2</v>
      </c>
      <c r="AU131">
        <v>-0.26300000000000001</v>
      </c>
      <c r="AV131">
        <v>-0.255</v>
      </c>
      <c r="AW131">
        <v>-0.16700000000000001</v>
      </c>
      <c r="AX131">
        <v>-0.152</v>
      </c>
      <c r="AY131">
        <v>0.157</v>
      </c>
      <c r="AZ131">
        <v>0.503</v>
      </c>
      <c r="BA131">
        <v>0.45900000000000002</v>
      </c>
      <c r="BB131">
        <v>0.17299999999999999</v>
      </c>
      <c r="BC131">
        <v>0.20599999999999999</v>
      </c>
      <c r="BD131">
        <v>0.39800000000000002</v>
      </c>
      <c r="BE131">
        <v>0.313</v>
      </c>
      <c r="BF131">
        <v>0.14399999999999999</v>
      </c>
      <c r="BG131">
        <v>-0.13700000000000001</v>
      </c>
      <c r="BH131">
        <v>-0.39400000000000002</v>
      </c>
      <c r="BI131">
        <v>-0.26300000000000001</v>
      </c>
      <c r="BJ131">
        <v>7.8E-2</v>
      </c>
      <c r="BK131">
        <v>0.47599999999999998</v>
      </c>
      <c r="BL131">
        <v>0.78600000000000003</v>
      </c>
    </row>
    <row r="132" spans="1:64" x14ac:dyDescent="0.25">
      <c r="A132">
        <v>0.56999999999999995</v>
      </c>
      <c r="B132">
        <v>0.41</v>
      </c>
      <c r="C132">
        <v>0.13800000000000001</v>
      </c>
      <c r="D132">
        <v>4.3999999999999997E-2</v>
      </c>
      <c r="E132">
        <v>5.3999999999999999E-2</v>
      </c>
      <c r="F132">
        <v>0.16300000000000001</v>
      </c>
      <c r="G132">
        <v>0.26700000000000002</v>
      </c>
      <c r="H132">
        <v>0.183</v>
      </c>
      <c r="I132">
        <v>-2E-3</v>
      </c>
      <c r="J132">
        <v>-5.5E-2</v>
      </c>
      <c r="K132">
        <v>-0.114</v>
      </c>
      <c r="L132">
        <v>-0.377</v>
      </c>
      <c r="M132">
        <v>-0.54800000000000004</v>
      </c>
      <c r="N132">
        <v>-0.39100000000000001</v>
      </c>
      <c r="O132">
        <v>-0.182</v>
      </c>
      <c r="P132">
        <v>-0.22600000000000001</v>
      </c>
      <c r="Q132">
        <v>-0.19600000000000001</v>
      </c>
      <c r="R132">
        <v>-8.5999999999999993E-2</v>
      </c>
      <c r="S132">
        <v>-7.4999999999999997E-2</v>
      </c>
      <c r="T132">
        <v>-0.214</v>
      </c>
      <c r="U132">
        <v>-0.36399999999999999</v>
      </c>
      <c r="V132">
        <v>-0.33600000000000002</v>
      </c>
      <c r="W132">
        <v>-6.8000000000000005E-2</v>
      </c>
      <c r="X132">
        <v>6.9000000000000006E-2</v>
      </c>
      <c r="Y132">
        <v>3.9E-2</v>
      </c>
      <c r="Z132">
        <v>-0.04</v>
      </c>
      <c r="AA132">
        <v>-8.4000000000000005E-2</v>
      </c>
      <c r="AB132">
        <v>-7.0000000000000007E-2</v>
      </c>
      <c r="AC132">
        <v>-0.182</v>
      </c>
      <c r="AD132">
        <v>-0.435</v>
      </c>
      <c r="AE132">
        <v>-0.57099999999999995</v>
      </c>
      <c r="AF132">
        <v>-0.622</v>
      </c>
      <c r="AG132">
        <v>-0.69399999999999995</v>
      </c>
      <c r="AH132">
        <v>-0.68</v>
      </c>
      <c r="AI132">
        <v>-0.59099999999999997</v>
      </c>
      <c r="AJ132">
        <v>-0.51400000000000001</v>
      </c>
      <c r="AK132">
        <v>-0.56100000000000005</v>
      </c>
      <c r="AL132">
        <v>-0.63800000000000001</v>
      </c>
      <c r="AM132">
        <v>-0.48799999999999999</v>
      </c>
      <c r="AN132">
        <v>-0.17799999999999999</v>
      </c>
      <c r="AO132">
        <v>-0.27400000000000002</v>
      </c>
      <c r="AP132">
        <v>-0.55500000000000005</v>
      </c>
      <c r="AQ132">
        <v>-0.56899999999999995</v>
      </c>
      <c r="AR132">
        <v>-0.308</v>
      </c>
      <c r="AS132">
        <v>-2.3E-2</v>
      </c>
      <c r="AT132">
        <v>4.1000000000000002E-2</v>
      </c>
      <c r="AU132">
        <v>-7.2999999999999995E-2</v>
      </c>
      <c r="AV132">
        <v>-0.12</v>
      </c>
      <c r="AW132">
        <v>1.2E-2</v>
      </c>
      <c r="AX132">
        <v>0.158</v>
      </c>
      <c r="AY132">
        <v>0.20200000000000001</v>
      </c>
      <c r="AZ132">
        <v>0.32</v>
      </c>
      <c r="BA132">
        <v>0.373</v>
      </c>
      <c r="BB132">
        <v>0.16200000000000001</v>
      </c>
      <c r="BC132">
        <v>0.10199999999999999</v>
      </c>
      <c r="BD132">
        <v>0.25700000000000001</v>
      </c>
      <c r="BE132">
        <v>0.29299999999999998</v>
      </c>
      <c r="BF132">
        <v>0.22700000000000001</v>
      </c>
      <c r="BG132">
        <v>5.8999999999999997E-2</v>
      </c>
      <c r="BH132">
        <v>-4.9000000000000002E-2</v>
      </c>
      <c r="BI132">
        <v>0.13700000000000001</v>
      </c>
      <c r="BJ132">
        <v>0.39600000000000002</v>
      </c>
      <c r="BK132">
        <v>0.51800000000000002</v>
      </c>
      <c r="BL132">
        <v>0.66400000000000003</v>
      </c>
    </row>
    <row r="133" spans="1:64" x14ac:dyDescent="0.25">
      <c r="A133">
        <v>0.51700000000000002</v>
      </c>
      <c r="B133">
        <v>0.4</v>
      </c>
      <c r="C133">
        <v>0.123</v>
      </c>
      <c r="D133">
        <v>-6.5000000000000002E-2</v>
      </c>
      <c r="E133">
        <v>-0.14699999999999999</v>
      </c>
      <c r="F133">
        <v>-8.5999999999999993E-2</v>
      </c>
      <c r="G133">
        <v>2.7E-2</v>
      </c>
      <c r="H133">
        <v>0.06</v>
      </c>
      <c r="I133">
        <v>1.9E-2</v>
      </c>
      <c r="J133">
        <v>2.3E-2</v>
      </c>
      <c r="K133">
        <v>1.2999999999999999E-2</v>
      </c>
      <c r="L133">
        <v>-8.7999999999999995E-2</v>
      </c>
      <c r="M133">
        <v>-0.16200000000000001</v>
      </c>
      <c r="N133">
        <v>-0.18</v>
      </c>
      <c r="O133">
        <v>-0.20599999999999999</v>
      </c>
      <c r="P133">
        <v>-0.22600000000000001</v>
      </c>
      <c r="Q133">
        <v>-0.193</v>
      </c>
      <c r="R133">
        <v>-0.20100000000000001</v>
      </c>
      <c r="S133">
        <v>-0.26700000000000002</v>
      </c>
      <c r="T133">
        <v>-0.34</v>
      </c>
      <c r="U133">
        <v>-0.375</v>
      </c>
      <c r="V133">
        <v>-0.32100000000000001</v>
      </c>
      <c r="W133">
        <v>-0.14399999999999999</v>
      </c>
      <c r="X133">
        <v>-0.10299999999999999</v>
      </c>
      <c r="Y133">
        <v>-0.23</v>
      </c>
      <c r="Z133">
        <v>-0.22700000000000001</v>
      </c>
      <c r="AA133">
        <v>-0.109</v>
      </c>
      <c r="AB133">
        <v>7.8E-2</v>
      </c>
      <c r="AC133">
        <v>5.0000000000000001E-3</v>
      </c>
      <c r="AD133">
        <v>-0.33900000000000002</v>
      </c>
      <c r="AE133">
        <v>-0.46700000000000003</v>
      </c>
      <c r="AF133">
        <v>-0.49399999999999999</v>
      </c>
      <c r="AG133">
        <v>-0.58299999999999996</v>
      </c>
      <c r="AH133">
        <v>-0.61699999999999999</v>
      </c>
      <c r="AI133">
        <v>-0.58799999999999997</v>
      </c>
      <c r="AJ133">
        <v>-0.57699999999999996</v>
      </c>
      <c r="AK133">
        <v>-0.59399999999999997</v>
      </c>
      <c r="AL133">
        <v>-0.52500000000000002</v>
      </c>
      <c r="AM133">
        <v>-0.26900000000000002</v>
      </c>
      <c r="AN133">
        <v>-0.10299999999999999</v>
      </c>
      <c r="AO133">
        <v>-0.107</v>
      </c>
      <c r="AP133">
        <v>-0.14699999999999999</v>
      </c>
      <c r="AQ133">
        <v>-0.23699999999999999</v>
      </c>
      <c r="AR133">
        <v>-0.215</v>
      </c>
      <c r="AS133">
        <v>-0.16700000000000001</v>
      </c>
      <c r="AT133">
        <v>-4.3999999999999997E-2</v>
      </c>
      <c r="AU133">
        <v>1.6E-2</v>
      </c>
      <c r="AV133">
        <v>-0.127</v>
      </c>
      <c r="AW133">
        <v>-8.7999999999999995E-2</v>
      </c>
      <c r="AX133">
        <v>0.19</v>
      </c>
      <c r="AY133">
        <v>0.30099999999999999</v>
      </c>
      <c r="AZ133">
        <v>0.27900000000000003</v>
      </c>
      <c r="BA133">
        <v>0.32500000000000001</v>
      </c>
      <c r="BB133">
        <v>0.28399999999999997</v>
      </c>
      <c r="BC133">
        <v>0.126</v>
      </c>
      <c r="BD133">
        <v>-6.8000000000000005E-2</v>
      </c>
      <c r="BE133">
        <v>3.5999999999999997E-2</v>
      </c>
      <c r="BF133">
        <v>0.25600000000000001</v>
      </c>
      <c r="BG133">
        <v>0.31</v>
      </c>
      <c r="BH133">
        <v>0.378</v>
      </c>
      <c r="BI133">
        <v>0.48299999999999998</v>
      </c>
      <c r="BJ133">
        <v>0.58599999999999997</v>
      </c>
      <c r="BK133">
        <v>0.58799999999999997</v>
      </c>
      <c r="BL133">
        <v>0.47899999999999998</v>
      </c>
    </row>
    <row r="134" spans="1:64" x14ac:dyDescent="0.25">
      <c r="A134">
        <v>0.26500000000000001</v>
      </c>
      <c r="B134">
        <v>0.16300000000000001</v>
      </c>
      <c r="C134">
        <v>-3.4000000000000002E-2</v>
      </c>
      <c r="D134">
        <v>-0.191</v>
      </c>
      <c r="E134">
        <v>-0.24399999999999999</v>
      </c>
      <c r="F134">
        <v>-0.13900000000000001</v>
      </c>
      <c r="G134">
        <v>0.01</v>
      </c>
      <c r="H134">
        <v>0.20300000000000001</v>
      </c>
      <c r="I134">
        <v>0.31900000000000001</v>
      </c>
      <c r="J134">
        <v>0.34399999999999997</v>
      </c>
      <c r="K134">
        <v>0.33500000000000002</v>
      </c>
      <c r="L134">
        <v>0.24199999999999999</v>
      </c>
      <c r="M134">
        <v>0.104</v>
      </c>
      <c r="N134">
        <v>8.9999999999999993E-3</v>
      </c>
      <c r="O134">
        <v>-0.14499999999999999</v>
      </c>
      <c r="P134">
        <v>-0.32200000000000001</v>
      </c>
      <c r="Q134">
        <v>-0.315</v>
      </c>
      <c r="R134">
        <v>-0.38400000000000001</v>
      </c>
      <c r="S134">
        <v>-0.443</v>
      </c>
      <c r="T134">
        <v>-0.37</v>
      </c>
      <c r="U134">
        <v>-0.26</v>
      </c>
      <c r="V134">
        <v>-0.122</v>
      </c>
      <c r="W134">
        <v>-5.2999999999999999E-2</v>
      </c>
      <c r="X134">
        <v>-0.112</v>
      </c>
      <c r="Y134">
        <v>-0.23599999999999999</v>
      </c>
      <c r="Z134">
        <v>-0.248</v>
      </c>
      <c r="AA134">
        <v>-0.23</v>
      </c>
      <c r="AB134">
        <v>-0.33500000000000002</v>
      </c>
      <c r="AC134">
        <v>-0.38600000000000001</v>
      </c>
      <c r="AD134">
        <v>-0.43099999999999999</v>
      </c>
      <c r="AE134">
        <v>-0.53800000000000003</v>
      </c>
      <c r="AF134">
        <v>-0.5</v>
      </c>
      <c r="AG134">
        <v>-0.442</v>
      </c>
      <c r="AH134">
        <v>-0.41099999999999998</v>
      </c>
      <c r="AI134">
        <v>-0.44900000000000001</v>
      </c>
      <c r="AJ134">
        <v>-0.57699999999999996</v>
      </c>
      <c r="AK134">
        <v>-0.54</v>
      </c>
      <c r="AL134">
        <v>-0.22800000000000001</v>
      </c>
      <c r="AM134">
        <v>-2.1999999999999999E-2</v>
      </c>
      <c r="AN134">
        <v>-0.121</v>
      </c>
      <c r="AO134">
        <v>-0.22600000000000001</v>
      </c>
      <c r="AP134">
        <v>-7.0999999999999994E-2</v>
      </c>
      <c r="AQ134">
        <v>5.8000000000000003E-2</v>
      </c>
      <c r="AR134">
        <v>1E-3</v>
      </c>
      <c r="AS134">
        <v>-6.4000000000000001E-2</v>
      </c>
      <c r="AT134">
        <v>-0.125</v>
      </c>
      <c r="AU134">
        <v>-0.154</v>
      </c>
      <c r="AV134">
        <v>-0.14699999999999999</v>
      </c>
      <c r="AW134">
        <v>-0.13700000000000001</v>
      </c>
      <c r="AX134">
        <v>0.02</v>
      </c>
      <c r="AY134">
        <v>0.35</v>
      </c>
      <c r="AZ134">
        <v>0.50600000000000001</v>
      </c>
      <c r="BA134">
        <v>0.56599999999999995</v>
      </c>
      <c r="BB134">
        <v>0.39200000000000002</v>
      </c>
      <c r="BC134">
        <v>3.5999999999999997E-2</v>
      </c>
      <c r="BD134">
        <v>-0.23200000000000001</v>
      </c>
      <c r="BE134">
        <v>-7.3999999999999996E-2</v>
      </c>
      <c r="BF134">
        <v>0.24299999999999999</v>
      </c>
      <c r="BG134">
        <v>0.44500000000000001</v>
      </c>
      <c r="BH134">
        <v>0.45100000000000001</v>
      </c>
      <c r="BI134">
        <v>0.39500000000000002</v>
      </c>
      <c r="BJ134">
        <v>0.44400000000000001</v>
      </c>
      <c r="BK134">
        <v>0.54600000000000004</v>
      </c>
      <c r="BL134">
        <v>0.50900000000000001</v>
      </c>
    </row>
    <row r="135" spans="1:64" x14ac:dyDescent="0.25">
      <c r="A135">
        <v>0.44800000000000001</v>
      </c>
      <c r="B135">
        <v>0.45300000000000001</v>
      </c>
      <c r="C135">
        <v>0.46</v>
      </c>
      <c r="D135">
        <v>0.40899999999999997</v>
      </c>
      <c r="E135">
        <v>0.21</v>
      </c>
      <c r="F135">
        <v>3.4000000000000002E-2</v>
      </c>
      <c r="G135">
        <v>-2.5999999999999999E-2</v>
      </c>
      <c r="H135">
        <v>0.09</v>
      </c>
      <c r="I135">
        <v>0.29299999999999998</v>
      </c>
      <c r="J135">
        <v>0.28599999999999998</v>
      </c>
      <c r="K135">
        <v>5.2999999999999999E-2</v>
      </c>
      <c r="L135">
        <v>-0.16500000000000001</v>
      </c>
      <c r="M135">
        <v>-0.151</v>
      </c>
      <c r="N135">
        <v>-0.11899999999999999</v>
      </c>
      <c r="O135">
        <v>-0.16</v>
      </c>
      <c r="P135">
        <v>-0.27800000000000002</v>
      </c>
      <c r="Q135">
        <v>-0.38200000000000001</v>
      </c>
      <c r="R135">
        <v>-0.436</v>
      </c>
      <c r="S135">
        <v>-0.441</v>
      </c>
      <c r="T135">
        <v>-0.43</v>
      </c>
      <c r="U135">
        <v>-0.3</v>
      </c>
      <c r="V135">
        <v>-0.20499999999999999</v>
      </c>
      <c r="W135">
        <v>-0.32200000000000001</v>
      </c>
      <c r="X135">
        <v>-0.42799999999999999</v>
      </c>
      <c r="Y135">
        <v>-0.436</v>
      </c>
      <c r="Z135">
        <v>-0.33300000000000002</v>
      </c>
      <c r="AA135">
        <v>-0.30099999999999999</v>
      </c>
      <c r="AB135">
        <v>-0.40500000000000003</v>
      </c>
      <c r="AC135">
        <v>-0.46</v>
      </c>
      <c r="AD135">
        <v>-0.436</v>
      </c>
      <c r="AE135">
        <v>-0.51400000000000001</v>
      </c>
      <c r="AF135">
        <v>-0.499</v>
      </c>
      <c r="AG135">
        <v>-0.51600000000000001</v>
      </c>
      <c r="AH135">
        <v>-0.52800000000000002</v>
      </c>
      <c r="AI135">
        <v>-0.48299999999999998</v>
      </c>
      <c r="AJ135">
        <v>-0.39600000000000002</v>
      </c>
      <c r="AK135">
        <v>-0.28199999999999997</v>
      </c>
      <c r="AL135">
        <v>-0.129</v>
      </c>
      <c r="AM135">
        <v>-9.8000000000000004E-2</v>
      </c>
      <c r="AN135">
        <v>-0.11700000000000001</v>
      </c>
      <c r="AO135">
        <v>-1.6E-2</v>
      </c>
      <c r="AP135">
        <v>0.127</v>
      </c>
      <c r="AQ135">
        <v>0.17799999999999999</v>
      </c>
      <c r="AR135">
        <v>6.6000000000000003E-2</v>
      </c>
      <c r="AS135">
        <v>3.6999999999999998E-2</v>
      </c>
      <c r="AT135">
        <v>2.9000000000000001E-2</v>
      </c>
      <c r="AU135">
        <v>8.3000000000000004E-2</v>
      </c>
      <c r="AV135">
        <v>0.29299999999999998</v>
      </c>
      <c r="AW135">
        <v>0.375</v>
      </c>
      <c r="AX135">
        <v>0.36699999999999999</v>
      </c>
      <c r="AY135">
        <v>0.36399999999999999</v>
      </c>
      <c r="AZ135">
        <v>0.28699999999999998</v>
      </c>
      <c r="BA135">
        <v>0.27600000000000002</v>
      </c>
      <c r="BB135">
        <v>9.0999999999999998E-2</v>
      </c>
      <c r="BC135">
        <v>-5.5E-2</v>
      </c>
      <c r="BD135">
        <v>3.1E-2</v>
      </c>
      <c r="BE135">
        <v>0.153</v>
      </c>
      <c r="BF135">
        <v>0.20300000000000001</v>
      </c>
      <c r="BG135">
        <v>0.40600000000000003</v>
      </c>
      <c r="BH135">
        <v>0.50900000000000001</v>
      </c>
      <c r="BI135">
        <v>0.46899999999999997</v>
      </c>
      <c r="BJ135">
        <v>0.443</v>
      </c>
      <c r="BK135">
        <v>0.48399999999999999</v>
      </c>
      <c r="BL135">
        <v>0.55400000000000005</v>
      </c>
    </row>
    <row r="136" spans="1:64" x14ac:dyDescent="0.25">
      <c r="A136">
        <v>0.69899999999999995</v>
      </c>
      <c r="B136">
        <v>0.64600000000000002</v>
      </c>
      <c r="C136">
        <v>0.621</v>
      </c>
      <c r="D136">
        <v>0.59499999999999997</v>
      </c>
      <c r="E136">
        <v>0.39900000000000002</v>
      </c>
      <c r="F136">
        <v>0.21299999999999999</v>
      </c>
      <c r="G136">
        <v>0.10100000000000001</v>
      </c>
      <c r="H136">
        <v>7.2999999999999995E-2</v>
      </c>
      <c r="I136">
        <v>0.16400000000000001</v>
      </c>
      <c r="J136">
        <v>-1.9E-2</v>
      </c>
      <c r="K136">
        <v>-0.41099999999999998</v>
      </c>
      <c r="L136">
        <v>-0.47399999999999998</v>
      </c>
      <c r="M136">
        <v>-0.373</v>
      </c>
      <c r="N136">
        <v>-0.29599999999999999</v>
      </c>
      <c r="O136">
        <v>-0.26900000000000002</v>
      </c>
      <c r="P136">
        <v>-0.32600000000000001</v>
      </c>
      <c r="Q136">
        <v>-0.439</v>
      </c>
      <c r="R136">
        <v>-0.39700000000000002</v>
      </c>
      <c r="S136">
        <v>-0.31900000000000001</v>
      </c>
      <c r="T136">
        <v>-0.254</v>
      </c>
      <c r="U136">
        <v>-0.219</v>
      </c>
      <c r="V136">
        <v>-0.32</v>
      </c>
      <c r="W136">
        <v>-0.50600000000000001</v>
      </c>
      <c r="X136">
        <v>-0.63100000000000001</v>
      </c>
      <c r="Y136">
        <v>-0.66200000000000003</v>
      </c>
      <c r="Z136">
        <v>-0.54800000000000004</v>
      </c>
      <c r="AA136">
        <v>-0.52600000000000002</v>
      </c>
      <c r="AB136">
        <v>-0.54900000000000004</v>
      </c>
      <c r="AC136">
        <v>-0.61</v>
      </c>
      <c r="AD136">
        <v>-0.60799999999999998</v>
      </c>
      <c r="AE136">
        <v>-0.61099999999999999</v>
      </c>
      <c r="AF136">
        <v>-0.61699999999999999</v>
      </c>
      <c r="AG136">
        <v>-0.67300000000000004</v>
      </c>
      <c r="AH136">
        <v>-0.63800000000000001</v>
      </c>
      <c r="AI136">
        <v>-0.48899999999999999</v>
      </c>
      <c r="AJ136">
        <v>-0.28299999999999997</v>
      </c>
      <c r="AK136">
        <v>-0.223</v>
      </c>
      <c r="AL136">
        <v>-0.22700000000000001</v>
      </c>
      <c r="AM136">
        <v>-0.28000000000000003</v>
      </c>
      <c r="AN136">
        <v>-0.27200000000000002</v>
      </c>
      <c r="AO136">
        <v>-7.2999999999999995E-2</v>
      </c>
      <c r="AP136">
        <v>0.14199999999999999</v>
      </c>
      <c r="AQ136">
        <v>0.24</v>
      </c>
      <c r="AR136">
        <v>0.16400000000000001</v>
      </c>
      <c r="AS136">
        <v>0.03</v>
      </c>
      <c r="AT136">
        <v>0.14699999999999999</v>
      </c>
      <c r="AU136">
        <v>0.39500000000000002</v>
      </c>
      <c r="AV136">
        <v>0.56200000000000006</v>
      </c>
      <c r="AW136">
        <v>0.59199999999999997</v>
      </c>
      <c r="AX136">
        <v>0.48899999999999999</v>
      </c>
      <c r="AY136">
        <v>0.28399999999999997</v>
      </c>
      <c r="AZ136">
        <v>-0.155</v>
      </c>
      <c r="BA136">
        <v>-0.41099999999999998</v>
      </c>
      <c r="BB136">
        <v>-0.24399999999999999</v>
      </c>
      <c r="BC136">
        <v>0.109</v>
      </c>
      <c r="BD136">
        <v>0.309</v>
      </c>
      <c r="BE136">
        <v>0.217</v>
      </c>
      <c r="BF136">
        <v>0.23200000000000001</v>
      </c>
      <c r="BG136">
        <v>0.43</v>
      </c>
      <c r="BH136">
        <v>0.626</v>
      </c>
      <c r="BI136">
        <v>0.68100000000000005</v>
      </c>
      <c r="BJ136">
        <v>0.623</v>
      </c>
      <c r="BK136">
        <v>0.51900000000000002</v>
      </c>
      <c r="BL136">
        <v>0.46</v>
      </c>
    </row>
    <row r="137" spans="1:64" x14ac:dyDescent="0.25">
      <c r="A137">
        <v>0.78700000000000003</v>
      </c>
      <c r="B137">
        <v>0.70499999999999996</v>
      </c>
      <c r="C137">
        <v>0.59199999999999997</v>
      </c>
      <c r="D137">
        <v>0.47099999999999997</v>
      </c>
      <c r="E137">
        <v>0.36399999999999999</v>
      </c>
      <c r="F137">
        <v>0.32600000000000001</v>
      </c>
      <c r="G137">
        <v>0.33800000000000002</v>
      </c>
      <c r="H137">
        <v>0.22600000000000001</v>
      </c>
      <c r="I137">
        <v>9.1999999999999998E-2</v>
      </c>
      <c r="J137">
        <v>-6.4000000000000001E-2</v>
      </c>
      <c r="K137">
        <v>-0.13300000000000001</v>
      </c>
      <c r="L137">
        <v>-3.7999999999999999E-2</v>
      </c>
      <c r="M137">
        <v>-0.1</v>
      </c>
      <c r="N137">
        <v>-0.28399999999999997</v>
      </c>
      <c r="O137">
        <v>-0.46100000000000002</v>
      </c>
      <c r="P137">
        <v>-0.56100000000000005</v>
      </c>
      <c r="Q137">
        <v>-0.499</v>
      </c>
      <c r="R137">
        <v>-0.32400000000000001</v>
      </c>
      <c r="S137">
        <v>-0.218</v>
      </c>
      <c r="T137">
        <v>-0.111</v>
      </c>
      <c r="U137">
        <v>-0.108</v>
      </c>
      <c r="V137">
        <v>-0.20499999999999999</v>
      </c>
      <c r="W137">
        <v>-0.33900000000000002</v>
      </c>
      <c r="X137">
        <v>-0.50700000000000001</v>
      </c>
      <c r="Y137">
        <v>-0.60799999999999998</v>
      </c>
      <c r="Z137">
        <v>-0.64400000000000002</v>
      </c>
      <c r="AA137">
        <v>-0.77</v>
      </c>
      <c r="AB137">
        <v>-0.81799999999999995</v>
      </c>
      <c r="AC137">
        <v>-0.80700000000000005</v>
      </c>
      <c r="AD137">
        <v>-0.747</v>
      </c>
      <c r="AE137">
        <v>-0.72399999999999998</v>
      </c>
      <c r="AF137">
        <v>-0.71699999999999997</v>
      </c>
      <c r="AG137">
        <v>-0.66600000000000004</v>
      </c>
      <c r="AH137">
        <v>-0.52700000000000002</v>
      </c>
      <c r="AI137">
        <v>-0.44400000000000001</v>
      </c>
      <c r="AJ137">
        <v>-0.371</v>
      </c>
      <c r="AK137">
        <v>-0.27500000000000002</v>
      </c>
      <c r="AL137">
        <v>-0.27400000000000002</v>
      </c>
      <c r="AM137">
        <v>-0.34799999999999998</v>
      </c>
      <c r="AN137">
        <v>-0.33300000000000002</v>
      </c>
      <c r="AO137">
        <v>-0.186</v>
      </c>
      <c r="AP137">
        <v>0.01</v>
      </c>
      <c r="AQ137">
        <v>0.161</v>
      </c>
      <c r="AR137">
        <v>0.14599999999999999</v>
      </c>
      <c r="AS137">
        <v>9.7000000000000003E-2</v>
      </c>
      <c r="AT137">
        <v>0.23499999999999999</v>
      </c>
      <c r="AU137">
        <v>0.37</v>
      </c>
      <c r="AV137">
        <v>0.54</v>
      </c>
      <c r="AW137">
        <v>0.65700000000000003</v>
      </c>
      <c r="AX137">
        <v>0.58199999999999996</v>
      </c>
      <c r="AY137">
        <v>0.30099999999999999</v>
      </c>
      <c r="AZ137">
        <v>-4.1000000000000002E-2</v>
      </c>
      <c r="BA137">
        <v>-0.22700000000000001</v>
      </c>
      <c r="BB137">
        <v>-7.5999999999999998E-2</v>
      </c>
      <c r="BC137">
        <v>0.28100000000000003</v>
      </c>
      <c r="BD137">
        <v>0.35199999999999998</v>
      </c>
      <c r="BE137">
        <v>0.18099999999999999</v>
      </c>
      <c r="BF137">
        <v>0.21</v>
      </c>
      <c r="BG137">
        <v>0.434</v>
      </c>
      <c r="BH137">
        <v>0.61799999999999999</v>
      </c>
      <c r="BI137">
        <v>0.67800000000000005</v>
      </c>
      <c r="BJ137">
        <v>0.65</v>
      </c>
      <c r="BK137">
        <v>0.53</v>
      </c>
      <c r="BL137">
        <v>0.36099999999999999</v>
      </c>
    </row>
    <row r="138" spans="1:64" x14ac:dyDescent="0.25">
      <c r="A138">
        <v>0.73699999999999999</v>
      </c>
      <c r="B138">
        <v>0.68799999999999994</v>
      </c>
      <c r="C138">
        <v>0.624</v>
      </c>
      <c r="D138">
        <v>0.48399999999999999</v>
      </c>
      <c r="E138">
        <v>0.30499999999999999</v>
      </c>
      <c r="F138">
        <v>0.29699999999999999</v>
      </c>
      <c r="G138">
        <v>0.39200000000000002</v>
      </c>
      <c r="H138">
        <v>0.37</v>
      </c>
      <c r="I138">
        <v>0.246</v>
      </c>
      <c r="J138">
        <v>0.23599999999999999</v>
      </c>
      <c r="K138">
        <v>0.34200000000000003</v>
      </c>
      <c r="L138">
        <v>0.16200000000000001</v>
      </c>
      <c r="M138">
        <v>-0.254</v>
      </c>
      <c r="N138">
        <v>-0.56100000000000005</v>
      </c>
      <c r="O138">
        <v>-0.64400000000000002</v>
      </c>
      <c r="P138">
        <v>-0.60599999999999998</v>
      </c>
      <c r="Q138">
        <v>-0.49199999999999999</v>
      </c>
      <c r="R138">
        <v>-0.34499999999999997</v>
      </c>
      <c r="S138">
        <v>-0.33</v>
      </c>
      <c r="T138">
        <v>-0.249</v>
      </c>
      <c r="U138">
        <v>-0.21</v>
      </c>
      <c r="V138">
        <v>-0.45300000000000001</v>
      </c>
      <c r="W138">
        <v>-0.57199999999999995</v>
      </c>
      <c r="X138">
        <v>-0.41399999999999998</v>
      </c>
      <c r="Y138">
        <v>-0.29299999999999998</v>
      </c>
      <c r="Z138">
        <v>-0.57899999999999996</v>
      </c>
      <c r="AA138">
        <v>-0.78200000000000003</v>
      </c>
      <c r="AB138">
        <v>-0.79900000000000004</v>
      </c>
      <c r="AC138">
        <v>-0.77900000000000003</v>
      </c>
      <c r="AD138">
        <v>-0.72599999999999998</v>
      </c>
      <c r="AE138">
        <v>-0.70399999999999996</v>
      </c>
      <c r="AF138">
        <v>-0.69599999999999995</v>
      </c>
      <c r="AG138">
        <v>-0.66300000000000003</v>
      </c>
      <c r="AH138">
        <v>-0.61399999999999999</v>
      </c>
      <c r="AI138">
        <v>-0.54200000000000004</v>
      </c>
      <c r="AJ138">
        <v>-0.48599999999999999</v>
      </c>
      <c r="AK138">
        <v>-0.47399999999999998</v>
      </c>
      <c r="AL138">
        <v>-0.38200000000000001</v>
      </c>
      <c r="AM138">
        <v>-0.35499999999999998</v>
      </c>
      <c r="AN138">
        <v>-0.33900000000000002</v>
      </c>
      <c r="AO138">
        <v>-0.215</v>
      </c>
      <c r="AP138">
        <v>-5.5E-2</v>
      </c>
      <c r="AQ138">
        <v>0.14699999999999999</v>
      </c>
      <c r="AR138">
        <v>0.14799999999999999</v>
      </c>
      <c r="AS138">
        <v>1.7000000000000001E-2</v>
      </c>
      <c r="AT138">
        <v>0.10100000000000001</v>
      </c>
      <c r="AU138">
        <v>0.216</v>
      </c>
      <c r="AV138">
        <v>0.38800000000000001</v>
      </c>
      <c r="AW138">
        <v>0.66700000000000004</v>
      </c>
      <c r="AX138">
        <v>0.68899999999999995</v>
      </c>
      <c r="AY138">
        <v>0.46700000000000003</v>
      </c>
      <c r="AZ138">
        <v>0.26200000000000001</v>
      </c>
      <c r="BA138">
        <v>0.16500000000000001</v>
      </c>
      <c r="BB138">
        <v>0.38</v>
      </c>
      <c r="BC138">
        <v>0.51900000000000002</v>
      </c>
      <c r="BD138">
        <v>0.503</v>
      </c>
      <c r="BE138">
        <v>0.377</v>
      </c>
      <c r="BF138">
        <v>0.24299999999999999</v>
      </c>
      <c r="BG138">
        <v>0.35299999999999998</v>
      </c>
      <c r="BH138">
        <v>0.56799999999999995</v>
      </c>
      <c r="BI138">
        <v>0.67800000000000005</v>
      </c>
      <c r="BJ138">
        <v>0.61699999999999999</v>
      </c>
      <c r="BK138">
        <v>0.48799999999999999</v>
      </c>
      <c r="BL138">
        <v>0.34499999999999997</v>
      </c>
    </row>
    <row r="139" spans="1:64" x14ac:dyDescent="0.25">
      <c r="A139">
        <v>0.61299999999999999</v>
      </c>
      <c r="B139">
        <v>0.60499999999999998</v>
      </c>
      <c r="C139">
        <v>0.59599999999999997</v>
      </c>
      <c r="D139">
        <v>0.58399999999999996</v>
      </c>
      <c r="E139">
        <v>0.42699999999999999</v>
      </c>
      <c r="F139">
        <v>0.248</v>
      </c>
      <c r="G139">
        <v>0.182</v>
      </c>
      <c r="H139">
        <v>8.8999999999999996E-2</v>
      </c>
      <c r="I139">
        <v>-4.7E-2</v>
      </c>
      <c r="J139">
        <v>3.1E-2</v>
      </c>
      <c r="K139">
        <v>8.3000000000000004E-2</v>
      </c>
      <c r="L139">
        <v>-0.16600000000000001</v>
      </c>
      <c r="M139">
        <v>-0.35299999999999998</v>
      </c>
      <c r="N139">
        <v>-0.39300000000000002</v>
      </c>
      <c r="O139">
        <v>-0.32300000000000001</v>
      </c>
      <c r="P139">
        <v>-0.20399999999999999</v>
      </c>
      <c r="Q139">
        <v>-8.7999999999999995E-2</v>
      </c>
      <c r="R139">
        <v>-6.9000000000000006E-2</v>
      </c>
      <c r="S139">
        <v>-0.18</v>
      </c>
      <c r="T139">
        <v>-0.26900000000000002</v>
      </c>
      <c r="U139">
        <v>-0.4</v>
      </c>
      <c r="V139">
        <v>-0.56899999999999995</v>
      </c>
      <c r="W139">
        <v>-0.59</v>
      </c>
      <c r="X139">
        <v>-0.54800000000000004</v>
      </c>
      <c r="Y139">
        <v>-0.57099999999999995</v>
      </c>
      <c r="Z139">
        <v>-0.626</v>
      </c>
      <c r="AA139">
        <v>-0.72299999999999998</v>
      </c>
      <c r="AB139">
        <v>-0.71599999999999997</v>
      </c>
      <c r="AC139">
        <v>-0.626</v>
      </c>
      <c r="AD139">
        <v>-0.54800000000000004</v>
      </c>
      <c r="AE139">
        <v>-0.48599999999999999</v>
      </c>
      <c r="AF139">
        <v>-0.42</v>
      </c>
      <c r="AG139">
        <v>-0.36599999999999999</v>
      </c>
      <c r="AH139">
        <v>-0.36599999999999999</v>
      </c>
      <c r="AI139">
        <v>-0.38300000000000001</v>
      </c>
      <c r="AJ139">
        <v>-0.44600000000000001</v>
      </c>
      <c r="AK139">
        <v>-0.45900000000000002</v>
      </c>
      <c r="AL139">
        <v>-0.314</v>
      </c>
      <c r="AM139">
        <v>-0.27100000000000002</v>
      </c>
      <c r="AN139">
        <v>-0.153</v>
      </c>
      <c r="AO139">
        <v>-4.7E-2</v>
      </c>
      <c r="AP139">
        <v>-4.2000000000000003E-2</v>
      </c>
      <c r="AQ139">
        <v>7.2999999999999995E-2</v>
      </c>
      <c r="AR139">
        <v>0.25</v>
      </c>
      <c r="AS139">
        <v>0.26400000000000001</v>
      </c>
      <c r="AT139">
        <v>0.23499999999999999</v>
      </c>
      <c r="AU139">
        <v>0.22</v>
      </c>
      <c r="AV139">
        <v>0.17299999999999999</v>
      </c>
      <c r="AW139">
        <v>0.28299999999999997</v>
      </c>
      <c r="AX139">
        <v>0.33600000000000002</v>
      </c>
      <c r="AY139">
        <v>0.33400000000000002</v>
      </c>
      <c r="AZ139">
        <v>0.34899999999999998</v>
      </c>
      <c r="BA139">
        <v>0.434</v>
      </c>
      <c r="BB139">
        <v>0.53400000000000003</v>
      </c>
      <c r="BC139">
        <v>0.57099999999999995</v>
      </c>
      <c r="BD139">
        <v>0.624</v>
      </c>
      <c r="BE139">
        <v>0.67600000000000005</v>
      </c>
      <c r="BF139">
        <v>0.54900000000000004</v>
      </c>
      <c r="BG139">
        <v>0.48699999999999999</v>
      </c>
      <c r="BH139">
        <v>0.54100000000000004</v>
      </c>
      <c r="BI139">
        <v>0.628</v>
      </c>
      <c r="BJ139">
        <v>0.57399999999999995</v>
      </c>
      <c r="BK139">
        <v>0.47599999999999998</v>
      </c>
      <c r="BL139">
        <v>0.27800000000000002</v>
      </c>
    </row>
    <row r="140" spans="1:64" x14ac:dyDescent="0.25">
      <c r="A140">
        <v>0.53400000000000003</v>
      </c>
      <c r="B140">
        <v>0.55600000000000005</v>
      </c>
      <c r="C140">
        <v>0.55300000000000005</v>
      </c>
      <c r="D140">
        <v>0.53900000000000003</v>
      </c>
      <c r="E140">
        <v>0.42</v>
      </c>
      <c r="F140">
        <v>0.20599999999999999</v>
      </c>
      <c r="G140">
        <v>3.4000000000000002E-2</v>
      </c>
      <c r="H140">
        <v>-0.20499999999999999</v>
      </c>
      <c r="I140">
        <v>-0.42499999999999999</v>
      </c>
      <c r="J140">
        <v>-0.47799999999999998</v>
      </c>
      <c r="K140">
        <v>-0.42599999999999999</v>
      </c>
      <c r="L140">
        <v>-0.13</v>
      </c>
      <c r="M140">
        <v>0.23499999999999999</v>
      </c>
      <c r="N140">
        <v>0.35899999999999999</v>
      </c>
      <c r="O140">
        <v>0.29099999999999998</v>
      </c>
      <c r="P140">
        <v>0.23799999999999999</v>
      </c>
      <c r="Q140">
        <v>0.23400000000000001</v>
      </c>
      <c r="R140">
        <v>0.126</v>
      </c>
      <c r="S140">
        <v>7.0000000000000001E-3</v>
      </c>
      <c r="T140">
        <v>-0.249</v>
      </c>
      <c r="U140">
        <v>-0.497</v>
      </c>
      <c r="V140">
        <v>-0.50900000000000001</v>
      </c>
      <c r="W140">
        <v>-0.41299999999999998</v>
      </c>
      <c r="X140">
        <v>-0.629</v>
      </c>
      <c r="Y140">
        <v>-0.76500000000000001</v>
      </c>
      <c r="Z140">
        <v>-0.70699999999999996</v>
      </c>
      <c r="AA140">
        <v>-0.622</v>
      </c>
      <c r="AB140">
        <v>-0.58299999999999996</v>
      </c>
      <c r="AC140">
        <v>-0.44500000000000001</v>
      </c>
      <c r="AD140">
        <v>-0.309</v>
      </c>
      <c r="AE140">
        <v>-0.183</v>
      </c>
      <c r="AF140">
        <v>-0.126</v>
      </c>
      <c r="AG140">
        <v>-3.3000000000000002E-2</v>
      </c>
      <c r="AH140">
        <v>0.129</v>
      </c>
      <c r="AI140">
        <v>9.8000000000000004E-2</v>
      </c>
      <c r="AJ140">
        <v>-0.123</v>
      </c>
      <c r="AK140">
        <v>-0.109</v>
      </c>
      <c r="AL140">
        <v>-5.2999999999999999E-2</v>
      </c>
      <c r="AM140">
        <v>-7.2999999999999995E-2</v>
      </c>
      <c r="AN140">
        <v>0.06</v>
      </c>
      <c r="AO140">
        <v>0.124</v>
      </c>
      <c r="AP140">
        <v>6.7000000000000004E-2</v>
      </c>
      <c r="AQ140">
        <v>7.6999999999999999E-2</v>
      </c>
      <c r="AR140">
        <v>0.375</v>
      </c>
      <c r="AS140">
        <v>0.53200000000000003</v>
      </c>
      <c r="AT140">
        <v>0.374</v>
      </c>
      <c r="AU140">
        <v>0.21099999999999999</v>
      </c>
      <c r="AV140">
        <v>3.4000000000000002E-2</v>
      </c>
      <c r="AW140">
        <v>-0.192</v>
      </c>
      <c r="AX140">
        <v>-0.221</v>
      </c>
      <c r="AY140">
        <v>1.4E-2</v>
      </c>
      <c r="AZ140">
        <v>0.34599999999999997</v>
      </c>
      <c r="BA140">
        <v>0.58799999999999997</v>
      </c>
      <c r="BB140">
        <v>0.55500000000000005</v>
      </c>
      <c r="BC140">
        <v>0.51100000000000001</v>
      </c>
      <c r="BD140">
        <v>0.63700000000000001</v>
      </c>
      <c r="BE140">
        <v>0.73</v>
      </c>
      <c r="BF140">
        <v>0.68100000000000005</v>
      </c>
      <c r="BG140">
        <v>0.56999999999999995</v>
      </c>
      <c r="BH140">
        <v>0.442</v>
      </c>
      <c r="BI140">
        <v>0.377</v>
      </c>
      <c r="BJ140">
        <v>0.442</v>
      </c>
      <c r="BK140">
        <v>0.41699999999999998</v>
      </c>
      <c r="BL140">
        <v>0.26200000000000001</v>
      </c>
    </row>
    <row r="141" spans="1:64" x14ac:dyDescent="0.25">
      <c r="A141">
        <v>0.222</v>
      </c>
      <c r="B141">
        <v>0.26400000000000001</v>
      </c>
      <c r="C141">
        <v>0.42599999999999999</v>
      </c>
      <c r="D141">
        <v>0.53300000000000003</v>
      </c>
      <c r="E141">
        <v>0.41799999999999998</v>
      </c>
      <c r="F141">
        <v>0.153</v>
      </c>
      <c r="G141">
        <v>-0.13500000000000001</v>
      </c>
      <c r="H141">
        <v>-0.34599999999999997</v>
      </c>
      <c r="I141">
        <v>-0.40699999999999997</v>
      </c>
      <c r="J141">
        <v>-0.42299999999999999</v>
      </c>
      <c r="K141">
        <v>-0.314</v>
      </c>
      <c r="L141">
        <v>-0.127</v>
      </c>
      <c r="M141">
        <v>0.01</v>
      </c>
      <c r="N141">
        <v>0.20100000000000001</v>
      </c>
      <c r="O141">
        <v>0.33</v>
      </c>
      <c r="P141">
        <v>0.27100000000000002</v>
      </c>
      <c r="Q141">
        <v>9.6000000000000002E-2</v>
      </c>
      <c r="R141">
        <v>0.02</v>
      </c>
      <c r="S141">
        <v>-2.5000000000000001E-2</v>
      </c>
      <c r="T141">
        <v>-0.16600000000000001</v>
      </c>
      <c r="U141">
        <v>-0.307</v>
      </c>
      <c r="V141">
        <v>-0.374</v>
      </c>
      <c r="W141">
        <v>-0.38300000000000001</v>
      </c>
      <c r="X141">
        <v>-0.434</v>
      </c>
      <c r="Y141">
        <v>-0.48799999999999999</v>
      </c>
      <c r="Z141">
        <v>-0.39</v>
      </c>
      <c r="AA141">
        <v>-0.23</v>
      </c>
      <c r="AB141">
        <v>-0.151</v>
      </c>
      <c r="AC141">
        <v>-0.16400000000000001</v>
      </c>
      <c r="AD141">
        <v>-0.26900000000000002</v>
      </c>
      <c r="AE141">
        <v>-0.34499999999999997</v>
      </c>
      <c r="AF141">
        <v>-0.29299999999999998</v>
      </c>
      <c r="AG141">
        <v>-0.16800000000000001</v>
      </c>
      <c r="AH141">
        <v>-0.15</v>
      </c>
      <c r="AI141">
        <v>-0.11700000000000001</v>
      </c>
      <c r="AJ141">
        <v>0.17199999999999999</v>
      </c>
      <c r="AK141">
        <v>0.39800000000000002</v>
      </c>
      <c r="AL141">
        <v>0.43099999999999999</v>
      </c>
      <c r="AM141">
        <v>0.42199999999999999</v>
      </c>
      <c r="AN141">
        <v>0.313</v>
      </c>
      <c r="AO141">
        <v>0.109</v>
      </c>
      <c r="AP141">
        <v>-9.7000000000000003E-2</v>
      </c>
      <c r="AQ141">
        <v>-0.10100000000000001</v>
      </c>
      <c r="AR141">
        <v>9.9000000000000005E-2</v>
      </c>
      <c r="AS141">
        <v>0.27600000000000002</v>
      </c>
      <c r="AT141">
        <v>0.28599999999999998</v>
      </c>
      <c r="AU141">
        <v>0.29099999999999998</v>
      </c>
      <c r="AV141">
        <v>0.20899999999999999</v>
      </c>
      <c r="AW141">
        <v>9.6000000000000002E-2</v>
      </c>
      <c r="AX141">
        <v>4.3999999999999997E-2</v>
      </c>
      <c r="AY141">
        <v>0.26300000000000001</v>
      </c>
      <c r="AZ141">
        <v>0.54200000000000004</v>
      </c>
      <c r="BA141">
        <v>0.58899999999999997</v>
      </c>
      <c r="BB141">
        <v>0.48699999999999999</v>
      </c>
      <c r="BC141">
        <v>0.53300000000000003</v>
      </c>
      <c r="BD141">
        <v>0.60299999999999998</v>
      </c>
      <c r="BE141">
        <v>0.65700000000000003</v>
      </c>
      <c r="BF141">
        <v>0.61299999999999999</v>
      </c>
      <c r="BG141">
        <v>0.45300000000000001</v>
      </c>
      <c r="BH141">
        <v>0.1</v>
      </c>
      <c r="BI141">
        <v>-2.9000000000000001E-2</v>
      </c>
      <c r="BJ141">
        <v>0.11799999999999999</v>
      </c>
      <c r="BK141">
        <v>0.192</v>
      </c>
      <c r="BL141">
        <v>0.156</v>
      </c>
    </row>
    <row r="142" spans="1:64" x14ac:dyDescent="0.25">
      <c r="A142">
        <v>0.41699999999999998</v>
      </c>
      <c r="B142">
        <v>0.40899999999999997</v>
      </c>
      <c r="C142">
        <v>0.44900000000000001</v>
      </c>
      <c r="D142">
        <v>0.54700000000000004</v>
      </c>
      <c r="E142">
        <v>0.56999999999999995</v>
      </c>
      <c r="F142">
        <v>0.33200000000000002</v>
      </c>
      <c r="G142">
        <v>-9.6000000000000002E-2</v>
      </c>
      <c r="H142">
        <v>-0.123</v>
      </c>
      <c r="I142">
        <v>6.5000000000000002E-2</v>
      </c>
      <c r="J142">
        <v>7.1999999999999995E-2</v>
      </c>
      <c r="K142">
        <v>-1E-3</v>
      </c>
      <c r="L142">
        <v>-0.13300000000000001</v>
      </c>
      <c r="M142">
        <v>-0.19</v>
      </c>
      <c r="N142">
        <v>-8.5000000000000006E-2</v>
      </c>
      <c r="O142">
        <v>-1.7000000000000001E-2</v>
      </c>
      <c r="P142">
        <v>-4.7E-2</v>
      </c>
      <c r="Q142">
        <v>-3.6999999999999998E-2</v>
      </c>
      <c r="R142">
        <v>0.04</v>
      </c>
      <c r="S142">
        <v>2.1000000000000001E-2</v>
      </c>
      <c r="T142">
        <v>-5.0000000000000001E-3</v>
      </c>
      <c r="U142">
        <v>1.4E-2</v>
      </c>
      <c r="V142">
        <v>-0.189</v>
      </c>
      <c r="W142">
        <v>-0.39200000000000002</v>
      </c>
      <c r="X142">
        <v>-0.38400000000000001</v>
      </c>
      <c r="Y142">
        <v>-0.36299999999999999</v>
      </c>
      <c r="Z142">
        <v>-0.25900000000000001</v>
      </c>
      <c r="AA142">
        <v>-3.3000000000000002E-2</v>
      </c>
      <c r="AB142">
        <v>9.4E-2</v>
      </c>
      <c r="AC142">
        <v>3.0000000000000001E-3</v>
      </c>
      <c r="AD142">
        <v>-0.124</v>
      </c>
      <c r="AE142">
        <v>-0.23100000000000001</v>
      </c>
      <c r="AF142">
        <v>-0.40200000000000002</v>
      </c>
      <c r="AG142">
        <v>-0.44700000000000001</v>
      </c>
      <c r="AH142">
        <v>-0.438</v>
      </c>
      <c r="AI142">
        <v>-0.25</v>
      </c>
      <c r="AJ142">
        <v>0.16600000000000001</v>
      </c>
      <c r="AK142">
        <v>0.40899999999999997</v>
      </c>
      <c r="AL142">
        <v>0.48699999999999999</v>
      </c>
      <c r="AM142">
        <v>0.40100000000000002</v>
      </c>
      <c r="AN142">
        <v>0.20300000000000001</v>
      </c>
      <c r="AO142">
        <v>9.7000000000000003E-2</v>
      </c>
      <c r="AP142">
        <v>2.9000000000000001E-2</v>
      </c>
      <c r="AQ142">
        <v>-4.8000000000000001E-2</v>
      </c>
      <c r="AR142">
        <v>-5.8000000000000003E-2</v>
      </c>
      <c r="AS142">
        <v>8.6999999999999994E-2</v>
      </c>
      <c r="AT142">
        <v>0.32500000000000001</v>
      </c>
      <c r="AU142">
        <v>0.49</v>
      </c>
      <c r="AV142">
        <v>0.504</v>
      </c>
      <c r="AW142">
        <v>0.56299999999999994</v>
      </c>
      <c r="AX142">
        <v>0.623</v>
      </c>
      <c r="AY142">
        <v>0.63300000000000001</v>
      </c>
      <c r="AZ142">
        <v>0.57599999999999996</v>
      </c>
      <c r="BA142">
        <v>0.47499999999999998</v>
      </c>
      <c r="BB142">
        <v>0.497</v>
      </c>
      <c r="BC142">
        <v>0.55000000000000004</v>
      </c>
      <c r="BD142">
        <v>0.57999999999999996</v>
      </c>
      <c r="BE142">
        <v>0.66700000000000004</v>
      </c>
      <c r="BF142">
        <v>0.57399999999999995</v>
      </c>
      <c r="BG142">
        <v>0.19800000000000001</v>
      </c>
      <c r="BH142">
        <v>-0.105</v>
      </c>
      <c r="BI142">
        <v>-0.107</v>
      </c>
      <c r="BJ142">
        <v>3.1E-2</v>
      </c>
      <c r="BK142">
        <v>0.19900000000000001</v>
      </c>
      <c r="BL142">
        <v>0.26100000000000001</v>
      </c>
    </row>
    <row r="143" spans="1:64" x14ac:dyDescent="0.25">
      <c r="A143">
        <v>0.621</v>
      </c>
      <c r="B143">
        <v>0.55100000000000005</v>
      </c>
      <c r="C143">
        <v>0.36399999999999999</v>
      </c>
      <c r="D143">
        <v>0.22700000000000001</v>
      </c>
      <c r="E143">
        <v>0.214</v>
      </c>
      <c r="F143">
        <v>0.26</v>
      </c>
      <c r="G143">
        <v>0.307</v>
      </c>
      <c r="H143">
        <v>0.33100000000000002</v>
      </c>
      <c r="I143">
        <v>0.41099999999999998</v>
      </c>
      <c r="J143">
        <v>0.443</v>
      </c>
      <c r="K143">
        <v>0.437</v>
      </c>
      <c r="L143">
        <v>0.39300000000000002</v>
      </c>
      <c r="M143">
        <v>0.34799999999999998</v>
      </c>
      <c r="N143">
        <v>0.316</v>
      </c>
      <c r="O143">
        <v>0.16600000000000001</v>
      </c>
      <c r="P143">
        <v>3.1E-2</v>
      </c>
      <c r="Q143">
        <v>-1E-3</v>
      </c>
      <c r="R143">
        <v>-0.151</v>
      </c>
      <c r="S143">
        <v>-0.29599999999999999</v>
      </c>
      <c r="T143">
        <v>-0.11799999999999999</v>
      </c>
      <c r="U143">
        <v>8.2000000000000003E-2</v>
      </c>
      <c r="V143">
        <v>6.5000000000000002E-2</v>
      </c>
      <c r="W143">
        <v>-0.13500000000000001</v>
      </c>
      <c r="X143">
        <v>-0.10199999999999999</v>
      </c>
      <c r="Y143">
        <v>-1E-3</v>
      </c>
      <c r="Z143">
        <v>-2.9000000000000001E-2</v>
      </c>
      <c r="AA143">
        <v>4.1000000000000002E-2</v>
      </c>
      <c r="AB143">
        <v>-0.02</v>
      </c>
      <c r="AC143">
        <v>-0.182</v>
      </c>
      <c r="AD143">
        <v>-0.16800000000000001</v>
      </c>
      <c r="AE143">
        <v>-8.3000000000000004E-2</v>
      </c>
      <c r="AF143">
        <v>-3.1E-2</v>
      </c>
      <c r="AG143">
        <v>-3.7999999999999999E-2</v>
      </c>
      <c r="AH143">
        <v>1.9E-2</v>
      </c>
      <c r="AI143">
        <v>0.13800000000000001</v>
      </c>
      <c r="AJ143">
        <v>0.14299999999999999</v>
      </c>
      <c r="AK143">
        <v>0.129</v>
      </c>
      <c r="AL143">
        <v>0.112</v>
      </c>
      <c r="AM143">
        <v>5.5E-2</v>
      </c>
      <c r="AN143">
        <v>0.13500000000000001</v>
      </c>
      <c r="AO143">
        <v>0.32100000000000001</v>
      </c>
      <c r="AP143">
        <v>0.41299999999999998</v>
      </c>
      <c r="AQ143">
        <v>0.30499999999999999</v>
      </c>
      <c r="AR143">
        <v>0.26900000000000002</v>
      </c>
      <c r="AS143">
        <v>0.34599999999999997</v>
      </c>
      <c r="AT143">
        <v>0.40200000000000002</v>
      </c>
      <c r="AU143">
        <v>0.51200000000000001</v>
      </c>
      <c r="AV143">
        <v>0.55200000000000005</v>
      </c>
      <c r="AW143">
        <v>0.628</v>
      </c>
      <c r="AX143">
        <v>0.73099999999999998</v>
      </c>
      <c r="AY143">
        <v>0.73099999999999998</v>
      </c>
      <c r="AZ143">
        <v>0.66600000000000004</v>
      </c>
      <c r="BA143">
        <v>0.65900000000000003</v>
      </c>
      <c r="BB143">
        <v>0.7</v>
      </c>
      <c r="BC143">
        <v>0.62</v>
      </c>
      <c r="BD143">
        <v>0.5</v>
      </c>
      <c r="BE143">
        <v>0.55400000000000005</v>
      </c>
      <c r="BF143">
        <v>0.54200000000000004</v>
      </c>
      <c r="BG143">
        <v>0.38</v>
      </c>
      <c r="BH143">
        <v>0.42699999999999999</v>
      </c>
      <c r="BI143">
        <v>0.48099999999999998</v>
      </c>
      <c r="BJ143">
        <v>0.48099999999999998</v>
      </c>
      <c r="BK143">
        <v>0.46899999999999997</v>
      </c>
      <c r="BL143">
        <v>0.42499999999999999</v>
      </c>
    </row>
    <row r="144" spans="1:64" x14ac:dyDescent="0.25">
      <c r="A144">
        <v>0.45700000000000002</v>
      </c>
      <c r="B144">
        <v>0.32400000000000001</v>
      </c>
      <c r="C144">
        <v>0.223</v>
      </c>
      <c r="D144">
        <v>0.23200000000000001</v>
      </c>
      <c r="E144">
        <v>0.191</v>
      </c>
      <c r="F144">
        <v>0.34399999999999997</v>
      </c>
      <c r="G144">
        <v>0.48599999999999999</v>
      </c>
      <c r="H144">
        <v>0.35399999999999998</v>
      </c>
      <c r="I144">
        <v>0.26100000000000001</v>
      </c>
      <c r="J144">
        <v>0.45600000000000002</v>
      </c>
      <c r="K144">
        <v>0.58899999999999997</v>
      </c>
      <c r="L144">
        <v>0.59799999999999998</v>
      </c>
      <c r="M144">
        <v>0.58099999999999996</v>
      </c>
      <c r="N144">
        <v>0.53900000000000003</v>
      </c>
      <c r="O144">
        <v>0.377</v>
      </c>
      <c r="P144">
        <v>0.1</v>
      </c>
      <c r="Q144">
        <v>-0.191</v>
      </c>
      <c r="R144">
        <v>-0.435</v>
      </c>
      <c r="S144">
        <v>-0.47399999999999998</v>
      </c>
      <c r="T144">
        <v>-0.28000000000000003</v>
      </c>
      <c r="U144">
        <v>-0.17599999999999999</v>
      </c>
      <c r="V144">
        <v>8.9999999999999993E-3</v>
      </c>
      <c r="W144">
        <v>0.26900000000000002</v>
      </c>
      <c r="X144">
        <v>0.432</v>
      </c>
      <c r="Y144">
        <v>0.49099999999999999</v>
      </c>
      <c r="Z144">
        <v>0.35</v>
      </c>
      <c r="AA144">
        <v>5.8999999999999997E-2</v>
      </c>
      <c r="AB144">
        <v>-0.19</v>
      </c>
      <c r="AC144">
        <v>-0.22500000000000001</v>
      </c>
      <c r="AD144">
        <v>5.0999999999999997E-2</v>
      </c>
      <c r="AE144">
        <v>0.36299999999999999</v>
      </c>
      <c r="AF144">
        <v>0.50600000000000001</v>
      </c>
      <c r="AG144">
        <v>0.434</v>
      </c>
      <c r="AH144">
        <v>0.24099999999999999</v>
      </c>
      <c r="AI144">
        <v>0.14599999999999999</v>
      </c>
      <c r="AJ144">
        <v>0.113</v>
      </c>
      <c r="AK144">
        <v>2.8000000000000001E-2</v>
      </c>
      <c r="AL144">
        <v>-2.1999999999999999E-2</v>
      </c>
      <c r="AM144">
        <v>0.17499999999999999</v>
      </c>
      <c r="AN144">
        <v>0.41299999999999998</v>
      </c>
      <c r="AO144">
        <v>0.56599999999999995</v>
      </c>
      <c r="AP144">
        <v>0.61599999999999999</v>
      </c>
      <c r="AQ144">
        <v>0.53900000000000003</v>
      </c>
      <c r="AR144">
        <v>0.41299999999999998</v>
      </c>
      <c r="AS144">
        <v>0.27800000000000002</v>
      </c>
      <c r="AT144">
        <v>0.25900000000000001</v>
      </c>
      <c r="AU144">
        <v>0.35799999999999998</v>
      </c>
      <c r="AV144">
        <v>0.44800000000000001</v>
      </c>
      <c r="AW144">
        <v>0.54300000000000004</v>
      </c>
      <c r="AX144">
        <v>0.61</v>
      </c>
      <c r="AY144">
        <v>0.63300000000000001</v>
      </c>
      <c r="AZ144">
        <v>0.65500000000000003</v>
      </c>
      <c r="BA144">
        <v>0.69499999999999995</v>
      </c>
      <c r="BB144">
        <v>0.69699999999999995</v>
      </c>
      <c r="BC144">
        <v>0.58899999999999997</v>
      </c>
      <c r="BD144">
        <v>0.439</v>
      </c>
      <c r="BE144">
        <v>0.432</v>
      </c>
      <c r="BF144">
        <v>0.52</v>
      </c>
      <c r="BG144">
        <v>0.57999999999999996</v>
      </c>
      <c r="BH144">
        <v>0.629</v>
      </c>
      <c r="BI144">
        <v>0.624</v>
      </c>
      <c r="BJ144">
        <v>0.53600000000000003</v>
      </c>
      <c r="BK144">
        <v>0.42199999999999999</v>
      </c>
      <c r="BL144">
        <v>0.371</v>
      </c>
    </row>
    <row r="145" spans="1:64" x14ac:dyDescent="0.25">
      <c r="A145">
        <v>0.55400000000000005</v>
      </c>
      <c r="B145">
        <v>0.56799999999999995</v>
      </c>
      <c r="C145">
        <v>0.52100000000000002</v>
      </c>
      <c r="D145">
        <v>0.44500000000000001</v>
      </c>
      <c r="E145">
        <v>0.29899999999999999</v>
      </c>
      <c r="F145">
        <v>0.26500000000000001</v>
      </c>
      <c r="G145">
        <v>0.36799999999999999</v>
      </c>
      <c r="H145">
        <v>0.39600000000000002</v>
      </c>
      <c r="I145">
        <v>0.376</v>
      </c>
      <c r="J145">
        <v>0.35299999999999998</v>
      </c>
      <c r="K145">
        <v>0.40100000000000002</v>
      </c>
      <c r="L145">
        <v>0.495</v>
      </c>
      <c r="M145">
        <v>0.49299999999999999</v>
      </c>
      <c r="N145">
        <v>0.41599999999999998</v>
      </c>
      <c r="O145">
        <v>0.35699999999999998</v>
      </c>
      <c r="P145">
        <v>0.254</v>
      </c>
      <c r="Q145">
        <v>-1E-3</v>
      </c>
      <c r="R145">
        <v>-0.191</v>
      </c>
      <c r="S145">
        <v>-0.15</v>
      </c>
      <c r="T145">
        <v>-8.3000000000000004E-2</v>
      </c>
      <c r="U145">
        <v>-0.107</v>
      </c>
      <c r="V145">
        <v>-4.2000000000000003E-2</v>
      </c>
      <c r="W145">
        <v>0.23899999999999999</v>
      </c>
      <c r="X145">
        <v>0.439</v>
      </c>
      <c r="Y145">
        <v>0.46100000000000002</v>
      </c>
      <c r="Z145">
        <v>0.38900000000000001</v>
      </c>
      <c r="AA145">
        <v>0.29299999999999998</v>
      </c>
      <c r="AB145">
        <v>0.16800000000000001</v>
      </c>
      <c r="AC145">
        <v>5.1999999999999998E-2</v>
      </c>
      <c r="AD145">
        <v>5.5E-2</v>
      </c>
      <c r="AE145">
        <v>0.215</v>
      </c>
      <c r="AF145">
        <v>0.31900000000000001</v>
      </c>
      <c r="AG145">
        <v>0.247</v>
      </c>
      <c r="AH145">
        <v>0.107</v>
      </c>
      <c r="AI145">
        <v>0.14799999999999999</v>
      </c>
      <c r="AJ145">
        <v>0.27500000000000002</v>
      </c>
      <c r="AK145">
        <v>0.32600000000000001</v>
      </c>
      <c r="AL145">
        <v>0.311</v>
      </c>
      <c r="AM145">
        <v>0.27800000000000002</v>
      </c>
      <c r="AN145">
        <v>0.26400000000000001</v>
      </c>
      <c r="AO145">
        <v>0.374</v>
      </c>
      <c r="AP145">
        <v>0.495</v>
      </c>
      <c r="AQ145">
        <v>0.497</v>
      </c>
      <c r="AR145">
        <v>0.40899999999999997</v>
      </c>
      <c r="AS145">
        <v>0.28699999999999998</v>
      </c>
      <c r="AT145">
        <v>0.19800000000000001</v>
      </c>
      <c r="AU145">
        <v>0.20200000000000001</v>
      </c>
      <c r="AV145">
        <v>0.27400000000000002</v>
      </c>
      <c r="AW145">
        <v>0.36899999999999999</v>
      </c>
      <c r="AX145">
        <v>0.35399999999999998</v>
      </c>
      <c r="AY145">
        <v>0.28599999999999998</v>
      </c>
      <c r="AZ145">
        <v>0.33700000000000002</v>
      </c>
      <c r="BA145">
        <v>0.38800000000000001</v>
      </c>
      <c r="BB145">
        <v>0.36099999999999999</v>
      </c>
      <c r="BC145">
        <v>0.26</v>
      </c>
      <c r="BD145">
        <v>0.218</v>
      </c>
      <c r="BE145">
        <v>0.223</v>
      </c>
      <c r="BF145">
        <v>0.314</v>
      </c>
      <c r="BG145">
        <v>0.51900000000000002</v>
      </c>
      <c r="BH145">
        <v>0.56899999999999995</v>
      </c>
      <c r="BI145">
        <v>0.54400000000000004</v>
      </c>
      <c r="BJ145">
        <v>0.434</v>
      </c>
      <c r="BK145">
        <v>0.33700000000000002</v>
      </c>
      <c r="BL145">
        <v>0.42499999999999999</v>
      </c>
    </row>
    <row r="146" spans="1:64" x14ac:dyDescent="0.25">
      <c r="A146">
        <v>0.71799999999999997</v>
      </c>
      <c r="B146">
        <v>0.74</v>
      </c>
      <c r="C146">
        <v>0.67300000000000004</v>
      </c>
      <c r="D146">
        <v>0.50600000000000001</v>
      </c>
      <c r="E146">
        <v>0.34499999999999997</v>
      </c>
      <c r="F146">
        <v>0.32900000000000001</v>
      </c>
      <c r="G146">
        <v>0.371</v>
      </c>
      <c r="H146">
        <v>0.29099999999999998</v>
      </c>
      <c r="I146">
        <v>0.27</v>
      </c>
      <c r="J146">
        <v>0.315</v>
      </c>
      <c r="K146">
        <v>0.40699999999999997</v>
      </c>
      <c r="L146">
        <v>0.501</v>
      </c>
      <c r="M146">
        <v>0.52900000000000003</v>
      </c>
      <c r="N146">
        <v>0.48199999999999998</v>
      </c>
      <c r="O146">
        <v>0.32300000000000001</v>
      </c>
      <c r="P146">
        <v>0.16400000000000001</v>
      </c>
      <c r="Q146">
        <v>7.0000000000000007E-2</v>
      </c>
      <c r="R146">
        <v>8.7999999999999995E-2</v>
      </c>
      <c r="S146">
        <v>0.129</v>
      </c>
      <c r="T146">
        <v>0.01</v>
      </c>
      <c r="U146">
        <v>-0.18099999999999999</v>
      </c>
      <c r="V146">
        <v>-0.24099999999999999</v>
      </c>
      <c r="W146">
        <v>-0.23799999999999999</v>
      </c>
      <c r="X146">
        <v>-3.3000000000000002E-2</v>
      </c>
      <c r="Y146">
        <v>0.33300000000000002</v>
      </c>
      <c r="Z146">
        <v>0.49</v>
      </c>
      <c r="AA146">
        <v>0.47599999999999998</v>
      </c>
      <c r="AB146">
        <v>0.29799999999999999</v>
      </c>
      <c r="AC146">
        <v>0.112</v>
      </c>
      <c r="AD146">
        <v>-0.155</v>
      </c>
      <c r="AE146">
        <v>-0.33700000000000002</v>
      </c>
      <c r="AF146">
        <v>-0.255</v>
      </c>
      <c r="AG146">
        <v>4.2000000000000003E-2</v>
      </c>
      <c r="AH146">
        <v>0.33600000000000002</v>
      </c>
      <c r="AI146">
        <v>0.39300000000000002</v>
      </c>
      <c r="AJ146">
        <v>0.374</v>
      </c>
      <c r="AK146">
        <v>0.374</v>
      </c>
      <c r="AL146">
        <v>0.32300000000000001</v>
      </c>
      <c r="AM146">
        <v>0.17499999999999999</v>
      </c>
      <c r="AN146">
        <v>0.14699999999999999</v>
      </c>
      <c r="AO146">
        <v>0.28000000000000003</v>
      </c>
      <c r="AP146">
        <v>0.28999999999999998</v>
      </c>
      <c r="AQ146">
        <v>0.20300000000000001</v>
      </c>
      <c r="AR146">
        <v>0.33900000000000002</v>
      </c>
      <c r="AS146">
        <v>0.39700000000000002</v>
      </c>
      <c r="AT146">
        <v>0.26800000000000002</v>
      </c>
      <c r="AU146">
        <v>5.8999999999999997E-2</v>
      </c>
      <c r="AV146">
        <v>2.9000000000000001E-2</v>
      </c>
      <c r="AW146">
        <v>0.16700000000000001</v>
      </c>
      <c r="AX146">
        <v>0.245</v>
      </c>
      <c r="AY146">
        <v>0.17499999999999999</v>
      </c>
      <c r="AZ146">
        <v>0.3</v>
      </c>
      <c r="BA146">
        <v>0.372</v>
      </c>
      <c r="BB146">
        <v>0.187</v>
      </c>
      <c r="BC146">
        <v>2.8000000000000001E-2</v>
      </c>
      <c r="BD146">
        <v>5.1999999999999998E-2</v>
      </c>
      <c r="BE146">
        <v>0.113</v>
      </c>
      <c r="BF146">
        <v>0.156</v>
      </c>
      <c r="BG146">
        <v>0.35599999999999998</v>
      </c>
      <c r="BH146">
        <v>0.497</v>
      </c>
      <c r="BI146">
        <v>0.46500000000000002</v>
      </c>
      <c r="BJ146">
        <v>0.373</v>
      </c>
      <c r="BK146">
        <v>0.38</v>
      </c>
      <c r="BL146">
        <v>0.46200000000000002</v>
      </c>
    </row>
    <row r="147" spans="1:64" x14ac:dyDescent="0.25">
      <c r="A147">
        <v>0.51500000000000001</v>
      </c>
      <c r="B147">
        <v>0.58499999999999996</v>
      </c>
      <c r="C147">
        <v>0.59699999999999998</v>
      </c>
      <c r="D147">
        <v>0.56000000000000005</v>
      </c>
      <c r="E147">
        <v>0.56599999999999995</v>
      </c>
      <c r="F147">
        <v>0.46200000000000002</v>
      </c>
      <c r="G147">
        <v>0.44500000000000001</v>
      </c>
      <c r="H147">
        <v>0.39100000000000001</v>
      </c>
      <c r="I147">
        <v>0.32200000000000001</v>
      </c>
      <c r="J147">
        <v>0.28799999999999998</v>
      </c>
      <c r="K147">
        <v>0.32600000000000001</v>
      </c>
      <c r="L147">
        <v>0.48699999999999999</v>
      </c>
      <c r="M147">
        <v>0.59699999999999998</v>
      </c>
      <c r="N147">
        <v>0.54800000000000004</v>
      </c>
      <c r="O147">
        <v>0.34</v>
      </c>
      <c r="P147">
        <v>0.25700000000000001</v>
      </c>
      <c r="Q147">
        <v>0.34799999999999998</v>
      </c>
      <c r="R147">
        <v>0.39800000000000002</v>
      </c>
      <c r="S147">
        <v>0.28499999999999998</v>
      </c>
      <c r="T147">
        <v>6.5000000000000002E-2</v>
      </c>
      <c r="U147">
        <v>-0.17799999999999999</v>
      </c>
      <c r="V147">
        <v>-0.224</v>
      </c>
      <c r="W147">
        <v>-0.217</v>
      </c>
      <c r="X147">
        <v>-0.17399999999999999</v>
      </c>
      <c r="Y147">
        <v>-0.13800000000000001</v>
      </c>
      <c r="Z147">
        <v>-4.7E-2</v>
      </c>
      <c r="AA147">
        <v>0.10199999999999999</v>
      </c>
      <c r="AB147">
        <v>0.27100000000000002</v>
      </c>
      <c r="AC147">
        <v>0.40799999999999997</v>
      </c>
      <c r="AD147">
        <v>0.254</v>
      </c>
      <c r="AE147">
        <v>-1.2999999999999999E-2</v>
      </c>
      <c r="AF147">
        <v>-5.1999999999999998E-2</v>
      </c>
      <c r="AG147">
        <v>4.7E-2</v>
      </c>
      <c r="AH147">
        <v>0.193</v>
      </c>
      <c r="AI147">
        <v>0.23599999999999999</v>
      </c>
      <c r="AJ147">
        <v>0.121</v>
      </c>
      <c r="AK147">
        <v>0.11899999999999999</v>
      </c>
      <c r="AL147">
        <v>0.33500000000000002</v>
      </c>
      <c r="AM147">
        <v>0.38900000000000001</v>
      </c>
      <c r="AN147">
        <v>0.25800000000000001</v>
      </c>
      <c r="AO147">
        <v>0.26700000000000002</v>
      </c>
      <c r="AP147">
        <v>0.28199999999999997</v>
      </c>
      <c r="AQ147">
        <v>0.214</v>
      </c>
      <c r="AR147">
        <v>0.20300000000000001</v>
      </c>
      <c r="AS147">
        <v>0.14399999999999999</v>
      </c>
      <c r="AT147">
        <v>2.4E-2</v>
      </c>
      <c r="AU147">
        <v>-7.0999999999999994E-2</v>
      </c>
      <c r="AV147">
        <v>-8.3000000000000004E-2</v>
      </c>
      <c r="AW147">
        <v>-0.05</v>
      </c>
      <c r="AX147">
        <v>0.10100000000000001</v>
      </c>
      <c r="AY147">
        <v>0.309</v>
      </c>
      <c r="AZ147">
        <v>0.377</v>
      </c>
      <c r="BA147">
        <v>0.38300000000000001</v>
      </c>
      <c r="BB147">
        <v>0.34699999999999998</v>
      </c>
      <c r="BC147">
        <v>0.314</v>
      </c>
      <c r="BD147">
        <v>0.248</v>
      </c>
      <c r="BE147">
        <v>0.34100000000000003</v>
      </c>
      <c r="BF147">
        <v>0.29599999999999999</v>
      </c>
      <c r="BG147">
        <v>0.155</v>
      </c>
      <c r="BH147">
        <v>0.16500000000000001</v>
      </c>
      <c r="BI147">
        <v>0.14000000000000001</v>
      </c>
      <c r="BJ147">
        <v>0.214</v>
      </c>
      <c r="BK147">
        <v>0.29399999999999998</v>
      </c>
      <c r="BL147">
        <v>0.17699999999999999</v>
      </c>
    </row>
    <row r="148" spans="1:64" x14ac:dyDescent="0.25">
      <c r="A148">
        <v>0.29599999999999999</v>
      </c>
      <c r="B148">
        <v>0.43099999999999999</v>
      </c>
      <c r="C148">
        <v>0.56000000000000005</v>
      </c>
      <c r="D148">
        <v>0.61</v>
      </c>
      <c r="E148">
        <v>0.64</v>
      </c>
      <c r="F148">
        <v>0.48499999999999999</v>
      </c>
      <c r="G148">
        <v>0.23499999999999999</v>
      </c>
      <c r="H148">
        <v>0.36499999999999999</v>
      </c>
      <c r="I148">
        <v>0.45</v>
      </c>
      <c r="J148">
        <v>0.216</v>
      </c>
      <c r="K148">
        <v>6.2E-2</v>
      </c>
      <c r="L148">
        <v>0.24299999999999999</v>
      </c>
      <c r="M148">
        <v>0.34899999999999998</v>
      </c>
      <c r="N148">
        <v>0.35</v>
      </c>
      <c r="O148">
        <v>0.45300000000000001</v>
      </c>
      <c r="P148">
        <v>0.60199999999999998</v>
      </c>
      <c r="Q148">
        <v>0.69099999999999995</v>
      </c>
      <c r="R148">
        <v>0.65500000000000003</v>
      </c>
      <c r="S148">
        <v>0.51900000000000002</v>
      </c>
      <c r="T148">
        <v>0.41399999999999998</v>
      </c>
      <c r="U148">
        <v>0.316</v>
      </c>
      <c r="V148">
        <v>-2E-3</v>
      </c>
      <c r="W148">
        <v>-0.20799999999999999</v>
      </c>
      <c r="X148">
        <v>-0.19500000000000001</v>
      </c>
      <c r="Y148">
        <v>-0.373</v>
      </c>
      <c r="Z148">
        <v>-0.46800000000000003</v>
      </c>
      <c r="AA148">
        <v>-0.36499999999999999</v>
      </c>
      <c r="AB148">
        <v>-3.0000000000000001E-3</v>
      </c>
      <c r="AC148">
        <v>0.33</v>
      </c>
      <c r="AD148">
        <v>0.40200000000000002</v>
      </c>
      <c r="AE148">
        <v>0.37</v>
      </c>
      <c r="AF148">
        <v>0.28499999999999998</v>
      </c>
      <c r="AG148">
        <v>0.20100000000000001</v>
      </c>
      <c r="AH148">
        <v>3.4000000000000002E-2</v>
      </c>
      <c r="AI148">
        <v>-7.6999999999999999E-2</v>
      </c>
      <c r="AJ148">
        <v>-1.7999999999999999E-2</v>
      </c>
      <c r="AK148">
        <v>0.11799999999999999</v>
      </c>
      <c r="AL148">
        <v>0.29099999999999998</v>
      </c>
      <c r="AM148">
        <v>0.40899999999999997</v>
      </c>
      <c r="AN148">
        <v>0.24399999999999999</v>
      </c>
      <c r="AO148">
        <v>-7.0000000000000001E-3</v>
      </c>
      <c r="AP148">
        <v>-0.01</v>
      </c>
      <c r="AQ148">
        <v>0.161</v>
      </c>
      <c r="AR148">
        <v>0.129</v>
      </c>
      <c r="AS148">
        <v>-1.0999999999999999E-2</v>
      </c>
      <c r="AT148">
        <v>-0.19700000000000001</v>
      </c>
      <c r="AU148">
        <v>-0.26400000000000001</v>
      </c>
      <c r="AV148">
        <v>-0.22700000000000001</v>
      </c>
      <c r="AW148">
        <v>-0.26600000000000001</v>
      </c>
      <c r="AX148">
        <v>-0.13800000000000001</v>
      </c>
      <c r="AY148">
        <v>0.27200000000000002</v>
      </c>
      <c r="AZ148">
        <v>0.42599999999999999</v>
      </c>
      <c r="BA148">
        <v>0.38400000000000001</v>
      </c>
      <c r="BB148">
        <v>0.314</v>
      </c>
      <c r="BC148">
        <v>0.20200000000000001</v>
      </c>
      <c r="BD148">
        <v>1.7000000000000001E-2</v>
      </c>
      <c r="BE148">
        <v>-2.1000000000000001E-2</v>
      </c>
      <c r="BF148">
        <v>8.0000000000000002E-3</v>
      </c>
      <c r="BG148">
        <v>-0.14899999999999999</v>
      </c>
      <c r="BH148">
        <v>-0.23899999999999999</v>
      </c>
      <c r="BI148">
        <v>-5.2999999999999999E-2</v>
      </c>
      <c r="BJ148">
        <v>0.24199999999999999</v>
      </c>
      <c r="BK148">
        <v>0.20899999999999999</v>
      </c>
      <c r="BL148">
        <v>-0.191</v>
      </c>
    </row>
    <row r="149" spans="1:64" x14ac:dyDescent="0.25">
      <c r="A149">
        <v>0.38700000000000001</v>
      </c>
      <c r="B149">
        <v>0.35399999999999998</v>
      </c>
      <c r="C149">
        <v>0.41899999999999998</v>
      </c>
      <c r="D149">
        <v>0.47199999999999998</v>
      </c>
      <c r="E149">
        <v>0.48</v>
      </c>
      <c r="F149">
        <v>0.52300000000000002</v>
      </c>
      <c r="G149">
        <v>0.42</v>
      </c>
      <c r="H149">
        <v>0.30099999999999999</v>
      </c>
      <c r="I149">
        <v>0.32200000000000001</v>
      </c>
      <c r="J149">
        <v>0.23</v>
      </c>
      <c r="K149">
        <v>7.1999999999999995E-2</v>
      </c>
      <c r="L149">
        <v>-2.7E-2</v>
      </c>
      <c r="M149">
        <v>-3.4000000000000002E-2</v>
      </c>
      <c r="N149">
        <v>0.158</v>
      </c>
      <c r="O149">
        <v>0.35299999999999998</v>
      </c>
      <c r="P149">
        <v>0.39900000000000002</v>
      </c>
      <c r="Q149">
        <v>0.38500000000000001</v>
      </c>
      <c r="R149">
        <v>0.39300000000000002</v>
      </c>
      <c r="S149">
        <v>0.441</v>
      </c>
      <c r="T149">
        <v>0.40300000000000002</v>
      </c>
      <c r="U149">
        <v>0.26800000000000002</v>
      </c>
      <c r="V149">
        <v>-0.109</v>
      </c>
      <c r="W149">
        <v>-0.35799999999999998</v>
      </c>
      <c r="X149">
        <v>-0.39800000000000002</v>
      </c>
      <c r="Y149">
        <v>-0.46200000000000002</v>
      </c>
      <c r="Z149">
        <v>-0.30099999999999999</v>
      </c>
      <c r="AA149">
        <v>-0.183</v>
      </c>
      <c r="AB149">
        <v>-0.155</v>
      </c>
      <c r="AC149">
        <v>3.4000000000000002E-2</v>
      </c>
      <c r="AD149">
        <v>0.22900000000000001</v>
      </c>
      <c r="AE149">
        <v>0.23</v>
      </c>
      <c r="AF149">
        <v>0.13600000000000001</v>
      </c>
      <c r="AG149">
        <v>0.20300000000000001</v>
      </c>
      <c r="AH149">
        <v>0.248</v>
      </c>
      <c r="AI149">
        <v>0.13500000000000001</v>
      </c>
      <c r="AJ149">
        <v>7.0999999999999994E-2</v>
      </c>
      <c r="AK149">
        <v>0.10199999999999999</v>
      </c>
      <c r="AL149">
        <v>0.17799999999999999</v>
      </c>
      <c r="AM149">
        <v>0.252</v>
      </c>
      <c r="AN149">
        <v>0.187</v>
      </c>
      <c r="AO149">
        <v>-6.0000000000000001E-3</v>
      </c>
      <c r="AP149">
        <v>-6.0999999999999999E-2</v>
      </c>
      <c r="AQ149">
        <v>-2.7E-2</v>
      </c>
      <c r="AR149">
        <v>-8.3000000000000004E-2</v>
      </c>
      <c r="AS149">
        <v>-0.23400000000000001</v>
      </c>
      <c r="AT149">
        <v>-0.41799999999999998</v>
      </c>
      <c r="AU149">
        <v>-0.42499999999999999</v>
      </c>
      <c r="AV149">
        <v>-0.37</v>
      </c>
      <c r="AW149">
        <v>-0.36699999999999999</v>
      </c>
      <c r="AX149">
        <v>-0.186</v>
      </c>
      <c r="AY149">
        <v>2.3E-2</v>
      </c>
      <c r="AZ149">
        <v>6.6000000000000003E-2</v>
      </c>
      <c r="BA149">
        <v>4.5999999999999999E-2</v>
      </c>
      <c r="BB149">
        <v>-8.0000000000000002E-3</v>
      </c>
      <c r="BC149">
        <v>-3.6999999999999998E-2</v>
      </c>
      <c r="BD149">
        <v>-0.11700000000000001</v>
      </c>
      <c r="BE149">
        <v>-0.315</v>
      </c>
      <c r="BF149">
        <v>-0.42599999999999999</v>
      </c>
      <c r="BG149">
        <v>-0.45</v>
      </c>
      <c r="BH149">
        <v>-0.435</v>
      </c>
      <c r="BI149">
        <v>-0.38600000000000001</v>
      </c>
      <c r="BJ149">
        <v>-0.29899999999999999</v>
      </c>
      <c r="BK149">
        <v>-0.22</v>
      </c>
      <c r="BL149">
        <v>-5.0999999999999997E-2</v>
      </c>
    </row>
    <row r="150" spans="1:64" x14ac:dyDescent="0.25">
      <c r="A150">
        <v>0.19900000000000001</v>
      </c>
      <c r="B150">
        <v>0.15</v>
      </c>
      <c r="C150">
        <v>0.193</v>
      </c>
      <c r="D150">
        <v>0.41299999999999998</v>
      </c>
      <c r="E150">
        <v>0.47799999999999998</v>
      </c>
      <c r="F150">
        <v>0.51800000000000002</v>
      </c>
      <c r="G150">
        <v>0.56100000000000005</v>
      </c>
      <c r="H150">
        <v>0.40500000000000003</v>
      </c>
      <c r="I150">
        <v>0.13200000000000001</v>
      </c>
      <c r="J150">
        <v>0.14599999999999999</v>
      </c>
      <c r="K150">
        <v>0.188</v>
      </c>
      <c r="L150">
        <v>9.2999999999999999E-2</v>
      </c>
      <c r="M150">
        <v>0.14000000000000001</v>
      </c>
      <c r="N150">
        <v>0.27600000000000002</v>
      </c>
      <c r="O150">
        <v>0.29899999999999999</v>
      </c>
      <c r="P150">
        <v>0.33</v>
      </c>
      <c r="Q150">
        <v>0.45500000000000002</v>
      </c>
      <c r="R150">
        <v>0.47499999999999998</v>
      </c>
      <c r="S150">
        <v>0.48099999999999998</v>
      </c>
      <c r="T150">
        <v>0.38500000000000001</v>
      </c>
      <c r="U150">
        <v>0.121</v>
      </c>
      <c r="V150">
        <v>-5.6000000000000001E-2</v>
      </c>
      <c r="W150">
        <v>-0.16600000000000001</v>
      </c>
      <c r="X150">
        <v>-0.38900000000000001</v>
      </c>
      <c r="Y150">
        <v>-0.505</v>
      </c>
      <c r="Z150">
        <v>-0.32100000000000001</v>
      </c>
      <c r="AA150">
        <v>-4.2000000000000003E-2</v>
      </c>
      <c r="AB150">
        <v>0.186</v>
      </c>
      <c r="AC150">
        <v>0.27700000000000002</v>
      </c>
      <c r="AD150">
        <v>0.27</v>
      </c>
      <c r="AE150">
        <v>0.22</v>
      </c>
      <c r="AF150">
        <v>0.25600000000000001</v>
      </c>
      <c r="AG150">
        <v>0.30299999999999999</v>
      </c>
      <c r="AH150">
        <v>0.39300000000000002</v>
      </c>
      <c r="AI150">
        <v>0.44900000000000001</v>
      </c>
      <c r="AJ150">
        <v>0.32800000000000001</v>
      </c>
      <c r="AK150">
        <v>0.22500000000000001</v>
      </c>
      <c r="AL150">
        <v>0.22500000000000001</v>
      </c>
      <c r="AM150">
        <v>0.215</v>
      </c>
      <c r="AN150">
        <v>0.22</v>
      </c>
      <c r="AO150">
        <v>0.21</v>
      </c>
      <c r="AP150">
        <v>0.112</v>
      </c>
      <c r="AQ150">
        <v>4.1000000000000002E-2</v>
      </c>
      <c r="AR150">
        <v>-0.248</v>
      </c>
      <c r="AS150">
        <v>-0.501</v>
      </c>
      <c r="AT150">
        <v>-0.45700000000000002</v>
      </c>
      <c r="AU150">
        <v>-0.38300000000000001</v>
      </c>
      <c r="AV150">
        <v>-0.379</v>
      </c>
      <c r="AW150">
        <v>-0.30399999999999999</v>
      </c>
      <c r="AX150">
        <v>-0.191</v>
      </c>
      <c r="AY150">
        <v>-0.25600000000000001</v>
      </c>
      <c r="AZ150">
        <v>-0.34899999999999998</v>
      </c>
      <c r="BA150">
        <v>-0.27400000000000002</v>
      </c>
      <c r="BB150">
        <v>-2.7E-2</v>
      </c>
      <c r="BC150">
        <v>6.0999999999999999E-2</v>
      </c>
      <c r="BD150">
        <v>-0.25800000000000001</v>
      </c>
      <c r="BE150">
        <v>-0.56599999999999995</v>
      </c>
      <c r="BF150">
        <v>-0.64200000000000002</v>
      </c>
      <c r="BG150">
        <v>-0.55200000000000005</v>
      </c>
      <c r="BH150">
        <v>-0.46</v>
      </c>
      <c r="BI150">
        <v>-0.58599999999999997</v>
      </c>
      <c r="BJ150">
        <v>-0.60399999999999998</v>
      </c>
      <c r="BK150">
        <v>-0.48899999999999999</v>
      </c>
      <c r="BL150">
        <v>-0.34499999999999997</v>
      </c>
    </row>
    <row r="151" spans="1:64" x14ac:dyDescent="0.25">
      <c r="A151">
        <v>0.48399999999999999</v>
      </c>
      <c r="B151">
        <v>0.56000000000000005</v>
      </c>
      <c r="C151">
        <v>0.57499999999999996</v>
      </c>
      <c r="D151">
        <v>0.51700000000000002</v>
      </c>
      <c r="E151">
        <v>0.496</v>
      </c>
      <c r="F151">
        <v>0.53200000000000003</v>
      </c>
      <c r="G151">
        <v>0.53800000000000003</v>
      </c>
      <c r="H151">
        <v>0.434</v>
      </c>
      <c r="I151">
        <v>0.26700000000000002</v>
      </c>
      <c r="J151">
        <v>0.252</v>
      </c>
      <c r="K151">
        <v>0.29399999999999998</v>
      </c>
      <c r="L151">
        <v>0.32400000000000001</v>
      </c>
      <c r="M151">
        <v>0.28399999999999997</v>
      </c>
      <c r="N151">
        <v>0.13300000000000001</v>
      </c>
      <c r="O151">
        <v>0.186</v>
      </c>
      <c r="P151">
        <v>0.433</v>
      </c>
      <c r="Q151">
        <v>0.55700000000000005</v>
      </c>
      <c r="R151">
        <v>0.53400000000000003</v>
      </c>
      <c r="S151">
        <v>0.40699999999999997</v>
      </c>
      <c r="T151">
        <v>0.19800000000000001</v>
      </c>
      <c r="U151">
        <v>0.151</v>
      </c>
      <c r="V151">
        <v>0.17399999999999999</v>
      </c>
      <c r="W151">
        <v>0.06</v>
      </c>
      <c r="X151">
        <v>-0.09</v>
      </c>
      <c r="Y151">
        <v>-0.128</v>
      </c>
      <c r="Z151">
        <v>-0.19</v>
      </c>
      <c r="AA151">
        <v>-0.105</v>
      </c>
      <c r="AB151">
        <v>0.18</v>
      </c>
      <c r="AC151">
        <v>0.20699999999999999</v>
      </c>
      <c r="AD151">
        <v>0.1</v>
      </c>
      <c r="AE151">
        <v>0.255</v>
      </c>
      <c r="AF151">
        <v>0.33400000000000002</v>
      </c>
      <c r="AG151">
        <v>0.22</v>
      </c>
      <c r="AH151">
        <v>0.109</v>
      </c>
      <c r="AI151">
        <v>0.192</v>
      </c>
      <c r="AJ151">
        <v>0.24099999999999999</v>
      </c>
      <c r="AK151">
        <v>0.17599999999999999</v>
      </c>
      <c r="AL151">
        <v>7.8E-2</v>
      </c>
      <c r="AM151">
        <v>-4.8000000000000001E-2</v>
      </c>
      <c r="AN151">
        <v>-0.154</v>
      </c>
      <c r="AO151">
        <v>-0.19900000000000001</v>
      </c>
      <c r="AP151">
        <v>-0.215</v>
      </c>
      <c r="AQ151">
        <v>-0.25800000000000001</v>
      </c>
      <c r="AR151">
        <v>-0.39</v>
      </c>
      <c r="AS151">
        <v>-0.4</v>
      </c>
      <c r="AT151">
        <v>-0.251</v>
      </c>
      <c r="AU151">
        <v>-0.11899999999999999</v>
      </c>
      <c r="AV151">
        <v>-0.128</v>
      </c>
      <c r="AW151">
        <v>-0.216</v>
      </c>
      <c r="AX151">
        <v>-0.32100000000000001</v>
      </c>
      <c r="AY151">
        <v>-0.438</v>
      </c>
      <c r="AZ151">
        <v>-0.46</v>
      </c>
      <c r="BA151">
        <v>-0.438</v>
      </c>
      <c r="BB151">
        <v>-0.372</v>
      </c>
      <c r="BC151">
        <v>-0.39800000000000002</v>
      </c>
      <c r="BD151">
        <v>-0.47799999999999998</v>
      </c>
      <c r="BE151">
        <v>-0.47299999999999998</v>
      </c>
      <c r="BF151">
        <v>-0.41799999999999998</v>
      </c>
      <c r="BG151">
        <v>-0.30399999999999999</v>
      </c>
      <c r="BH151">
        <v>-0.17399999999999999</v>
      </c>
      <c r="BI151">
        <v>-0.153</v>
      </c>
      <c r="BJ151">
        <v>-0.16800000000000001</v>
      </c>
      <c r="BK151">
        <v>-0.156</v>
      </c>
      <c r="BL151">
        <v>-0.14799999999999999</v>
      </c>
    </row>
    <row r="152" spans="1:64" x14ac:dyDescent="0.25">
      <c r="A152">
        <v>0.60299999999999998</v>
      </c>
      <c r="B152">
        <v>0.70199999999999996</v>
      </c>
      <c r="C152">
        <v>0.77300000000000002</v>
      </c>
      <c r="D152">
        <v>0.69</v>
      </c>
      <c r="E152">
        <v>0.54400000000000004</v>
      </c>
      <c r="F152">
        <v>0.54100000000000004</v>
      </c>
      <c r="G152">
        <v>0.625</v>
      </c>
      <c r="H152">
        <v>0.61599999999999999</v>
      </c>
      <c r="I152">
        <v>0.52500000000000002</v>
      </c>
      <c r="J152">
        <v>0.379</v>
      </c>
      <c r="K152">
        <v>0.23300000000000001</v>
      </c>
      <c r="L152">
        <v>0.16300000000000001</v>
      </c>
      <c r="M152">
        <v>9.7000000000000003E-2</v>
      </c>
      <c r="N152">
        <v>0.16900000000000001</v>
      </c>
      <c r="O152">
        <v>0.35</v>
      </c>
      <c r="P152">
        <v>0.47499999999999998</v>
      </c>
      <c r="Q152">
        <v>0.443</v>
      </c>
      <c r="R152">
        <v>0.24099999999999999</v>
      </c>
      <c r="S152">
        <v>-8.7999999999999995E-2</v>
      </c>
      <c r="T152">
        <v>-0.315</v>
      </c>
      <c r="U152">
        <v>-0.20200000000000001</v>
      </c>
      <c r="V152">
        <v>0.21099999999999999</v>
      </c>
      <c r="W152">
        <v>0.34</v>
      </c>
      <c r="X152">
        <v>0.26</v>
      </c>
      <c r="Y152">
        <v>0.26400000000000001</v>
      </c>
      <c r="Z152">
        <v>0.218</v>
      </c>
      <c r="AA152">
        <v>7.3999999999999996E-2</v>
      </c>
      <c r="AB152">
        <v>5.0999999999999997E-2</v>
      </c>
      <c r="AC152">
        <v>0.17799999999999999</v>
      </c>
      <c r="AD152">
        <v>0.251</v>
      </c>
      <c r="AE152">
        <v>0.224</v>
      </c>
      <c r="AF152">
        <v>7.1999999999999995E-2</v>
      </c>
      <c r="AG152">
        <v>-7.8E-2</v>
      </c>
      <c r="AH152">
        <v>-0.03</v>
      </c>
      <c r="AI152">
        <v>-4.4999999999999998E-2</v>
      </c>
      <c r="AJ152">
        <v>-0.14199999999999999</v>
      </c>
      <c r="AK152">
        <v>-0.125</v>
      </c>
      <c r="AL152">
        <v>-5.1999999999999998E-2</v>
      </c>
      <c r="AM152">
        <v>-0.14799999999999999</v>
      </c>
      <c r="AN152">
        <v>-0.46700000000000003</v>
      </c>
      <c r="AO152">
        <v>-0.49299999999999999</v>
      </c>
      <c r="AP152">
        <v>-0.375</v>
      </c>
      <c r="AQ152">
        <v>-0.41199999999999998</v>
      </c>
      <c r="AR152">
        <v>-0.435</v>
      </c>
      <c r="AS152">
        <v>-0.217</v>
      </c>
      <c r="AT152">
        <v>-0.153</v>
      </c>
      <c r="AU152">
        <v>-0.10100000000000001</v>
      </c>
      <c r="AV152">
        <v>2.1000000000000001E-2</v>
      </c>
      <c r="AW152">
        <v>-8.6999999999999994E-2</v>
      </c>
      <c r="AX152">
        <v>-0.32900000000000001</v>
      </c>
      <c r="AY152">
        <v>-0.52</v>
      </c>
      <c r="AZ152">
        <v>-0.54500000000000004</v>
      </c>
      <c r="BA152">
        <v>-0.53300000000000003</v>
      </c>
      <c r="BB152">
        <v>-0.56499999999999995</v>
      </c>
      <c r="BC152">
        <v>-0.495</v>
      </c>
      <c r="BD152">
        <v>-0.27</v>
      </c>
      <c r="BE152">
        <v>-0.14099999999999999</v>
      </c>
      <c r="BF152">
        <v>-7.6999999999999999E-2</v>
      </c>
      <c r="BG152">
        <v>-1.4E-2</v>
      </c>
      <c r="BH152">
        <v>2.1000000000000001E-2</v>
      </c>
      <c r="BI152">
        <v>0.122</v>
      </c>
      <c r="BJ152">
        <v>6.2E-2</v>
      </c>
      <c r="BK152">
        <v>0.02</v>
      </c>
      <c r="BL152">
        <v>0.14099999999999999</v>
      </c>
    </row>
    <row r="153" spans="1:64" x14ac:dyDescent="0.25">
      <c r="A153">
        <v>0.67200000000000004</v>
      </c>
      <c r="B153">
        <v>0.67100000000000004</v>
      </c>
      <c r="C153">
        <v>0.747</v>
      </c>
      <c r="D153">
        <v>0.73499999999999999</v>
      </c>
      <c r="E153">
        <v>0.67400000000000004</v>
      </c>
      <c r="F153">
        <v>0.60399999999999998</v>
      </c>
      <c r="G153">
        <v>0.66600000000000004</v>
      </c>
      <c r="H153">
        <v>0.66400000000000003</v>
      </c>
      <c r="I153">
        <v>0.627</v>
      </c>
      <c r="J153">
        <v>0.58699999999999997</v>
      </c>
      <c r="K153">
        <v>0.44400000000000001</v>
      </c>
      <c r="L153">
        <v>0.311</v>
      </c>
      <c r="M153">
        <v>0.315</v>
      </c>
      <c r="N153">
        <v>0.312</v>
      </c>
      <c r="O153">
        <v>0.151</v>
      </c>
      <c r="P153">
        <v>1E-3</v>
      </c>
      <c r="Q153">
        <v>-8.4000000000000005E-2</v>
      </c>
      <c r="R153">
        <v>-0.31</v>
      </c>
      <c r="S153">
        <v>-0.437</v>
      </c>
      <c r="T153">
        <v>-0.51800000000000002</v>
      </c>
      <c r="U153">
        <v>-0.52100000000000002</v>
      </c>
      <c r="V153">
        <v>-0.27</v>
      </c>
      <c r="W153">
        <v>0.23899999999999999</v>
      </c>
      <c r="X153">
        <v>0.46400000000000002</v>
      </c>
      <c r="Y153">
        <v>0.40300000000000002</v>
      </c>
      <c r="Z153">
        <v>0.30399999999999999</v>
      </c>
      <c r="AA153">
        <v>0.151</v>
      </c>
      <c r="AB153">
        <v>-0.109</v>
      </c>
      <c r="AC153">
        <v>-9.2999999999999999E-2</v>
      </c>
      <c r="AD153">
        <v>0.151</v>
      </c>
      <c r="AE153">
        <v>6.8000000000000005E-2</v>
      </c>
      <c r="AF153">
        <v>-0.224</v>
      </c>
      <c r="AG153">
        <v>-0.246</v>
      </c>
      <c r="AH153">
        <v>-0.104</v>
      </c>
      <c r="AI153">
        <v>-0.108</v>
      </c>
      <c r="AJ153">
        <v>-0.17799999999999999</v>
      </c>
      <c r="AK153">
        <v>-0.224</v>
      </c>
      <c r="AL153">
        <v>-0.33</v>
      </c>
      <c r="AM153">
        <v>-0.41399999999999998</v>
      </c>
      <c r="AN153">
        <v>-0.317</v>
      </c>
      <c r="AO153">
        <v>-0.26700000000000002</v>
      </c>
      <c r="AP153">
        <v>-0.35699999999999998</v>
      </c>
      <c r="AQ153">
        <v>-0.432</v>
      </c>
      <c r="AR153">
        <v>-0.39900000000000002</v>
      </c>
      <c r="AS153">
        <v>-0.32300000000000001</v>
      </c>
      <c r="AT153">
        <v>-0.30199999999999999</v>
      </c>
      <c r="AU153">
        <v>-0.245</v>
      </c>
      <c r="AV153">
        <v>-0.187</v>
      </c>
      <c r="AW153">
        <v>-0.21099999999999999</v>
      </c>
      <c r="AX153">
        <v>-0.35499999999999998</v>
      </c>
      <c r="AY153">
        <v>-0.496</v>
      </c>
      <c r="AZ153">
        <v>-0.48699999999999999</v>
      </c>
      <c r="BA153">
        <v>-0.499</v>
      </c>
      <c r="BB153">
        <v>-0.497</v>
      </c>
      <c r="BC153">
        <v>-0.496</v>
      </c>
      <c r="BD153">
        <v>-0.50700000000000001</v>
      </c>
      <c r="BE153">
        <v>-0.46700000000000003</v>
      </c>
      <c r="BF153">
        <v>-0.35099999999999998</v>
      </c>
      <c r="BG153">
        <v>-0.26100000000000001</v>
      </c>
      <c r="BH153">
        <v>-0.25600000000000001</v>
      </c>
      <c r="BI153">
        <v>-0.183</v>
      </c>
      <c r="BJ153">
        <v>-9.1999999999999998E-2</v>
      </c>
      <c r="BK153">
        <v>-8.7999999999999995E-2</v>
      </c>
      <c r="BL153">
        <v>0.02</v>
      </c>
    </row>
    <row r="154" spans="1:64" x14ac:dyDescent="0.25">
      <c r="A154">
        <v>0.72799999999999998</v>
      </c>
      <c r="B154">
        <v>0.65900000000000003</v>
      </c>
      <c r="C154">
        <v>0.58899999999999997</v>
      </c>
      <c r="D154">
        <v>0.54200000000000004</v>
      </c>
      <c r="E154">
        <v>0.624</v>
      </c>
      <c r="F154">
        <v>0.66900000000000004</v>
      </c>
      <c r="G154">
        <v>0.71799999999999997</v>
      </c>
      <c r="H154">
        <v>0.67600000000000005</v>
      </c>
      <c r="I154">
        <v>0.64200000000000002</v>
      </c>
      <c r="J154">
        <v>0.63600000000000001</v>
      </c>
      <c r="K154">
        <v>0.59699999999999998</v>
      </c>
      <c r="L154">
        <v>0.49099999999999999</v>
      </c>
      <c r="M154">
        <v>0.34499999999999997</v>
      </c>
      <c r="N154">
        <v>0.14199999999999999</v>
      </c>
      <c r="O154">
        <v>-0.108</v>
      </c>
      <c r="P154">
        <v>-0.38300000000000001</v>
      </c>
      <c r="Q154">
        <v>-0.55000000000000004</v>
      </c>
      <c r="R154">
        <v>-0.56499999999999995</v>
      </c>
      <c r="S154">
        <v>-0.498</v>
      </c>
      <c r="T154">
        <v>-0.41699999999999998</v>
      </c>
      <c r="U154">
        <v>-0.28000000000000003</v>
      </c>
      <c r="V154">
        <v>-3.1E-2</v>
      </c>
      <c r="W154">
        <v>0.29099999999999998</v>
      </c>
      <c r="X154">
        <v>0.46200000000000002</v>
      </c>
      <c r="Y154">
        <v>0.34</v>
      </c>
      <c r="Z154">
        <v>6.9000000000000006E-2</v>
      </c>
      <c r="AA154">
        <v>5.0000000000000001E-3</v>
      </c>
      <c r="AB154">
        <v>-1.0999999999999999E-2</v>
      </c>
      <c r="AC154">
        <v>-0.112</v>
      </c>
      <c r="AD154">
        <v>-6.0999999999999999E-2</v>
      </c>
      <c r="AE154">
        <v>8.0000000000000002E-3</v>
      </c>
      <c r="AF154">
        <v>-9.4E-2</v>
      </c>
      <c r="AG154">
        <v>-0.17899999999999999</v>
      </c>
      <c r="AH154">
        <v>-0.26400000000000001</v>
      </c>
      <c r="AI154">
        <v>-0.317</v>
      </c>
      <c r="AJ154">
        <v>-0.14499999999999999</v>
      </c>
      <c r="AK154">
        <v>-0.185</v>
      </c>
      <c r="AL154">
        <v>-0.374</v>
      </c>
      <c r="AM154">
        <v>-0.40400000000000003</v>
      </c>
      <c r="AN154">
        <v>-0.25</v>
      </c>
      <c r="AO154">
        <v>-0.20300000000000001</v>
      </c>
      <c r="AP154">
        <v>-0.35</v>
      </c>
      <c r="AQ154">
        <v>-0.33500000000000002</v>
      </c>
      <c r="AR154">
        <v>-0.26400000000000001</v>
      </c>
      <c r="AS154">
        <v>-0.32900000000000001</v>
      </c>
      <c r="AT154">
        <v>-0.249</v>
      </c>
      <c r="AU154">
        <v>-0.16700000000000001</v>
      </c>
      <c r="AV154">
        <v>-0.16</v>
      </c>
      <c r="AW154">
        <v>-0.21</v>
      </c>
      <c r="AX154">
        <v>-0.49099999999999999</v>
      </c>
      <c r="AY154">
        <v>-0.622</v>
      </c>
      <c r="AZ154">
        <v>-0.60899999999999999</v>
      </c>
      <c r="BA154">
        <v>-0.61199999999999999</v>
      </c>
      <c r="BB154">
        <v>-0.59</v>
      </c>
      <c r="BC154">
        <v>-0.65400000000000003</v>
      </c>
      <c r="BD154">
        <v>-0.74</v>
      </c>
      <c r="BE154">
        <v>-0.67400000000000004</v>
      </c>
      <c r="BF154">
        <v>-0.59199999999999997</v>
      </c>
      <c r="BG154">
        <v>-0.57499999999999996</v>
      </c>
      <c r="BH154">
        <v>-0.45</v>
      </c>
      <c r="BI154">
        <v>-0.26500000000000001</v>
      </c>
      <c r="BJ154">
        <v>0.09</v>
      </c>
      <c r="BK154">
        <v>0.28100000000000003</v>
      </c>
      <c r="BL154">
        <v>0.28999999999999998</v>
      </c>
    </row>
    <row r="155" spans="1:64" x14ac:dyDescent="0.25">
      <c r="A155">
        <v>0.56399999999999995</v>
      </c>
      <c r="B155">
        <v>0.505</v>
      </c>
      <c r="C155">
        <v>0.34499999999999997</v>
      </c>
      <c r="D155">
        <v>0.308</v>
      </c>
      <c r="E155">
        <v>0.44700000000000001</v>
      </c>
      <c r="F155">
        <v>0.53700000000000003</v>
      </c>
      <c r="G155">
        <v>0.60799999999999998</v>
      </c>
      <c r="H155">
        <v>0.55300000000000005</v>
      </c>
      <c r="I155">
        <v>0.58099999999999996</v>
      </c>
      <c r="J155">
        <v>0.60699999999999998</v>
      </c>
      <c r="K155">
        <v>0.60099999999999998</v>
      </c>
      <c r="L155">
        <v>0.56200000000000006</v>
      </c>
      <c r="M155">
        <v>0.45300000000000001</v>
      </c>
      <c r="N155">
        <v>0.36899999999999999</v>
      </c>
      <c r="O155">
        <v>0.33700000000000002</v>
      </c>
      <c r="P155">
        <v>0.20399999999999999</v>
      </c>
      <c r="Q155">
        <v>1.4999999999999999E-2</v>
      </c>
      <c r="R155">
        <v>6.4000000000000001E-2</v>
      </c>
      <c r="S155">
        <v>0.29799999999999999</v>
      </c>
      <c r="T155">
        <v>0.47799999999999998</v>
      </c>
      <c r="U155">
        <v>0.438</v>
      </c>
      <c r="V155">
        <v>0.24299999999999999</v>
      </c>
      <c r="W155">
        <v>0.188</v>
      </c>
      <c r="X155">
        <v>0.28299999999999997</v>
      </c>
      <c r="Y155">
        <v>0.41199999999999998</v>
      </c>
      <c r="Z155">
        <v>0.44500000000000001</v>
      </c>
      <c r="AA155">
        <v>0.38400000000000001</v>
      </c>
      <c r="AB155">
        <v>0.27100000000000002</v>
      </c>
      <c r="AC155">
        <v>3.4000000000000002E-2</v>
      </c>
      <c r="AD155">
        <v>-7.1999999999999995E-2</v>
      </c>
      <c r="AE155">
        <v>-7.0000000000000001E-3</v>
      </c>
      <c r="AF155">
        <v>9.6000000000000002E-2</v>
      </c>
      <c r="AG155">
        <v>8.5000000000000006E-2</v>
      </c>
      <c r="AH155">
        <v>-7.0999999999999994E-2</v>
      </c>
      <c r="AI155">
        <v>-0.125</v>
      </c>
      <c r="AJ155">
        <v>-5.8000000000000003E-2</v>
      </c>
      <c r="AK155">
        <v>-9.8000000000000004E-2</v>
      </c>
      <c r="AL155">
        <v>-0.19</v>
      </c>
      <c r="AM155">
        <v>-0.35399999999999998</v>
      </c>
      <c r="AN155">
        <v>-0.434</v>
      </c>
      <c r="AO155">
        <v>-0.35299999999999998</v>
      </c>
      <c r="AP155">
        <v>-0.20399999999999999</v>
      </c>
      <c r="AQ155">
        <v>-5.5E-2</v>
      </c>
      <c r="AR155">
        <v>4.2999999999999997E-2</v>
      </c>
      <c r="AS155">
        <v>8.8999999999999996E-2</v>
      </c>
      <c r="AT155">
        <v>1.2999999999999999E-2</v>
      </c>
      <c r="AU155">
        <v>-0.129</v>
      </c>
      <c r="AV155">
        <v>-0.19500000000000001</v>
      </c>
      <c r="AW155">
        <v>-0.38100000000000001</v>
      </c>
      <c r="AX155">
        <v>-0.56799999999999995</v>
      </c>
      <c r="AY155">
        <v>-0.623</v>
      </c>
      <c r="AZ155">
        <v>-0.621</v>
      </c>
      <c r="BA155">
        <v>-0.69399999999999995</v>
      </c>
      <c r="BB155">
        <v>-0.73799999999999999</v>
      </c>
      <c r="BC155">
        <v>-0.69799999999999995</v>
      </c>
      <c r="BD155">
        <v>-0.626</v>
      </c>
      <c r="BE155">
        <v>-0.499</v>
      </c>
      <c r="BF155">
        <v>-0.49399999999999999</v>
      </c>
      <c r="BG155">
        <v>-0.42299999999999999</v>
      </c>
      <c r="BH155">
        <v>-0.253</v>
      </c>
      <c r="BI155">
        <v>-0.191</v>
      </c>
      <c r="BJ155">
        <v>-8.0000000000000002E-3</v>
      </c>
      <c r="BK155">
        <v>0.153</v>
      </c>
      <c r="BL155">
        <v>6.6000000000000003E-2</v>
      </c>
    </row>
    <row r="156" spans="1:64" x14ac:dyDescent="0.25">
      <c r="A156">
        <v>0.55100000000000005</v>
      </c>
      <c r="B156">
        <v>0.55600000000000005</v>
      </c>
      <c r="C156">
        <v>0.55300000000000005</v>
      </c>
      <c r="D156">
        <v>0.58599999999999997</v>
      </c>
      <c r="E156">
        <v>0.54600000000000004</v>
      </c>
      <c r="F156">
        <v>0.5</v>
      </c>
      <c r="G156">
        <v>0.57899999999999996</v>
      </c>
      <c r="H156">
        <v>0.621</v>
      </c>
      <c r="I156">
        <v>0.69699999999999995</v>
      </c>
      <c r="J156">
        <v>0.72399999999999998</v>
      </c>
      <c r="K156">
        <v>0.70099999999999996</v>
      </c>
      <c r="L156">
        <v>0.60599999999999998</v>
      </c>
      <c r="M156">
        <v>0.54200000000000004</v>
      </c>
      <c r="N156">
        <v>0.57199999999999995</v>
      </c>
      <c r="O156">
        <v>0.57999999999999996</v>
      </c>
      <c r="P156">
        <v>0.63600000000000001</v>
      </c>
      <c r="Q156">
        <v>0.70299999999999996</v>
      </c>
      <c r="R156">
        <v>0.68</v>
      </c>
      <c r="S156">
        <v>0.66900000000000004</v>
      </c>
      <c r="T156">
        <v>0.73299999999999998</v>
      </c>
      <c r="U156">
        <v>0.70199999999999996</v>
      </c>
      <c r="V156">
        <v>0.43</v>
      </c>
      <c r="W156">
        <v>0.18099999999999999</v>
      </c>
      <c r="X156">
        <v>0.32800000000000001</v>
      </c>
      <c r="Y156">
        <v>0.56899999999999995</v>
      </c>
      <c r="Z156">
        <v>0.69</v>
      </c>
      <c r="AA156">
        <v>0.68</v>
      </c>
      <c r="AB156">
        <v>0.44900000000000001</v>
      </c>
      <c r="AC156">
        <v>0.104</v>
      </c>
      <c r="AD156">
        <v>-2.7E-2</v>
      </c>
      <c r="AE156">
        <v>7.1999999999999995E-2</v>
      </c>
      <c r="AF156">
        <v>0.34499999999999997</v>
      </c>
      <c r="AG156">
        <v>0.48599999999999999</v>
      </c>
      <c r="AH156">
        <v>0.44600000000000001</v>
      </c>
      <c r="AI156">
        <v>0.28100000000000003</v>
      </c>
      <c r="AJ156">
        <v>0.2</v>
      </c>
      <c r="AK156">
        <v>0.16700000000000001</v>
      </c>
      <c r="AL156">
        <v>-0.01</v>
      </c>
      <c r="AM156">
        <v>-0.24399999999999999</v>
      </c>
      <c r="AN156">
        <v>-0.40899999999999997</v>
      </c>
      <c r="AO156">
        <v>-0.505</v>
      </c>
      <c r="AP156">
        <v>-0.40100000000000002</v>
      </c>
      <c r="AQ156">
        <v>-0.156</v>
      </c>
      <c r="AR156">
        <v>8.5999999999999993E-2</v>
      </c>
      <c r="AS156">
        <v>0.28799999999999998</v>
      </c>
      <c r="AT156">
        <v>0.17799999999999999</v>
      </c>
      <c r="AU156">
        <v>-0.10100000000000001</v>
      </c>
      <c r="AV156">
        <v>-0.443</v>
      </c>
      <c r="AW156">
        <v>-0.74099999999999999</v>
      </c>
      <c r="AX156">
        <v>-0.71399999999999997</v>
      </c>
      <c r="AY156">
        <v>-0.55700000000000005</v>
      </c>
      <c r="AZ156">
        <v>-0.64400000000000002</v>
      </c>
      <c r="BA156">
        <v>-0.78600000000000003</v>
      </c>
      <c r="BB156">
        <v>-0.82299999999999995</v>
      </c>
      <c r="BC156">
        <v>-0.76500000000000001</v>
      </c>
      <c r="BD156">
        <v>-0.58399999999999996</v>
      </c>
      <c r="BE156">
        <v>-0.42799999999999999</v>
      </c>
      <c r="BF156">
        <v>-0.45</v>
      </c>
      <c r="BG156">
        <v>-0.32500000000000001</v>
      </c>
      <c r="BH156">
        <v>-0.20100000000000001</v>
      </c>
      <c r="BI156">
        <v>-0.16900000000000001</v>
      </c>
      <c r="BJ156">
        <v>-0.185</v>
      </c>
      <c r="BK156">
        <v>-0.317</v>
      </c>
      <c r="BL156">
        <v>-0.498</v>
      </c>
    </row>
    <row r="157" spans="1:64" x14ac:dyDescent="0.25">
      <c r="A157">
        <v>0.58399999999999996</v>
      </c>
      <c r="B157">
        <v>0.65</v>
      </c>
      <c r="C157">
        <v>0.64900000000000002</v>
      </c>
      <c r="D157">
        <v>0.65300000000000002</v>
      </c>
      <c r="E157">
        <v>0.64</v>
      </c>
      <c r="F157">
        <v>0.52400000000000002</v>
      </c>
      <c r="G157">
        <v>0.499</v>
      </c>
      <c r="H157">
        <v>0.67200000000000004</v>
      </c>
      <c r="I157">
        <v>0.77300000000000002</v>
      </c>
      <c r="J157">
        <v>0.753</v>
      </c>
      <c r="K157">
        <v>0.68100000000000005</v>
      </c>
      <c r="L157">
        <v>0.60099999999999998</v>
      </c>
      <c r="M157">
        <v>0.52800000000000002</v>
      </c>
      <c r="N157">
        <v>0.42499999999999999</v>
      </c>
      <c r="O157">
        <v>0.373</v>
      </c>
      <c r="P157">
        <v>0.45500000000000002</v>
      </c>
      <c r="Q157">
        <v>0.499</v>
      </c>
      <c r="R157">
        <v>0.47299999999999998</v>
      </c>
      <c r="S157">
        <v>0.40699999999999997</v>
      </c>
      <c r="T157">
        <v>0.40799999999999997</v>
      </c>
      <c r="U157">
        <v>0.48699999999999999</v>
      </c>
      <c r="V157">
        <v>0.53900000000000003</v>
      </c>
      <c r="W157">
        <v>0.45600000000000002</v>
      </c>
      <c r="X157">
        <v>0.40500000000000003</v>
      </c>
      <c r="Y157">
        <v>0.46700000000000003</v>
      </c>
      <c r="Z157">
        <v>0.47099999999999997</v>
      </c>
      <c r="AA157">
        <v>0.41099999999999998</v>
      </c>
      <c r="AB157">
        <v>0.315</v>
      </c>
      <c r="AC157">
        <v>0.35499999999999998</v>
      </c>
      <c r="AD157">
        <v>0.313</v>
      </c>
      <c r="AE157">
        <v>0.27400000000000002</v>
      </c>
      <c r="AF157">
        <v>0.30599999999999999</v>
      </c>
      <c r="AG157">
        <v>0.32700000000000001</v>
      </c>
      <c r="AH157">
        <v>0.27200000000000002</v>
      </c>
      <c r="AI157">
        <v>0.17899999999999999</v>
      </c>
      <c r="AJ157">
        <v>0.105</v>
      </c>
      <c r="AK157">
        <v>5.1999999999999998E-2</v>
      </c>
      <c r="AL157">
        <v>-6.2E-2</v>
      </c>
      <c r="AM157">
        <v>-0.154</v>
      </c>
      <c r="AN157">
        <v>-0.24</v>
      </c>
      <c r="AO157">
        <v>-0.38800000000000001</v>
      </c>
      <c r="AP157">
        <v>-0.34300000000000003</v>
      </c>
      <c r="AQ157">
        <v>-0.23699999999999999</v>
      </c>
      <c r="AR157">
        <v>-0.24099999999999999</v>
      </c>
      <c r="AS157">
        <v>-0.25900000000000001</v>
      </c>
      <c r="AT157">
        <v>-0.29499999999999998</v>
      </c>
      <c r="AU157">
        <v>-0.434</v>
      </c>
      <c r="AV157">
        <v>-0.53800000000000003</v>
      </c>
      <c r="AW157">
        <v>-0.56200000000000006</v>
      </c>
      <c r="AX157">
        <v>-0.58099999999999996</v>
      </c>
      <c r="AY157">
        <v>-0.64</v>
      </c>
      <c r="AZ157">
        <v>-0.69199999999999995</v>
      </c>
      <c r="BA157">
        <v>-0.68</v>
      </c>
      <c r="BB157">
        <v>-0.71</v>
      </c>
      <c r="BC157">
        <v>-0.67800000000000005</v>
      </c>
      <c r="BD157">
        <v>-0.57499999999999996</v>
      </c>
      <c r="BE157">
        <v>-0.53100000000000003</v>
      </c>
      <c r="BF157">
        <v>-0.51400000000000001</v>
      </c>
      <c r="BG157">
        <v>-0.39300000000000002</v>
      </c>
      <c r="BH157">
        <v>-0.36399999999999999</v>
      </c>
      <c r="BI157">
        <v>-0.42499999999999999</v>
      </c>
      <c r="BJ157">
        <v>-0.48599999999999999</v>
      </c>
      <c r="BK157">
        <v>-0.55800000000000005</v>
      </c>
      <c r="BL157">
        <v>-0.64700000000000002</v>
      </c>
    </row>
    <row r="158" spans="1:64" x14ac:dyDescent="0.25">
      <c r="A158">
        <v>0.67700000000000005</v>
      </c>
      <c r="B158">
        <v>0.67700000000000005</v>
      </c>
      <c r="C158">
        <v>0.628</v>
      </c>
      <c r="D158">
        <v>0.64300000000000002</v>
      </c>
      <c r="E158">
        <v>0.60699999999999998</v>
      </c>
      <c r="F158">
        <v>0.439</v>
      </c>
      <c r="G158">
        <v>0.22500000000000001</v>
      </c>
      <c r="H158">
        <v>0.377</v>
      </c>
      <c r="I158">
        <v>0.66400000000000003</v>
      </c>
      <c r="J158">
        <v>0.60099999999999998</v>
      </c>
      <c r="K158">
        <v>0.47</v>
      </c>
      <c r="L158">
        <v>0.46200000000000002</v>
      </c>
      <c r="M158">
        <v>0.41599999999999998</v>
      </c>
      <c r="N158">
        <v>0.16300000000000001</v>
      </c>
      <c r="O158">
        <v>-8.3000000000000004E-2</v>
      </c>
      <c r="P158">
        <v>-0.10199999999999999</v>
      </c>
      <c r="Q158">
        <v>-5.0999999999999997E-2</v>
      </c>
      <c r="R158">
        <v>-1.4999999999999999E-2</v>
      </c>
      <c r="S158">
        <v>-0.128</v>
      </c>
      <c r="T158">
        <v>-0.313</v>
      </c>
      <c r="U158">
        <v>-0.28000000000000003</v>
      </c>
      <c r="V158">
        <v>3.0000000000000001E-3</v>
      </c>
      <c r="W158">
        <v>0.14599999999999999</v>
      </c>
      <c r="X158">
        <v>0.123</v>
      </c>
      <c r="Y158">
        <v>0.218</v>
      </c>
      <c r="Z158">
        <v>0.24299999999999999</v>
      </c>
      <c r="AA158">
        <v>0.22700000000000001</v>
      </c>
      <c r="AB158">
        <v>0.34399999999999997</v>
      </c>
      <c r="AC158">
        <v>0.437</v>
      </c>
      <c r="AD158">
        <v>0.38100000000000001</v>
      </c>
      <c r="AE158">
        <v>0.28000000000000003</v>
      </c>
      <c r="AF158">
        <v>5.0999999999999997E-2</v>
      </c>
      <c r="AG158">
        <v>-0.13100000000000001</v>
      </c>
      <c r="AH158">
        <v>-2.1000000000000001E-2</v>
      </c>
      <c r="AI158">
        <v>6.4000000000000001E-2</v>
      </c>
      <c r="AJ158">
        <v>-0.16600000000000001</v>
      </c>
      <c r="AK158">
        <v>-0.34799999999999998</v>
      </c>
      <c r="AL158">
        <v>-0.34699999999999998</v>
      </c>
      <c r="AM158">
        <v>-0.3</v>
      </c>
      <c r="AN158">
        <v>-0.32100000000000001</v>
      </c>
      <c r="AO158">
        <v>-0.35199999999999998</v>
      </c>
      <c r="AP158">
        <v>-0.24099999999999999</v>
      </c>
      <c r="AQ158">
        <v>-0.23899999999999999</v>
      </c>
      <c r="AR158">
        <v>-0.29399999999999998</v>
      </c>
      <c r="AS158">
        <v>-0.29299999999999998</v>
      </c>
      <c r="AT158">
        <v>-0.32600000000000001</v>
      </c>
      <c r="AU158">
        <v>-0.35099999999999998</v>
      </c>
      <c r="AV158">
        <v>-0.32100000000000001</v>
      </c>
      <c r="AW158">
        <v>-0.255</v>
      </c>
      <c r="AX158">
        <v>-0.38700000000000001</v>
      </c>
      <c r="AY158">
        <v>-0.61099999999999999</v>
      </c>
      <c r="AZ158">
        <v>-0.63800000000000001</v>
      </c>
      <c r="BA158">
        <v>-0.50900000000000001</v>
      </c>
      <c r="BB158">
        <v>-0.30399999999999999</v>
      </c>
      <c r="BC158">
        <v>-0.24099999999999999</v>
      </c>
      <c r="BD158">
        <v>-0.315</v>
      </c>
      <c r="BE158">
        <v>-0.41</v>
      </c>
      <c r="BF158">
        <v>-0.45500000000000002</v>
      </c>
      <c r="BG158">
        <v>-0.46400000000000002</v>
      </c>
      <c r="BH158">
        <v>-0.56499999999999995</v>
      </c>
      <c r="BI158">
        <v>-0.58199999999999996</v>
      </c>
      <c r="BJ158">
        <v>-0.64800000000000002</v>
      </c>
      <c r="BK158">
        <v>-0.70299999999999996</v>
      </c>
      <c r="BL158">
        <v>-0.69699999999999995</v>
      </c>
    </row>
    <row r="159" spans="1:64" x14ac:dyDescent="0.25">
      <c r="A159">
        <v>0.44800000000000001</v>
      </c>
      <c r="B159">
        <v>0.496</v>
      </c>
      <c r="C159">
        <v>0.63500000000000001</v>
      </c>
      <c r="D159">
        <v>0.66400000000000003</v>
      </c>
      <c r="E159">
        <v>0.48299999999999998</v>
      </c>
      <c r="F159">
        <v>0.31900000000000001</v>
      </c>
      <c r="G159">
        <v>0.371</v>
      </c>
      <c r="H159">
        <v>0.28599999999999998</v>
      </c>
      <c r="I159">
        <v>0.14399999999999999</v>
      </c>
      <c r="J159">
        <v>0.13600000000000001</v>
      </c>
      <c r="K159">
        <v>0.26</v>
      </c>
      <c r="L159">
        <v>0.27100000000000002</v>
      </c>
      <c r="M159">
        <v>0.30399999999999999</v>
      </c>
      <c r="N159">
        <v>0.41</v>
      </c>
      <c r="O159">
        <v>0.41099999999999998</v>
      </c>
      <c r="P159">
        <v>0.21</v>
      </c>
      <c r="Q159">
        <v>4.2000000000000003E-2</v>
      </c>
      <c r="R159">
        <v>3.5999999999999997E-2</v>
      </c>
      <c r="S159">
        <v>-8.4000000000000005E-2</v>
      </c>
      <c r="T159">
        <v>-0.313</v>
      </c>
      <c r="U159">
        <v>-0.26800000000000002</v>
      </c>
      <c r="V159">
        <v>-5.1999999999999998E-2</v>
      </c>
      <c r="W159">
        <v>7.6999999999999999E-2</v>
      </c>
      <c r="X159">
        <v>3.1E-2</v>
      </c>
      <c r="Y159">
        <v>-3.6999999999999998E-2</v>
      </c>
      <c r="Z159">
        <v>2.9000000000000001E-2</v>
      </c>
      <c r="AA159">
        <v>0.249</v>
      </c>
      <c r="AB159">
        <v>0.46500000000000002</v>
      </c>
      <c r="AC159">
        <v>0.52</v>
      </c>
      <c r="AD159">
        <v>0.40799999999999997</v>
      </c>
      <c r="AE159">
        <v>0.30299999999999999</v>
      </c>
      <c r="AF159">
        <v>0.23100000000000001</v>
      </c>
      <c r="AG159">
        <v>0.20200000000000001</v>
      </c>
      <c r="AH159">
        <v>0.21199999999999999</v>
      </c>
      <c r="AI159">
        <v>0.09</v>
      </c>
      <c r="AJ159">
        <v>-0.19700000000000001</v>
      </c>
      <c r="AK159">
        <v>-0.315</v>
      </c>
      <c r="AL159">
        <v>-0.245</v>
      </c>
      <c r="AM159">
        <v>-0.16200000000000001</v>
      </c>
      <c r="AN159">
        <v>-0.25600000000000001</v>
      </c>
      <c r="AO159">
        <v>-0.35899999999999999</v>
      </c>
      <c r="AP159">
        <v>-0.38500000000000001</v>
      </c>
      <c r="AQ159">
        <v>-0.436</v>
      </c>
      <c r="AR159">
        <v>-0.39700000000000002</v>
      </c>
      <c r="AS159">
        <v>-0.32</v>
      </c>
      <c r="AT159">
        <v>-0.34499999999999997</v>
      </c>
      <c r="AU159">
        <v>-0.38600000000000001</v>
      </c>
      <c r="AV159">
        <v>-0.42899999999999999</v>
      </c>
      <c r="AW159">
        <v>-0.55800000000000005</v>
      </c>
      <c r="AX159">
        <v>-0.56999999999999995</v>
      </c>
      <c r="AY159">
        <v>-0.53600000000000003</v>
      </c>
      <c r="AZ159">
        <v>-0.59599999999999997</v>
      </c>
      <c r="BA159">
        <v>-0.56299999999999994</v>
      </c>
      <c r="BB159">
        <v>-0.23</v>
      </c>
      <c r="BC159">
        <v>-1.2999999999999999E-2</v>
      </c>
      <c r="BD159">
        <v>-0.157</v>
      </c>
      <c r="BE159">
        <v>-0.28299999999999997</v>
      </c>
      <c r="BF159">
        <v>-0.36699999999999999</v>
      </c>
      <c r="BG159">
        <v>-0.48799999999999999</v>
      </c>
      <c r="BH159">
        <v>-0.57199999999999995</v>
      </c>
      <c r="BI159">
        <v>-0.50800000000000001</v>
      </c>
      <c r="BJ159">
        <v>-0.55500000000000005</v>
      </c>
      <c r="BK159">
        <v>-0.56299999999999994</v>
      </c>
      <c r="BL159">
        <v>-0.49399999999999999</v>
      </c>
    </row>
    <row r="160" spans="1:64" x14ac:dyDescent="0.25">
      <c r="A160">
        <v>0.11</v>
      </c>
      <c r="B160">
        <v>0.253</v>
      </c>
      <c r="C160">
        <v>0.434</v>
      </c>
      <c r="D160">
        <v>0.44900000000000001</v>
      </c>
      <c r="E160">
        <v>0.41699999999999998</v>
      </c>
      <c r="F160">
        <v>0.48499999999999999</v>
      </c>
      <c r="G160">
        <v>0.54700000000000004</v>
      </c>
      <c r="H160">
        <v>0.44800000000000001</v>
      </c>
      <c r="I160">
        <v>0.126</v>
      </c>
      <c r="J160">
        <v>5.6000000000000001E-2</v>
      </c>
      <c r="K160">
        <v>0.185</v>
      </c>
      <c r="L160">
        <v>0.26600000000000001</v>
      </c>
      <c r="M160">
        <v>0.36199999999999999</v>
      </c>
      <c r="N160">
        <v>0.42199999999999999</v>
      </c>
      <c r="O160">
        <v>0.309</v>
      </c>
      <c r="P160">
        <v>1.2999999999999999E-2</v>
      </c>
      <c r="Q160">
        <v>-0.24</v>
      </c>
      <c r="R160">
        <v>-0.185</v>
      </c>
      <c r="S160">
        <v>0.11600000000000001</v>
      </c>
      <c r="T160">
        <v>0.34799999999999998</v>
      </c>
      <c r="U160">
        <v>0.34</v>
      </c>
      <c r="V160">
        <v>0.33500000000000002</v>
      </c>
      <c r="W160">
        <v>0.47499999999999998</v>
      </c>
      <c r="X160">
        <v>0.38100000000000001</v>
      </c>
      <c r="Y160">
        <v>0.16300000000000001</v>
      </c>
      <c r="Z160">
        <v>8.5999999999999993E-2</v>
      </c>
      <c r="AA160">
        <v>-3.0000000000000001E-3</v>
      </c>
      <c r="AB160">
        <v>3.4000000000000002E-2</v>
      </c>
      <c r="AC160">
        <v>0.316</v>
      </c>
      <c r="AD160">
        <v>0.55600000000000005</v>
      </c>
      <c r="AE160">
        <v>0.59599999999999997</v>
      </c>
      <c r="AF160">
        <v>0.49099999999999999</v>
      </c>
      <c r="AG160">
        <v>0.33700000000000002</v>
      </c>
      <c r="AH160">
        <v>7.9000000000000001E-2</v>
      </c>
      <c r="AI160">
        <v>-0.13300000000000001</v>
      </c>
      <c r="AJ160">
        <v>-8.5000000000000006E-2</v>
      </c>
      <c r="AK160">
        <v>-4.3999999999999997E-2</v>
      </c>
      <c r="AL160">
        <v>-1.2999999999999999E-2</v>
      </c>
      <c r="AM160">
        <v>-0.04</v>
      </c>
      <c r="AN160">
        <v>-0.1</v>
      </c>
      <c r="AO160">
        <v>-0.189</v>
      </c>
      <c r="AP160">
        <v>-0.438</v>
      </c>
      <c r="AQ160">
        <v>-0.49199999999999999</v>
      </c>
      <c r="AR160">
        <v>-0.441</v>
      </c>
      <c r="AS160">
        <v>-0.443</v>
      </c>
      <c r="AT160">
        <v>-0.61799999999999999</v>
      </c>
      <c r="AU160">
        <v>-0.69099999999999995</v>
      </c>
      <c r="AV160">
        <v>-0.625</v>
      </c>
      <c r="AW160">
        <v>-0.59599999999999997</v>
      </c>
      <c r="AX160">
        <v>-0.53700000000000003</v>
      </c>
      <c r="AY160">
        <v>-0.437</v>
      </c>
      <c r="AZ160">
        <v>-0.41499999999999998</v>
      </c>
      <c r="BA160">
        <v>-0.34599999999999997</v>
      </c>
      <c r="BB160">
        <v>-0.17699999999999999</v>
      </c>
      <c r="BC160">
        <v>-0.19800000000000001</v>
      </c>
      <c r="BD160">
        <v>-0.374</v>
      </c>
      <c r="BE160">
        <v>-0.41399999999999998</v>
      </c>
      <c r="BF160">
        <v>-0.40600000000000003</v>
      </c>
      <c r="BG160">
        <v>-0.435</v>
      </c>
      <c r="BH160">
        <v>-0.36799999999999999</v>
      </c>
      <c r="BI160">
        <v>-0.37</v>
      </c>
      <c r="BJ160">
        <v>-0.52400000000000002</v>
      </c>
      <c r="BK160">
        <v>-0.46400000000000002</v>
      </c>
      <c r="BL160">
        <v>-0.27100000000000002</v>
      </c>
    </row>
    <row r="161" spans="1:64" x14ac:dyDescent="0.25">
      <c r="A161">
        <v>-5.0000000000000001E-3</v>
      </c>
      <c r="B161">
        <v>1.6E-2</v>
      </c>
      <c r="C161">
        <v>7.0000000000000007E-2</v>
      </c>
      <c r="D161">
        <v>0.28599999999999998</v>
      </c>
      <c r="E161">
        <v>0.55500000000000005</v>
      </c>
      <c r="F161">
        <v>0.67600000000000005</v>
      </c>
      <c r="G161">
        <v>0.65</v>
      </c>
      <c r="H161">
        <v>0.58699999999999997</v>
      </c>
      <c r="I161">
        <v>0.505</v>
      </c>
      <c r="J161">
        <v>0.40300000000000002</v>
      </c>
      <c r="K161">
        <v>0.31</v>
      </c>
      <c r="L161">
        <v>0.41</v>
      </c>
      <c r="M161">
        <v>0.42</v>
      </c>
      <c r="N161">
        <v>0.217</v>
      </c>
      <c r="O161">
        <v>-0.03</v>
      </c>
      <c r="P161">
        <v>-0.16700000000000001</v>
      </c>
      <c r="Q161">
        <v>-0.14399999999999999</v>
      </c>
      <c r="R161">
        <v>5.7000000000000002E-2</v>
      </c>
      <c r="S161">
        <v>0.33400000000000002</v>
      </c>
      <c r="T161">
        <v>0.58699999999999997</v>
      </c>
      <c r="U161">
        <v>0.60799999999999998</v>
      </c>
      <c r="V161">
        <v>0.49199999999999999</v>
      </c>
      <c r="W161">
        <v>0.499</v>
      </c>
      <c r="X161">
        <v>0.496</v>
      </c>
      <c r="Y161">
        <v>0.41099999999999998</v>
      </c>
      <c r="Z161">
        <v>0.29099999999999998</v>
      </c>
      <c r="AA161">
        <v>0.153</v>
      </c>
      <c r="AB161">
        <v>0.224</v>
      </c>
      <c r="AC161">
        <v>0.39400000000000002</v>
      </c>
      <c r="AD161">
        <v>0.50700000000000001</v>
      </c>
      <c r="AE161">
        <v>0.58199999999999996</v>
      </c>
      <c r="AF161">
        <v>0.502</v>
      </c>
      <c r="AG161">
        <v>0.3</v>
      </c>
      <c r="AH161">
        <v>0.10100000000000001</v>
      </c>
      <c r="AI161">
        <v>3.5999999999999997E-2</v>
      </c>
      <c r="AJ161">
        <v>9.7000000000000003E-2</v>
      </c>
      <c r="AK161">
        <v>0.123</v>
      </c>
      <c r="AL161">
        <v>9.9000000000000005E-2</v>
      </c>
      <c r="AM161">
        <v>8.2000000000000003E-2</v>
      </c>
      <c r="AN161">
        <v>4.2000000000000003E-2</v>
      </c>
      <c r="AO161">
        <v>-8.9999999999999993E-3</v>
      </c>
      <c r="AP161">
        <v>-3.2000000000000001E-2</v>
      </c>
      <c r="AQ161">
        <v>-0.11600000000000001</v>
      </c>
      <c r="AR161">
        <v>-0.27100000000000002</v>
      </c>
      <c r="AS161">
        <v>-0.44</v>
      </c>
      <c r="AT161">
        <v>-0.627</v>
      </c>
      <c r="AU161">
        <v>-0.65700000000000003</v>
      </c>
      <c r="AV161">
        <v>-0.59499999999999997</v>
      </c>
      <c r="AW161">
        <v>-0.60099999999999998</v>
      </c>
      <c r="AX161">
        <v>-0.58899999999999997</v>
      </c>
      <c r="AY161">
        <v>-0.54500000000000004</v>
      </c>
      <c r="AZ161">
        <v>-0.308</v>
      </c>
      <c r="BA161">
        <v>-4.3999999999999997E-2</v>
      </c>
      <c r="BB161">
        <v>-7.2999999999999995E-2</v>
      </c>
      <c r="BC161">
        <v>-0.19</v>
      </c>
      <c r="BD161">
        <v>-0.2</v>
      </c>
      <c r="BE161">
        <v>-0.28699999999999998</v>
      </c>
      <c r="BF161">
        <v>-0.376</v>
      </c>
      <c r="BG161">
        <v>-0.29299999999999998</v>
      </c>
      <c r="BH161">
        <v>-0.188</v>
      </c>
      <c r="BI161">
        <v>-0.28199999999999997</v>
      </c>
      <c r="BJ161">
        <v>-0.44400000000000001</v>
      </c>
      <c r="BK161">
        <v>-0.39900000000000002</v>
      </c>
      <c r="BL161">
        <v>-0.30599999999999999</v>
      </c>
    </row>
    <row r="162" spans="1:64" x14ac:dyDescent="0.25">
      <c r="A162">
        <v>0.26100000000000001</v>
      </c>
      <c r="B162">
        <v>0.215</v>
      </c>
      <c r="C162">
        <v>0.14599999999999999</v>
      </c>
      <c r="D162">
        <v>0.245</v>
      </c>
      <c r="E162">
        <v>0.42</v>
      </c>
      <c r="F162">
        <v>0.505</v>
      </c>
      <c r="G162">
        <v>0.496</v>
      </c>
      <c r="H162">
        <v>0.441</v>
      </c>
      <c r="I162">
        <v>0.50800000000000001</v>
      </c>
      <c r="J162">
        <v>0.50800000000000001</v>
      </c>
      <c r="K162">
        <v>0.442</v>
      </c>
      <c r="L162">
        <v>0.35799999999999998</v>
      </c>
      <c r="M162">
        <v>0.17299999999999999</v>
      </c>
      <c r="N162">
        <v>0.108</v>
      </c>
      <c r="O162">
        <v>0.16900000000000001</v>
      </c>
      <c r="P162">
        <v>0.123</v>
      </c>
      <c r="Q162">
        <v>1.0999999999999999E-2</v>
      </c>
      <c r="R162">
        <v>0.14000000000000001</v>
      </c>
      <c r="S162">
        <v>0.33700000000000002</v>
      </c>
      <c r="T162">
        <v>0.502</v>
      </c>
      <c r="U162">
        <v>0.60099999999999998</v>
      </c>
      <c r="V162">
        <v>0.55000000000000004</v>
      </c>
      <c r="W162">
        <v>0.45500000000000002</v>
      </c>
      <c r="X162">
        <v>0.44600000000000001</v>
      </c>
      <c r="Y162">
        <v>0.35299999999999998</v>
      </c>
      <c r="Z162">
        <v>0.23699999999999999</v>
      </c>
      <c r="AA162">
        <v>0.35099999999999998</v>
      </c>
      <c r="AB162">
        <v>0.502</v>
      </c>
      <c r="AC162">
        <v>0.57199999999999995</v>
      </c>
      <c r="AD162">
        <v>0.42799999999999999</v>
      </c>
      <c r="AE162">
        <v>0.30299999999999999</v>
      </c>
      <c r="AF162">
        <v>0.29699999999999999</v>
      </c>
      <c r="AG162">
        <v>0.23699999999999999</v>
      </c>
      <c r="AH162">
        <v>0.187</v>
      </c>
      <c r="AI162">
        <v>0.154</v>
      </c>
      <c r="AJ162">
        <v>0.23799999999999999</v>
      </c>
      <c r="AK162">
        <v>0.36499999999999999</v>
      </c>
      <c r="AL162">
        <v>0.33600000000000002</v>
      </c>
      <c r="AM162">
        <v>0.32500000000000001</v>
      </c>
      <c r="AN162">
        <v>0.20399999999999999</v>
      </c>
      <c r="AO162">
        <v>0.155</v>
      </c>
      <c r="AP162">
        <v>0.32300000000000001</v>
      </c>
      <c r="AQ162">
        <v>0.307</v>
      </c>
      <c r="AR162">
        <v>-0.113</v>
      </c>
      <c r="AS162">
        <v>-0.51300000000000001</v>
      </c>
      <c r="AT162">
        <v>-0.59799999999999998</v>
      </c>
      <c r="AU162">
        <v>-0.55700000000000005</v>
      </c>
      <c r="AV162">
        <v>-0.58799999999999997</v>
      </c>
      <c r="AW162">
        <v>-0.61899999999999999</v>
      </c>
      <c r="AX162">
        <v>-0.56399999999999995</v>
      </c>
      <c r="AY162">
        <v>-0.46200000000000002</v>
      </c>
      <c r="AZ162">
        <v>-0.36599999999999999</v>
      </c>
      <c r="BA162">
        <v>-0.36599999999999999</v>
      </c>
      <c r="BB162">
        <v>-0.41299999999999998</v>
      </c>
      <c r="BC162">
        <v>-0.36899999999999999</v>
      </c>
      <c r="BD162">
        <v>-0.13600000000000001</v>
      </c>
      <c r="BE162">
        <v>-0.02</v>
      </c>
      <c r="BF162">
        <v>-4.7E-2</v>
      </c>
      <c r="BG162">
        <v>-9.6000000000000002E-2</v>
      </c>
      <c r="BH162">
        <v>-0.153</v>
      </c>
      <c r="BI162">
        <v>-0.13700000000000001</v>
      </c>
      <c r="BJ162">
        <v>5.6000000000000001E-2</v>
      </c>
      <c r="BK162">
        <v>8.5999999999999993E-2</v>
      </c>
      <c r="BL162">
        <v>-0.19600000000000001</v>
      </c>
    </row>
    <row r="163" spans="1:64" x14ac:dyDescent="0.25">
      <c r="A163">
        <v>0.32500000000000001</v>
      </c>
      <c r="B163">
        <v>0.28699999999999998</v>
      </c>
      <c r="C163">
        <v>0.111</v>
      </c>
      <c r="D163">
        <v>-0.01</v>
      </c>
      <c r="E163">
        <v>8.6999999999999994E-2</v>
      </c>
      <c r="F163">
        <v>0.13800000000000001</v>
      </c>
      <c r="G163">
        <v>0.109</v>
      </c>
      <c r="H163">
        <v>5.6000000000000001E-2</v>
      </c>
      <c r="I163">
        <v>2.4E-2</v>
      </c>
      <c r="J163">
        <v>7.0000000000000007E-2</v>
      </c>
      <c r="K163">
        <v>7.0999999999999994E-2</v>
      </c>
      <c r="L163">
        <v>1.2E-2</v>
      </c>
      <c r="M163">
        <v>-2.4E-2</v>
      </c>
      <c r="N163">
        <v>9.9000000000000005E-2</v>
      </c>
      <c r="O163">
        <v>0.29399999999999998</v>
      </c>
      <c r="P163">
        <v>0.36599999999999999</v>
      </c>
      <c r="Q163">
        <v>0.46100000000000002</v>
      </c>
      <c r="R163">
        <v>0.26700000000000002</v>
      </c>
      <c r="S163">
        <v>0.22600000000000001</v>
      </c>
      <c r="T163">
        <v>0.27100000000000002</v>
      </c>
      <c r="U163">
        <v>0.35399999999999998</v>
      </c>
      <c r="V163">
        <v>0.41799999999999998</v>
      </c>
      <c r="W163">
        <v>0.38100000000000001</v>
      </c>
      <c r="X163">
        <v>0.28699999999999998</v>
      </c>
      <c r="Y163">
        <v>0.17299999999999999</v>
      </c>
      <c r="Z163">
        <v>0.08</v>
      </c>
      <c r="AA163">
        <v>7.6999999999999999E-2</v>
      </c>
      <c r="AB163">
        <v>0.1</v>
      </c>
      <c r="AC163">
        <v>0.17100000000000001</v>
      </c>
      <c r="AD163">
        <v>0.247</v>
      </c>
      <c r="AE163">
        <v>0.151</v>
      </c>
      <c r="AF163">
        <v>0.13</v>
      </c>
      <c r="AG163">
        <v>0.26700000000000002</v>
      </c>
      <c r="AH163">
        <v>0.34699999999999998</v>
      </c>
      <c r="AI163">
        <v>0.42599999999999999</v>
      </c>
      <c r="AJ163">
        <v>0.47</v>
      </c>
      <c r="AK163">
        <v>0.497</v>
      </c>
      <c r="AL163">
        <v>0.46</v>
      </c>
      <c r="AM163">
        <v>0.38800000000000001</v>
      </c>
      <c r="AN163">
        <v>0.249</v>
      </c>
      <c r="AO163">
        <v>0.28599999999999998</v>
      </c>
      <c r="AP163">
        <v>0.33800000000000002</v>
      </c>
      <c r="AQ163">
        <v>0.39100000000000001</v>
      </c>
      <c r="AR163">
        <v>0.39800000000000002</v>
      </c>
      <c r="AS163">
        <v>0.185</v>
      </c>
      <c r="AT163">
        <v>2.1000000000000001E-2</v>
      </c>
      <c r="AU163">
        <v>-1.2E-2</v>
      </c>
      <c r="AV163">
        <v>-0.153</v>
      </c>
      <c r="AW163">
        <v>-0.17</v>
      </c>
      <c r="AX163">
        <v>3.4000000000000002E-2</v>
      </c>
      <c r="AY163">
        <v>0.20399999999999999</v>
      </c>
      <c r="AZ163">
        <v>0.11600000000000001</v>
      </c>
      <c r="BA163">
        <v>-0.16700000000000001</v>
      </c>
      <c r="BB163">
        <v>-0.33200000000000002</v>
      </c>
      <c r="BC163">
        <v>-0.374</v>
      </c>
      <c r="BD163">
        <v>-0.28499999999999998</v>
      </c>
      <c r="BE163">
        <v>-1.9E-2</v>
      </c>
      <c r="BF163">
        <v>0.214</v>
      </c>
      <c r="BG163">
        <v>0.22500000000000001</v>
      </c>
      <c r="BH163">
        <v>0.126</v>
      </c>
      <c r="BI163">
        <v>0.13</v>
      </c>
      <c r="BJ163">
        <v>6.5000000000000002E-2</v>
      </c>
      <c r="BK163">
        <v>-1.7999999999999999E-2</v>
      </c>
      <c r="BL163">
        <v>-0.02</v>
      </c>
    </row>
    <row r="164" spans="1:64" x14ac:dyDescent="0.25">
      <c r="A164">
        <v>-0.37</v>
      </c>
      <c r="B164">
        <v>-0.376</v>
      </c>
      <c r="C164">
        <v>-0.32300000000000001</v>
      </c>
      <c r="D164">
        <v>-0.13900000000000001</v>
      </c>
      <c r="E164">
        <v>-6.8000000000000005E-2</v>
      </c>
      <c r="F164">
        <v>-0.307</v>
      </c>
      <c r="G164">
        <v>-0.47599999999999998</v>
      </c>
      <c r="H164">
        <v>-0.39200000000000002</v>
      </c>
      <c r="I164">
        <v>-0.33300000000000002</v>
      </c>
      <c r="J164">
        <v>-0.38600000000000001</v>
      </c>
      <c r="K164">
        <v>-0.35</v>
      </c>
      <c r="L164">
        <v>-0.17699999999999999</v>
      </c>
      <c r="M164">
        <v>-0.13300000000000001</v>
      </c>
      <c r="N164">
        <v>-3.2000000000000001E-2</v>
      </c>
      <c r="O164">
        <v>0.26400000000000001</v>
      </c>
      <c r="P164">
        <v>0.54400000000000004</v>
      </c>
      <c r="Q164">
        <v>0.73099999999999998</v>
      </c>
      <c r="R164">
        <v>0.60299999999999998</v>
      </c>
      <c r="S164">
        <v>0.29499999999999998</v>
      </c>
      <c r="T164">
        <v>0.13600000000000001</v>
      </c>
      <c r="U164">
        <v>-5.0000000000000001E-3</v>
      </c>
      <c r="V164">
        <v>-1.4E-2</v>
      </c>
      <c r="W164">
        <v>7.0000000000000007E-2</v>
      </c>
      <c r="X164">
        <v>8.5999999999999993E-2</v>
      </c>
      <c r="Y164">
        <v>8.1000000000000003E-2</v>
      </c>
      <c r="Z164">
        <v>0.13500000000000001</v>
      </c>
      <c r="AA164">
        <v>0.19500000000000001</v>
      </c>
      <c r="AB164">
        <v>6.6000000000000003E-2</v>
      </c>
      <c r="AC164">
        <v>-5.8999999999999997E-2</v>
      </c>
      <c r="AD164">
        <v>0.122</v>
      </c>
      <c r="AE164">
        <v>0.23400000000000001</v>
      </c>
      <c r="AF164">
        <v>8.2000000000000003E-2</v>
      </c>
      <c r="AG164">
        <v>8.3000000000000004E-2</v>
      </c>
      <c r="AH164">
        <v>0.34799999999999998</v>
      </c>
      <c r="AI164">
        <v>0.54600000000000004</v>
      </c>
      <c r="AJ164">
        <v>0.52300000000000002</v>
      </c>
      <c r="AK164">
        <v>0.26900000000000002</v>
      </c>
      <c r="AL164">
        <v>9.1999999999999998E-2</v>
      </c>
      <c r="AM164">
        <v>4.9000000000000002E-2</v>
      </c>
      <c r="AN164">
        <v>0.109</v>
      </c>
      <c r="AO164">
        <v>0.252</v>
      </c>
      <c r="AP164">
        <v>0.29799999999999999</v>
      </c>
      <c r="AQ164">
        <v>0.33600000000000002</v>
      </c>
      <c r="AR164">
        <v>0.442</v>
      </c>
      <c r="AS164">
        <v>0.49</v>
      </c>
      <c r="AT164">
        <v>0.32</v>
      </c>
      <c r="AU164">
        <v>0.309</v>
      </c>
      <c r="AV164">
        <v>0.53700000000000003</v>
      </c>
      <c r="AW164">
        <v>0.56599999999999995</v>
      </c>
      <c r="AX164">
        <v>0.57199999999999995</v>
      </c>
      <c r="AY164">
        <v>0.56000000000000005</v>
      </c>
      <c r="AZ164">
        <v>0.59899999999999998</v>
      </c>
      <c r="BA164">
        <v>0.626</v>
      </c>
      <c r="BB164">
        <v>0.435</v>
      </c>
      <c r="BC164">
        <v>0.253</v>
      </c>
      <c r="BD164">
        <v>0.38700000000000001</v>
      </c>
      <c r="BE164">
        <v>0.49</v>
      </c>
      <c r="BF164">
        <v>0.52700000000000002</v>
      </c>
      <c r="BG164">
        <v>0.59799999999999998</v>
      </c>
      <c r="BH164">
        <v>0.47499999999999998</v>
      </c>
      <c r="BI164">
        <v>0.28599999999999998</v>
      </c>
      <c r="BJ164">
        <v>7.3999999999999996E-2</v>
      </c>
      <c r="BK164">
        <v>-4.5999999999999999E-2</v>
      </c>
      <c r="BL164">
        <v>9.8000000000000004E-2</v>
      </c>
    </row>
    <row r="165" spans="1:64" x14ac:dyDescent="0.25">
      <c r="A165">
        <v>-0.44900000000000001</v>
      </c>
      <c r="B165">
        <v>-0.42299999999999999</v>
      </c>
      <c r="C165">
        <v>-0.191</v>
      </c>
      <c r="D165">
        <v>7.0000000000000007E-2</v>
      </c>
      <c r="E165">
        <v>0.156</v>
      </c>
      <c r="F165">
        <v>2.1000000000000001E-2</v>
      </c>
      <c r="G165">
        <v>-0.18</v>
      </c>
      <c r="H165">
        <v>-0.26900000000000002</v>
      </c>
      <c r="I165">
        <v>-0.26600000000000001</v>
      </c>
      <c r="J165">
        <v>-0.17799999999999999</v>
      </c>
      <c r="K165">
        <v>-0.14899999999999999</v>
      </c>
      <c r="L165">
        <v>-0.159</v>
      </c>
      <c r="M165">
        <v>-0.14099999999999999</v>
      </c>
      <c r="N165">
        <v>-9.7000000000000003E-2</v>
      </c>
      <c r="O165">
        <v>6.8000000000000005E-2</v>
      </c>
      <c r="P165">
        <v>0.33800000000000002</v>
      </c>
      <c r="Q165">
        <v>0.498</v>
      </c>
      <c r="R165">
        <v>0.52400000000000002</v>
      </c>
      <c r="S165">
        <v>0.40500000000000003</v>
      </c>
      <c r="T165">
        <v>0.14799999999999999</v>
      </c>
      <c r="U165">
        <v>-8.3000000000000004E-2</v>
      </c>
      <c r="V165">
        <v>-0.186</v>
      </c>
      <c r="W165">
        <v>-0.24299999999999999</v>
      </c>
      <c r="X165">
        <v>-0.16800000000000001</v>
      </c>
      <c r="Y165">
        <v>6.0000000000000001E-3</v>
      </c>
      <c r="Z165">
        <v>0.26300000000000001</v>
      </c>
      <c r="AA165">
        <v>0.46600000000000003</v>
      </c>
      <c r="AB165">
        <v>0.47399999999999998</v>
      </c>
      <c r="AC165">
        <v>0.16500000000000001</v>
      </c>
      <c r="AD165">
        <v>-2.3E-2</v>
      </c>
      <c r="AE165">
        <v>4.3999999999999997E-2</v>
      </c>
      <c r="AF165">
        <v>0.106</v>
      </c>
      <c r="AG165">
        <v>0.17599999999999999</v>
      </c>
      <c r="AH165">
        <v>0.28599999999999998</v>
      </c>
      <c r="AI165">
        <v>0.34200000000000003</v>
      </c>
      <c r="AJ165">
        <v>0.38</v>
      </c>
      <c r="AK165">
        <v>0.32600000000000001</v>
      </c>
      <c r="AL165">
        <v>0.158</v>
      </c>
      <c r="AM165">
        <v>0.19</v>
      </c>
      <c r="AN165">
        <v>0.437</v>
      </c>
      <c r="AO165">
        <v>0.54300000000000004</v>
      </c>
      <c r="AP165">
        <v>0.52300000000000002</v>
      </c>
      <c r="AQ165">
        <v>0.45300000000000001</v>
      </c>
      <c r="AR165">
        <v>0.33600000000000002</v>
      </c>
      <c r="AS165">
        <v>0.39100000000000001</v>
      </c>
      <c r="AT165">
        <v>0.49299999999999999</v>
      </c>
      <c r="AU165">
        <v>0.54400000000000004</v>
      </c>
      <c r="AV165">
        <v>0.61699999999999999</v>
      </c>
      <c r="AW165">
        <v>0.68500000000000005</v>
      </c>
      <c r="AX165">
        <v>0.70799999999999996</v>
      </c>
      <c r="AY165">
        <v>0.68400000000000005</v>
      </c>
      <c r="AZ165">
        <v>0.65300000000000002</v>
      </c>
      <c r="BA165">
        <v>0.69699999999999995</v>
      </c>
      <c r="BB165">
        <v>0.67800000000000005</v>
      </c>
      <c r="BC165">
        <v>0.57499999999999996</v>
      </c>
      <c r="BD165">
        <v>0.54500000000000004</v>
      </c>
      <c r="BE165">
        <v>0.55500000000000005</v>
      </c>
      <c r="BF165">
        <v>0.40899999999999997</v>
      </c>
      <c r="BG165">
        <v>0.25700000000000001</v>
      </c>
      <c r="BH165">
        <v>0.21</v>
      </c>
      <c r="BI165">
        <v>0.182</v>
      </c>
      <c r="BJ165">
        <v>0.32</v>
      </c>
      <c r="BK165">
        <v>0.38600000000000001</v>
      </c>
      <c r="BL165">
        <v>0.27</v>
      </c>
    </row>
    <row r="166" spans="1:64" x14ac:dyDescent="0.25">
      <c r="A166">
        <v>-4.1000000000000002E-2</v>
      </c>
      <c r="B166">
        <v>0.154</v>
      </c>
      <c r="C166">
        <v>0.39600000000000002</v>
      </c>
      <c r="D166">
        <v>0.32900000000000001</v>
      </c>
      <c r="E166">
        <v>0.32600000000000001</v>
      </c>
      <c r="F166">
        <v>0.46600000000000003</v>
      </c>
      <c r="G166">
        <v>0.47</v>
      </c>
      <c r="H166">
        <v>0.159</v>
      </c>
      <c r="I166">
        <v>-8.2000000000000003E-2</v>
      </c>
      <c r="J166">
        <v>5.8999999999999997E-2</v>
      </c>
      <c r="K166">
        <v>0.11</v>
      </c>
      <c r="L166">
        <v>-8.9999999999999993E-3</v>
      </c>
      <c r="M166">
        <v>-4.4999999999999998E-2</v>
      </c>
      <c r="N166">
        <v>-2.7E-2</v>
      </c>
      <c r="O166">
        <v>0.09</v>
      </c>
      <c r="P166">
        <v>0.309</v>
      </c>
      <c r="Q166">
        <v>0.48299999999999998</v>
      </c>
      <c r="R166">
        <v>0.61399999999999999</v>
      </c>
      <c r="S166">
        <v>0.56799999999999995</v>
      </c>
      <c r="T166">
        <v>0.314</v>
      </c>
      <c r="U166">
        <v>0.129</v>
      </c>
      <c r="V166">
        <v>-6.0000000000000001E-3</v>
      </c>
      <c r="W166">
        <v>-0.17899999999999999</v>
      </c>
      <c r="X166">
        <v>-0.373</v>
      </c>
      <c r="Y166">
        <v>-0.41899999999999998</v>
      </c>
      <c r="Z166">
        <v>-0.08</v>
      </c>
      <c r="AA166">
        <v>0.23200000000000001</v>
      </c>
      <c r="AB166">
        <v>0.43</v>
      </c>
      <c r="AC166">
        <v>0.43099999999999999</v>
      </c>
      <c r="AD166">
        <v>0.09</v>
      </c>
      <c r="AE166">
        <v>-0.26100000000000001</v>
      </c>
      <c r="AF166">
        <v>-8.5000000000000006E-2</v>
      </c>
      <c r="AG166">
        <v>0.18</v>
      </c>
      <c r="AH166">
        <v>0.23400000000000001</v>
      </c>
      <c r="AI166">
        <v>0.23200000000000001</v>
      </c>
      <c r="AJ166">
        <v>0.26800000000000002</v>
      </c>
      <c r="AK166">
        <v>0.42399999999999999</v>
      </c>
      <c r="AL166">
        <v>0.46</v>
      </c>
      <c r="AM166">
        <v>0.53600000000000003</v>
      </c>
      <c r="AN166">
        <v>0.69099999999999995</v>
      </c>
      <c r="AO166">
        <v>0.69799999999999995</v>
      </c>
      <c r="AP166">
        <v>0.621</v>
      </c>
      <c r="AQ166">
        <v>0.50800000000000001</v>
      </c>
      <c r="AR166">
        <v>0.439</v>
      </c>
      <c r="AS166">
        <v>0.40799999999999997</v>
      </c>
      <c r="AT166">
        <v>0.45800000000000002</v>
      </c>
      <c r="AU166">
        <v>0.44900000000000001</v>
      </c>
      <c r="AV166">
        <v>0.36899999999999999</v>
      </c>
      <c r="AW166">
        <v>0.44500000000000001</v>
      </c>
      <c r="AX166">
        <v>0.61499999999999999</v>
      </c>
      <c r="AY166">
        <v>0.70699999999999996</v>
      </c>
      <c r="AZ166">
        <v>0.67</v>
      </c>
      <c r="BA166">
        <v>0.59599999999999997</v>
      </c>
      <c r="BB166">
        <v>0.61599999999999999</v>
      </c>
      <c r="BC166">
        <v>0.53500000000000003</v>
      </c>
      <c r="BD166">
        <v>0.4</v>
      </c>
      <c r="BE166">
        <v>0.39700000000000002</v>
      </c>
      <c r="BF166">
        <v>0.14499999999999999</v>
      </c>
      <c r="BG166">
        <v>-0.121</v>
      </c>
      <c r="BH166">
        <v>-9.2999999999999999E-2</v>
      </c>
      <c r="BI166">
        <v>0.02</v>
      </c>
      <c r="BJ166">
        <v>0.27500000000000002</v>
      </c>
      <c r="BK166">
        <v>0.40799999999999997</v>
      </c>
      <c r="BL166">
        <v>0.26700000000000002</v>
      </c>
    </row>
    <row r="167" spans="1:64" x14ac:dyDescent="0.25">
      <c r="A167">
        <v>0.42199999999999999</v>
      </c>
      <c r="B167">
        <v>0.42299999999999999</v>
      </c>
      <c r="C167">
        <v>0.41599999999999998</v>
      </c>
      <c r="D167">
        <v>0.29199999999999998</v>
      </c>
      <c r="E167">
        <v>0.30099999999999999</v>
      </c>
      <c r="F167">
        <v>0.45500000000000002</v>
      </c>
      <c r="G167">
        <v>0.38600000000000001</v>
      </c>
      <c r="H167">
        <v>0.25800000000000001</v>
      </c>
      <c r="I167">
        <v>0.253</v>
      </c>
      <c r="J167">
        <v>0.33600000000000002</v>
      </c>
      <c r="K167">
        <v>0.41899999999999998</v>
      </c>
      <c r="L167">
        <v>0.40799999999999997</v>
      </c>
      <c r="M167">
        <v>0.35099999999999998</v>
      </c>
      <c r="N167">
        <v>0.35499999999999998</v>
      </c>
      <c r="O167">
        <v>0.36899999999999999</v>
      </c>
      <c r="P167">
        <v>0.47</v>
      </c>
      <c r="Q167">
        <v>0.57199999999999995</v>
      </c>
      <c r="R167">
        <v>0.56999999999999995</v>
      </c>
      <c r="S167">
        <v>0.46</v>
      </c>
      <c r="T167">
        <v>0.32800000000000001</v>
      </c>
      <c r="U167">
        <v>0.159</v>
      </c>
      <c r="V167">
        <v>0.01</v>
      </c>
      <c r="W167">
        <v>-8.5000000000000006E-2</v>
      </c>
      <c r="X167">
        <v>-0.158</v>
      </c>
      <c r="Y167">
        <v>-0.191</v>
      </c>
      <c r="Z167">
        <v>-7.0999999999999994E-2</v>
      </c>
      <c r="AA167">
        <v>6.0000000000000001E-3</v>
      </c>
      <c r="AB167">
        <v>0.107</v>
      </c>
      <c r="AC167">
        <v>0.185</v>
      </c>
      <c r="AD167">
        <v>0.14899999999999999</v>
      </c>
      <c r="AE167">
        <v>9.1999999999999998E-2</v>
      </c>
      <c r="AF167">
        <v>0.16400000000000001</v>
      </c>
      <c r="AG167">
        <v>0.28999999999999998</v>
      </c>
      <c r="AH167">
        <v>0.311</v>
      </c>
      <c r="AI167">
        <v>0.24399999999999999</v>
      </c>
      <c r="AJ167">
        <v>0.14000000000000001</v>
      </c>
      <c r="AK167">
        <v>0.17299999999999999</v>
      </c>
      <c r="AL167">
        <v>0.34100000000000003</v>
      </c>
      <c r="AM167">
        <v>0.439</v>
      </c>
      <c r="AN167">
        <v>0.49299999999999999</v>
      </c>
      <c r="AO167">
        <v>0.47299999999999998</v>
      </c>
      <c r="AP167">
        <v>0.41899999999999998</v>
      </c>
      <c r="AQ167">
        <v>0.38700000000000001</v>
      </c>
      <c r="AR167">
        <v>0.39500000000000002</v>
      </c>
      <c r="AS167">
        <v>0.39300000000000002</v>
      </c>
      <c r="AT167">
        <v>0.34100000000000003</v>
      </c>
      <c r="AU167">
        <v>0.34300000000000003</v>
      </c>
      <c r="AV167">
        <v>0.34799999999999998</v>
      </c>
      <c r="AW167">
        <v>0.27100000000000002</v>
      </c>
      <c r="AX167">
        <v>0.30399999999999999</v>
      </c>
      <c r="AY167">
        <v>0.42699999999999999</v>
      </c>
      <c r="AZ167">
        <v>0.46700000000000003</v>
      </c>
      <c r="BA167">
        <v>0.496</v>
      </c>
      <c r="BB167">
        <v>0.52400000000000002</v>
      </c>
      <c r="BC167">
        <v>0.498</v>
      </c>
      <c r="BD167">
        <v>0.41399999999999998</v>
      </c>
      <c r="BE167">
        <v>0.39200000000000002</v>
      </c>
      <c r="BF167">
        <v>0.33200000000000002</v>
      </c>
      <c r="BG167">
        <v>0.20200000000000001</v>
      </c>
      <c r="BH167">
        <v>0.115</v>
      </c>
      <c r="BI167">
        <v>0.221</v>
      </c>
      <c r="BJ167">
        <v>0.26400000000000001</v>
      </c>
      <c r="BK167">
        <v>0.28299999999999997</v>
      </c>
      <c r="BL167">
        <v>0.372</v>
      </c>
    </row>
    <row r="168" spans="1:64" x14ac:dyDescent="0.25">
      <c r="A168">
        <v>0.59</v>
      </c>
      <c r="B168">
        <v>0.39700000000000002</v>
      </c>
      <c r="C168">
        <v>9.9000000000000005E-2</v>
      </c>
      <c r="D168">
        <v>0.17</v>
      </c>
      <c r="E168">
        <v>0.30399999999999999</v>
      </c>
      <c r="F168">
        <v>0.47399999999999998</v>
      </c>
      <c r="G168">
        <v>0.42299999999999999</v>
      </c>
      <c r="H168">
        <v>0.32600000000000001</v>
      </c>
      <c r="I168">
        <v>0.26100000000000001</v>
      </c>
      <c r="J168">
        <v>0.371</v>
      </c>
      <c r="K168">
        <v>0.57799999999999996</v>
      </c>
      <c r="L168">
        <v>0.6</v>
      </c>
      <c r="M168">
        <v>0.59699999999999998</v>
      </c>
      <c r="N168">
        <v>0.61399999999999999</v>
      </c>
      <c r="O168">
        <v>0.54900000000000004</v>
      </c>
      <c r="P168">
        <v>0.505</v>
      </c>
      <c r="Q168">
        <v>0.47199999999999998</v>
      </c>
      <c r="R168">
        <v>0.34599999999999997</v>
      </c>
      <c r="S168">
        <v>0.29399999999999998</v>
      </c>
      <c r="T168">
        <v>8.8999999999999996E-2</v>
      </c>
      <c r="U168">
        <v>-0.3</v>
      </c>
      <c r="V168">
        <v>-0.42199999999999999</v>
      </c>
      <c r="W168">
        <v>-0.39900000000000002</v>
      </c>
      <c r="X168">
        <v>-0.109</v>
      </c>
      <c r="Y168">
        <v>0.24399999999999999</v>
      </c>
      <c r="Z168">
        <v>7.8E-2</v>
      </c>
      <c r="AA168">
        <v>-0.14000000000000001</v>
      </c>
      <c r="AB168">
        <v>-0.107</v>
      </c>
      <c r="AC168">
        <v>6.6000000000000003E-2</v>
      </c>
      <c r="AD168">
        <v>0.217</v>
      </c>
      <c r="AE168">
        <v>0.41199999999999998</v>
      </c>
      <c r="AF168">
        <v>0.52300000000000002</v>
      </c>
      <c r="AG168">
        <v>0.502</v>
      </c>
      <c r="AH168">
        <v>0.45300000000000001</v>
      </c>
      <c r="AI168">
        <v>0.3</v>
      </c>
      <c r="AJ168">
        <v>8.1000000000000003E-2</v>
      </c>
      <c r="AK168">
        <v>-3.7999999999999999E-2</v>
      </c>
      <c r="AL168">
        <v>0.16400000000000001</v>
      </c>
      <c r="AM168">
        <v>0.35399999999999998</v>
      </c>
      <c r="AN168">
        <v>0.373</v>
      </c>
      <c r="AO168">
        <v>0.33800000000000002</v>
      </c>
      <c r="AP168">
        <v>0.315</v>
      </c>
      <c r="AQ168">
        <v>0.218</v>
      </c>
      <c r="AR168">
        <v>0.17399999999999999</v>
      </c>
      <c r="AS168">
        <v>0.372</v>
      </c>
      <c r="AT168">
        <v>0.622</v>
      </c>
      <c r="AU168">
        <v>0.66600000000000004</v>
      </c>
      <c r="AV168">
        <v>0.56799999999999995</v>
      </c>
      <c r="AW168">
        <v>0.26800000000000002</v>
      </c>
      <c r="AX168">
        <v>0.183</v>
      </c>
      <c r="AY168">
        <v>0.254</v>
      </c>
      <c r="AZ168">
        <v>0.373</v>
      </c>
      <c r="BA168">
        <v>0.53</v>
      </c>
      <c r="BB168">
        <v>0.50900000000000001</v>
      </c>
      <c r="BC168">
        <v>0.45200000000000001</v>
      </c>
      <c r="BD168">
        <v>0.44900000000000001</v>
      </c>
      <c r="BE168">
        <v>0.378</v>
      </c>
      <c r="BF168">
        <v>0.313</v>
      </c>
      <c r="BG168">
        <v>0.32500000000000001</v>
      </c>
      <c r="BH168">
        <v>0.34</v>
      </c>
      <c r="BI168">
        <v>0.44</v>
      </c>
      <c r="BJ168">
        <v>0.495</v>
      </c>
      <c r="BK168">
        <v>0.52600000000000002</v>
      </c>
      <c r="BL168">
        <v>0.60299999999999998</v>
      </c>
    </row>
    <row r="169" spans="1:64" x14ac:dyDescent="0.25">
      <c r="A169">
        <v>0.34499999999999997</v>
      </c>
      <c r="B169">
        <v>0.34300000000000003</v>
      </c>
      <c r="C169">
        <v>0.38700000000000001</v>
      </c>
      <c r="D169">
        <v>0.438</v>
      </c>
      <c r="E169">
        <v>0.371</v>
      </c>
      <c r="F169">
        <v>0.32100000000000001</v>
      </c>
      <c r="G169">
        <v>0.38800000000000001</v>
      </c>
      <c r="H169">
        <v>0.42099999999999999</v>
      </c>
      <c r="I169">
        <v>0.41799999999999998</v>
      </c>
      <c r="J169">
        <v>0.34799999999999998</v>
      </c>
      <c r="K169">
        <v>0.33600000000000002</v>
      </c>
      <c r="L169">
        <v>0.32700000000000001</v>
      </c>
      <c r="M169">
        <v>0.39800000000000002</v>
      </c>
      <c r="N169">
        <v>0.46899999999999997</v>
      </c>
      <c r="O169">
        <v>0.45300000000000001</v>
      </c>
      <c r="P169">
        <v>0.32</v>
      </c>
      <c r="Q169">
        <v>0.152</v>
      </c>
      <c r="R169">
        <v>0.16700000000000001</v>
      </c>
      <c r="S169">
        <v>0.14799999999999999</v>
      </c>
      <c r="T169">
        <v>-3.3000000000000002E-2</v>
      </c>
      <c r="U169">
        <v>-0.17799999999999999</v>
      </c>
      <c r="V169">
        <v>-6.3E-2</v>
      </c>
      <c r="W169">
        <v>0.08</v>
      </c>
      <c r="X169">
        <v>0.13700000000000001</v>
      </c>
      <c r="Y169">
        <v>0.222</v>
      </c>
      <c r="Z169">
        <v>0.13</v>
      </c>
      <c r="AA169">
        <v>-8.8999999999999996E-2</v>
      </c>
      <c r="AB169">
        <v>-8.1000000000000003E-2</v>
      </c>
      <c r="AC169">
        <v>0.13800000000000001</v>
      </c>
      <c r="AD169">
        <v>0.38</v>
      </c>
      <c r="AE169">
        <v>0.55400000000000005</v>
      </c>
      <c r="AF169">
        <v>0.55600000000000005</v>
      </c>
      <c r="AG169">
        <v>0.4</v>
      </c>
      <c r="AH169">
        <v>0.34499999999999997</v>
      </c>
      <c r="AI169">
        <v>0.38400000000000001</v>
      </c>
      <c r="AJ169">
        <v>0.193</v>
      </c>
      <c r="AK169">
        <v>-5.1999999999999998E-2</v>
      </c>
      <c r="AL169">
        <v>-3.7999999999999999E-2</v>
      </c>
      <c r="AM169">
        <v>3.2000000000000001E-2</v>
      </c>
      <c r="AN169">
        <v>-3.0000000000000001E-3</v>
      </c>
      <c r="AO169">
        <v>-0.08</v>
      </c>
      <c r="AP169">
        <v>-2.1999999999999999E-2</v>
      </c>
      <c r="AQ169">
        <v>0.115</v>
      </c>
      <c r="AR169">
        <v>0.19600000000000001</v>
      </c>
      <c r="AS169">
        <v>0.29599999999999999</v>
      </c>
      <c r="AT169">
        <v>0.44400000000000001</v>
      </c>
      <c r="AU169">
        <v>0.52400000000000002</v>
      </c>
      <c r="AV169">
        <v>0.52900000000000003</v>
      </c>
      <c r="AW169">
        <v>0.44700000000000001</v>
      </c>
      <c r="AX169">
        <v>0.29099999999999998</v>
      </c>
      <c r="AY169">
        <v>0.27</v>
      </c>
      <c r="AZ169">
        <v>0.34200000000000003</v>
      </c>
      <c r="BA169">
        <v>0.439</v>
      </c>
      <c r="BB169">
        <v>0.34100000000000003</v>
      </c>
      <c r="BC169">
        <v>0.1</v>
      </c>
      <c r="BD169">
        <v>-1.2999999999999999E-2</v>
      </c>
      <c r="BE169">
        <v>0.01</v>
      </c>
      <c r="BF169">
        <v>0.156</v>
      </c>
      <c r="BG169">
        <v>0.44500000000000001</v>
      </c>
      <c r="BH169">
        <v>0.495</v>
      </c>
      <c r="BI169">
        <v>0.42299999999999999</v>
      </c>
      <c r="BJ169">
        <v>0.438</v>
      </c>
      <c r="BK169">
        <v>0.499</v>
      </c>
      <c r="BL169">
        <v>0.52200000000000002</v>
      </c>
    </row>
    <row r="170" spans="1:64" x14ac:dyDescent="0.25">
      <c r="A170">
        <v>0.375</v>
      </c>
      <c r="B170">
        <v>0.48699999999999999</v>
      </c>
      <c r="C170">
        <v>0.56299999999999994</v>
      </c>
      <c r="D170">
        <v>0.58199999999999996</v>
      </c>
      <c r="E170">
        <v>0.52600000000000002</v>
      </c>
      <c r="F170">
        <v>0.158</v>
      </c>
      <c r="G170">
        <v>3.7999999999999999E-2</v>
      </c>
      <c r="H170">
        <v>0.255</v>
      </c>
      <c r="I170">
        <v>0.44800000000000001</v>
      </c>
      <c r="J170">
        <v>0.40200000000000002</v>
      </c>
      <c r="K170">
        <v>0.125</v>
      </c>
      <c r="L170">
        <v>0.16</v>
      </c>
      <c r="M170">
        <v>0.49399999999999999</v>
      </c>
      <c r="N170">
        <v>0.57799999999999996</v>
      </c>
      <c r="O170">
        <v>0.46300000000000002</v>
      </c>
      <c r="P170">
        <v>0.125</v>
      </c>
      <c r="Q170">
        <v>-0.22900000000000001</v>
      </c>
      <c r="R170">
        <v>-0.32300000000000001</v>
      </c>
      <c r="S170">
        <v>-0.30499999999999999</v>
      </c>
      <c r="T170">
        <v>-0.245</v>
      </c>
      <c r="U170">
        <v>-4.7E-2</v>
      </c>
      <c r="V170">
        <v>0.22600000000000001</v>
      </c>
      <c r="W170">
        <v>0.499</v>
      </c>
      <c r="X170">
        <v>0.60299999999999998</v>
      </c>
      <c r="Y170">
        <v>0.55100000000000005</v>
      </c>
      <c r="Z170">
        <v>0.47499999999999998</v>
      </c>
      <c r="AA170">
        <v>0.39</v>
      </c>
      <c r="AB170">
        <v>0.13100000000000001</v>
      </c>
      <c r="AC170">
        <v>-0.13600000000000001</v>
      </c>
      <c r="AD170">
        <v>0.20599999999999999</v>
      </c>
      <c r="AE170">
        <v>0.58099999999999996</v>
      </c>
      <c r="AF170">
        <v>0.65600000000000003</v>
      </c>
      <c r="AG170">
        <v>0.60499999999999998</v>
      </c>
      <c r="AH170">
        <v>0.45600000000000002</v>
      </c>
      <c r="AI170">
        <v>0.38100000000000001</v>
      </c>
      <c r="AJ170">
        <v>0.27900000000000003</v>
      </c>
      <c r="AK170">
        <v>0.15</v>
      </c>
      <c r="AL170">
        <v>-7.0999999999999994E-2</v>
      </c>
      <c r="AM170">
        <v>-0.318</v>
      </c>
      <c r="AN170">
        <v>-0.45800000000000002</v>
      </c>
      <c r="AO170">
        <v>-0.46700000000000003</v>
      </c>
      <c r="AP170">
        <v>-0.39600000000000002</v>
      </c>
      <c r="AQ170">
        <v>-0.183</v>
      </c>
      <c r="AR170">
        <v>8.8999999999999996E-2</v>
      </c>
      <c r="AS170">
        <v>0.222</v>
      </c>
      <c r="AT170">
        <v>0.16500000000000001</v>
      </c>
      <c r="AU170">
        <v>5.2999999999999999E-2</v>
      </c>
      <c r="AV170">
        <v>0.26700000000000002</v>
      </c>
      <c r="AW170">
        <v>0.47</v>
      </c>
      <c r="AX170">
        <v>0.40500000000000003</v>
      </c>
      <c r="AY170">
        <v>0.27600000000000002</v>
      </c>
      <c r="AZ170">
        <v>0.14499999999999999</v>
      </c>
      <c r="BA170">
        <v>5.5E-2</v>
      </c>
      <c r="BB170">
        <v>6.0999999999999999E-2</v>
      </c>
      <c r="BC170">
        <v>1.9E-2</v>
      </c>
      <c r="BD170">
        <v>-0.151</v>
      </c>
      <c r="BE170">
        <v>-0.20599999999999999</v>
      </c>
      <c r="BF170">
        <v>0.106</v>
      </c>
      <c r="BG170">
        <v>0.41399999999999998</v>
      </c>
      <c r="BH170">
        <v>0.45400000000000001</v>
      </c>
      <c r="BI170">
        <v>0.29599999999999999</v>
      </c>
      <c r="BJ170">
        <v>0.24399999999999999</v>
      </c>
      <c r="BK170">
        <v>0.38500000000000001</v>
      </c>
      <c r="BL170">
        <v>0.54700000000000004</v>
      </c>
    </row>
    <row r="171" spans="1:64" x14ac:dyDescent="0.25">
      <c r="A171">
        <v>0.53300000000000003</v>
      </c>
      <c r="B171">
        <v>0.47499999999999998</v>
      </c>
      <c r="C171">
        <v>0.34</v>
      </c>
      <c r="D171">
        <v>0.28599999999999998</v>
      </c>
      <c r="E171">
        <v>0.32700000000000001</v>
      </c>
      <c r="F171">
        <v>0.372</v>
      </c>
      <c r="G171">
        <v>0.36299999999999999</v>
      </c>
      <c r="H171">
        <v>0.27100000000000002</v>
      </c>
      <c r="I171">
        <v>0.28699999999999998</v>
      </c>
      <c r="J171">
        <v>0.36299999999999999</v>
      </c>
      <c r="K171">
        <v>0.38900000000000001</v>
      </c>
      <c r="L171">
        <v>0.47899999999999998</v>
      </c>
      <c r="M171">
        <v>0.57299999999999995</v>
      </c>
      <c r="N171">
        <v>0.50900000000000001</v>
      </c>
      <c r="O171">
        <v>0.32400000000000001</v>
      </c>
      <c r="P171">
        <v>0.19</v>
      </c>
      <c r="Q171">
        <v>0.123</v>
      </c>
      <c r="R171">
        <v>-5.6000000000000001E-2</v>
      </c>
      <c r="S171">
        <v>-0.193</v>
      </c>
      <c r="T171">
        <v>-0.219</v>
      </c>
      <c r="U171">
        <v>-0.14299999999999999</v>
      </c>
      <c r="V171">
        <v>2E-3</v>
      </c>
      <c r="W171">
        <v>0.16500000000000001</v>
      </c>
      <c r="X171">
        <v>0.44</v>
      </c>
      <c r="Y171">
        <v>0.625</v>
      </c>
      <c r="Z171">
        <v>0.64300000000000002</v>
      </c>
      <c r="AA171">
        <v>0.55700000000000005</v>
      </c>
      <c r="AB171">
        <v>0.39200000000000002</v>
      </c>
      <c r="AC171">
        <v>0.192</v>
      </c>
      <c r="AD171">
        <v>0.183</v>
      </c>
      <c r="AE171">
        <v>0.40100000000000002</v>
      </c>
      <c r="AF171">
        <v>0.56599999999999995</v>
      </c>
      <c r="AG171">
        <v>0.56200000000000006</v>
      </c>
      <c r="AH171">
        <v>0.44500000000000001</v>
      </c>
      <c r="AI171">
        <v>0.34699999999999998</v>
      </c>
      <c r="AJ171">
        <v>0.33</v>
      </c>
      <c r="AK171">
        <v>0.32300000000000001</v>
      </c>
      <c r="AL171">
        <v>0.11899999999999999</v>
      </c>
      <c r="AM171">
        <v>5.5E-2</v>
      </c>
      <c r="AN171">
        <v>0.159</v>
      </c>
      <c r="AO171">
        <v>0.151</v>
      </c>
      <c r="AP171">
        <v>4.1000000000000002E-2</v>
      </c>
      <c r="AQ171">
        <v>7.6999999999999999E-2</v>
      </c>
      <c r="AR171">
        <v>0.152</v>
      </c>
      <c r="AS171">
        <v>0.127</v>
      </c>
      <c r="AT171">
        <v>0.14799999999999999</v>
      </c>
      <c r="AU171">
        <v>0.27100000000000002</v>
      </c>
      <c r="AV171">
        <v>0.36899999999999999</v>
      </c>
      <c r="AW171">
        <v>0.40799999999999997</v>
      </c>
      <c r="AX171">
        <v>0.39</v>
      </c>
      <c r="AY171">
        <v>0.24299999999999999</v>
      </c>
      <c r="AZ171">
        <v>8.4000000000000005E-2</v>
      </c>
      <c r="BA171">
        <v>0.09</v>
      </c>
      <c r="BB171">
        <v>0.26100000000000001</v>
      </c>
      <c r="BC171">
        <v>0.40500000000000003</v>
      </c>
      <c r="BD171">
        <v>0.40400000000000003</v>
      </c>
      <c r="BE171">
        <v>0.40799999999999997</v>
      </c>
      <c r="BF171">
        <v>0.43099999999999999</v>
      </c>
      <c r="BG171">
        <v>0.41199999999999998</v>
      </c>
      <c r="BH171">
        <v>0.45100000000000001</v>
      </c>
      <c r="BI171">
        <v>0.42299999999999999</v>
      </c>
      <c r="BJ171">
        <v>0.40899999999999997</v>
      </c>
      <c r="BK171">
        <v>0.48299999999999998</v>
      </c>
      <c r="BL171">
        <v>0.59199999999999997</v>
      </c>
    </row>
    <row r="172" spans="1:64" x14ac:dyDescent="0.25">
      <c r="A172">
        <v>0.54</v>
      </c>
      <c r="B172">
        <v>0.49299999999999999</v>
      </c>
      <c r="C172">
        <v>0.31900000000000001</v>
      </c>
      <c r="D172">
        <v>0.187</v>
      </c>
      <c r="E172">
        <v>0.32300000000000001</v>
      </c>
      <c r="F172">
        <v>0.58899999999999997</v>
      </c>
      <c r="G172">
        <v>0.66600000000000004</v>
      </c>
      <c r="H172">
        <v>0.52800000000000002</v>
      </c>
      <c r="I172">
        <v>0.48499999999999999</v>
      </c>
      <c r="J172">
        <v>0.56100000000000005</v>
      </c>
      <c r="K172">
        <v>0.70199999999999996</v>
      </c>
      <c r="L172">
        <v>0.73199999999999998</v>
      </c>
      <c r="M172">
        <v>0.61099999999999999</v>
      </c>
      <c r="N172">
        <v>0.378</v>
      </c>
      <c r="O172">
        <v>0.26700000000000002</v>
      </c>
      <c r="P172">
        <v>0.216</v>
      </c>
      <c r="Q172">
        <v>0.23100000000000001</v>
      </c>
      <c r="R172">
        <v>0.18099999999999999</v>
      </c>
      <c r="S172">
        <v>6.3E-2</v>
      </c>
      <c r="T172">
        <v>8.6999999999999994E-2</v>
      </c>
      <c r="U172">
        <v>0.107</v>
      </c>
      <c r="V172">
        <v>2.5999999999999999E-2</v>
      </c>
      <c r="W172">
        <v>-8.9999999999999993E-3</v>
      </c>
      <c r="X172">
        <v>0.111</v>
      </c>
      <c r="Y172">
        <v>0.33100000000000002</v>
      </c>
      <c r="Z172">
        <v>0.38900000000000001</v>
      </c>
      <c r="AA172">
        <v>0.38900000000000001</v>
      </c>
      <c r="AB172">
        <v>0.46500000000000002</v>
      </c>
      <c r="AC172">
        <v>0.48</v>
      </c>
      <c r="AD172">
        <v>0.24399999999999999</v>
      </c>
      <c r="AE172">
        <v>0.16</v>
      </c>
      <c r="AF172">
        <v>0.26500000000000001</v>
      </c>
      <c r="AG172">
        <v>0.309</v>
      </c>
      <c r="AH172">
        <v>0.22</v>
      </c>
      <c r="AI172">
        <v>0.156</v>
      </c>
      <c r="AJ172">
        <v>0.36499999999999999</v>
      </c>
      <c r="AK172">
        <v>0.52400000000000002</v>
      </c>
      <c r="AL172">
        <v>0.48</v>
      </c>
      <c r="AM172">
        <v>0.41399999999999998</v>
      </c>
      <c r="AN172">
        <v>0.54100000000000004</v>
      </c>
      <c r="AO172">
        <v>0.71</v>
      </c>
      <c r="AP172">
        <v>0.71399999999999997</v>
      </c>
      <c r="AQ172">
        <v>0.66</v>
      </c>
      <c r="AR172">
        <v>0.63500000000000001</v>
      </c>
      <c r="AS172">
        <v>0.501</v>
      </c>
      <c r="AT172">
        <v>0.39800000000000002</v>
      </c>
      <c r="AU172">
        <v>0.46400000000000002</v>
      </c>
      <c r="AV172">
        <v>0.48799999999999999</v>
      </c>
      <c r="AW172">
        <v>0.46300000000000002</v>
      </c>
      <c r="AX172">
        <v>0.44600000000000001</v>
      </c>
      <c r="AY172">
        <v>0.36199999999999999</v>
      </c>
      <c r="AZ172">
        <v>0.28299999999999997</v>
      </c>
      <c r="BA172">
        <v>0.27200000000000002</v>
      </c>
      <c r="BB172">
        <v>0.28000000000000003</v>
      </c>
      <c r="BC172">
        <v>0.193</v>
      </c>
      <c r="BD172">
        <v>0.17100000000000001</v>
      </c>
      <c r="BE172">
        <v>0.36399999999999999</v>
      </c>
      <c r="BF172">
        <v>0.53700000000000003</v>
      </c>
      <c r="BG172">
        <v>0.61</v>
      </c>
      <c r="BH172">
        <v>0.65300000000000002</v>
      </c>
      <c r="BI172">
        <v>0.66</v>
      </c>
      <c r="BJ172">
        <v>0.59</v>
      </c>
      <c r="BK172">
        <v>0.51500000000000001</v>
      </c>
      <c r="BL172">
        <v>0.56299999999999994</v>
      </c>
    </row>
    <row r="173" spans="1:64" x14ac:dyDescent="0.25">
      <c r="A173">
        <v>0.72</v>
      </c>
      <c r="B173">
        <v>0.71399999999999997</v>
      </c>
      <c r="C173">
        <v>0.68899999999999995</v>
      </c>
      <c r="D173">
        <v>0.63400000000000001</v>
      </c>
      <c r="E173">
        <v>0.61799999999999999</v>
      </c>
      <c r="F173">
        <v>0.55400000000000005</v>
      </c>
      <c r="G173">
        <v>0.51300000000000001</v>
      </c>
      <c r="H173">
        <v>0.51400000000000001</v>
      </c>
      <c r="I173">
        <v>0.61</v>
      </c>
      <c r="J173">
        <v>0.55500000000000005</v>
      </c>
      <c r="K173">
        <v>0.53200000000000003</v>
      </c>
      <c r="L173">
        <v>0.52700000000000002</v>
      </c>
      <c r="M173">
        <v>0.42399999999999999</v>
      </c>
      <c r="N173">
        <v>0.36399999999999999</v>
      </c>
      <c r="O173">
        <v>0.41299999999999998</v>
      </c>
      <c r="P173">
        <v>0.29299999999999998</v>
      </c>
      <c r="Q173">
        <v>7.8E-2</v>
      </c>
      <c r="R173">
        <v>0.01</v>
      </c>
      <c r="S173">
        <v>0.106</v>
      </c>
      <c r="T173">
        <v>0.30299999999999999</v>
      </c>
      <c r="U173">
        <v>0.40400000000000003</v>
      </c>
      <c r="V173">
        <v>0.3</v>
      </c>
      <c r="W173">
        <v>0.20799999999999999</v>
      </c>
      <c r="X173">
        <v>0.104</v>
      </c>
      <c r="Y173">
        <v>-2.9000000000000001E-2</v>
      </c>
      <c r="Z173">
        <v>-6.0999999999999999E-2</v>
      </c>
      <c r="AA173">
        <v>5.7000000000000002E-2</v>
      </c>
      <c r="AB173">
        <v>0.247</v>
      </c>
      <c r="AC173">
        <v>0.29499999999999998</v>
      </c>
      <c r="AD173">
        <v>0.106</v>
      </c>
      <c r="AE173">
        <v>-2.3E-2</v>
      </c>
      <c r="AF173">
        <v>3.5000000000000003E-2</v>
      </c>
      <c r="AG173">
        <v>0.193</v>
      </c>
      <c r="AH173">
        <v>0.26900000000000002</v>
      </c>
      <c r="AI173">
        <v>0.245</v>
      </c>
      <c r="AJ173">
        <v>0.26800000000000002</v>
      </c>
      <c r="AK173">
        <v>0.49</v>
      </c>
      <c r="AL173">
        <v>0.59799999999999998</v>
      </c>
      <c r="AM173">
        <v>0.49099999999999999</v>
      </c>
      <c r="AN173">
        <v>0.45300000000000001</v>
      </c>
      <c r="AO173">
        <v>0.67100000000000004</v>
      </c>
      <c r="AP173">
        <v>0.748</v>
      </c>
      <c r="AQ173">
        <v>0.66300000000000003</v>
      </c>
      <c r="AR173">
        <v>0.63600000000000001</v>
      </c>
      <c r="AS173">
        <v>0.63400000000000001</v>
      </c>
      <c r="AT173">
        <v>0.52500000000000002</v>
      </c>
      <c r="AU173">
        <v>0.39300000000000002</v>
      </c>
      <c r="AV173">
        <v>0.313</v>
      </c>
      <c r="AW173">
        <v>0.36699999999999999</v>
      </c>
      <c r="AX173">
        <v>0.45</v>
      </c>
      <c r="AY173">
        <v>0.51100000000000001</v>
      </c>
      <c r="AZ173">
        <v>0.47399999999999998</v>
      </c>
      <c r="BA173">
        <v>0.29799999999999999</v>
      </c>
      <c r="BB173">
        <v>0.14599999999999999</v>
      </c>
      <c r="BC173">
        <v>0.13400000000000001</v>
      </c>
      <c r="BD173">
        <v>0.255</v>
      </c>
      <c r="BE173">
        <v>0.34899999999999998</v>
      </c>
      <c r="BF173">
        <v>0.42899999999999999</v>
      </c>
      <c r="BG173">
        <v>0.60299999999999998</v>
      </c>
      <c r="BH173">
        <v>0.7</v>
      </c>
      <c r="BI173">
        <v>0.73799999999999999</v>
      </c>
      <c r="BJ173">
        <v>0.68899999999999995</v>
      </c>
      <c r="BK173">
        <v>0.54500000000000004</v>
      </c>
      <c r="BL173">
        <v>0.53400000000000003</v>
      </c>
    </row>
    <row r="174" spans="1:64" x14ac:dyDescent="0.25">
      <c r="A174">
        <v>0.71799999999999997</v>
      </c>
      <c r="B174">
        <v>0.72</v>
      </c>
      <c r="C174">
        <v>0.71699999999999997</v>
      </c>
      <c r="D174">
        <v>0.70299999999999996</v>
      </c>
      <c r="E174">
        <v>0.71</v>
      </c>
      <c r="F174">
        <v>0.65300000000000002</v>
      </c>
      <c r="G174">
        <v>0.5</v>
      </c>
      <c r="H174">
        <v>0.5</v>
      </c>
      <c r="I174">
        <v>0.6</v>
      </c>
      <c r="J174">
        <v>0.61399999999999999</v>
      </c>
      <c r="K174">
        <v>0.56000000000000005</v>
      </c>
      <c r="L174">
        <v>0.33400000000000002</v>
      </c>
      <c r="M174">
        <v>0.10299999999999999</v>
      </c>
      <c r="N174">
        <v>0.14199999999999999</v>
      </c>
      <c r="O174">
        <v>0.26700000000000002</v>
      </c>
      <c r="P174">
        <v>0.24299999999999999</v>
      </c>
      <c r="Q174">
        <v>0.14499999999999999</v>
      </c>
      <c r="R174">
        <v>0.10100000000000001</v>
      </c>
      <c r="S174">
        <v>0.224</v>
      </c>
      <c r="T174">
        <v>0.434</v>
      </c>
      <c r="U174">
        <v>0.53200000000000003</v>
      </c>
      <c r="V174">
        <v>0.54100000000000004</v>
      </c>
      <c r="W174">
        <v>0.42199999999999999</v>
      </c>
      <c r="X174">
        <v>0.192</v>
      </c>
      <c r="Y174">
        <v>1.4999999999999999E-2</v>
      </c>
      <c r="Z174">
        <v>-1.7999999999999999E-2</v>
      </c>
      <c r="AA174">
        <v>-6.3E-2</v>
      </c>
      <c r="AB174">
        <v>-9.7000000000000003E-2</v>
      </c>
      <c r="AC174">
        <v>-0.123</v>
      </c>
      <c r="AD174">
        <v>-0.247</v>
      </c>
      <c r="AE174">
        <v>-0.314</v>
      </c>
      <c r="AF174">
        <v>-0.27</v>
      </c>
      <c r="AG174">
        <v>-9.1999999999999998E-2</v>
      </c>
      <c r="AH174">
        <v>1.6E-2</v>
      </c>
      <c r="AI174">
        <v>1.7000000000000001E-2</v>
      </c>
      <c r="AJ174">
        <v>0.14199999999999999</v>
      </c>
      <c r="AK174">
        <v>0.30599999999999999</v>
      </c>
      <c r="AL174">
        <v>0.40400000000000003</v>
      </c>
      <c r="AM174">
        <v>0.443</v>
      </c>
      <c r="AN174">
        <v>0.39100000000000001</v>
      </c>
      <c r="AO174">
        <v>0.501</v>
      </c>
      <c r="AP174">
        <v>0.54600000000000004</v>
      </c>
      <c r="AQ174">
        <v>0.33</v>
      </c>
      <c r="AR174">
        <v>4.1000000000000002E-2</v>
      </c>
      <c r="AS174">
        <v>6.3E-2</v>
      </c>
      <c r="AT174">
        <v>0.20599999999999999</v>
      </c>
      <c r="AU174">
        <v>0.28199999999999997</v>
      </c>
      <c r="AV174">
        <v>0.33500000000000002</v>
      </c>
      <c r="AW174">
        <v>0.35099999999999998</v>
      </c>
      <c r="AX174">
        <v>0.35099999999999998</v>
      </c>
      <c r="AY174">
        <v>0.42399999999999999</v>
      </c>
      <c r="AZ174">
        <v>0.29199999999999998</v>
      </c>
      <c r="BA174">
        <v>9.1999999999999998E-2</v>
      </c>
      <c r="BB174">
        <v>0.31</v>
      </c>
      <c r="BC174">
        <v>0.54800000000000004</v>
      </c>
      <c r="BD174">
        <v>0.60399999999999998</v>
      </c>
      <c r="BE174">
        <v>0.6</v>
      </c>
      <c r="BF174">
        <v>0.45200000000000001</v>
      </c>
      <c r="BG174">
        <v>0.38100000000000001</v>
      </c>
      <c r="BH174">
        <v>0.53400000000000003</v>
      </c>
      <c r="BI174">
        <v>0.71</v>
      </c>
      <c r="BJ174">
        <v>0.68200000000000005</v>
      </c>
      <c r="BK174">
        <v>0.442</v>
      </c>
      <c r="BL174">
        <v>0.308</v>
      </c>
    </row>
    <row r="175" spans="1:64" x14ac:dyDescent="0.25">
      <c r="A175">
        <v>0.77</v>
      </c>
      <c r="B175">
        <v>0.77</v>
      </c>
      <c r="C175">
        <v>0.74399999999999999</v>
      </c>
      <c r="D175">
        <v>0.69799999999999995</v>
      </c>
      <c r="E175">
        <v>0.69899999999999995</v>
      </c>
      <c r="F175">
        <v>0.65200000000000002</v>
      </c>
      <c r="G175">
        <v>0.621</v>
      </c>
      <c r="H175">
        <v>0.64300000000000002</v>
      </c>
      <c r="I175">
        <v>0.66500000000000004</v>
      </c>
      <c r="J175">
        <v>0.68</v>
      </c>
      <c r="K175">
        <v>0.58599999999999997</v>
      </c>
      <c r="L175">
        <v>0.32200000000000001</v>
      </c>
      <c r="M175">
        <v>0.189</v>
      </c>
      <c r="N175">
        <v>0.113</v>
      </c>
      <c r="O175">
        <v>-8.9999999999999993E-3</v>
      </c>
      <c r="P175">
        <v>-1.7999999999999999E-2</v>
      </c>
      <c r="Q175">
        <v>0.10100000000000001</v>
      </c>
      <c r="R175">
        <v>0.26300000000000001</v>
      </c>
      <c r="S175">
        <v>0.40600000000000003</v>
      </c>
      <c r="T175">
        <v>0.49399999999999999</v>
      </c>
      <c r="U175">
        <v>0.42799999999999999</v>
      </c>
      <c r="V175">
        <v>0.41199999999999998</v>
      </c>
      <c r="W175">
        <v>0.433</v>
      </c>
      <c r="X175">
        <v>0.45</v>
      </c>
      <c r="Y175">
        <v>0.45100000000000001</v>
      </c>
      <c r="Z175">
        <v>0.27500000000000002</v>
      </c>
      <c r="AA175">
        <v>5.3999999999999999E-2</v>
      </c>
      <c r="AB175">
        <v>-0.122</v>
      </c>
      <c r="AC175">
        <v>-0.22800000000000001</v>
      </c>
      <c r="AD175">
        <v>-0.26300000000000001</v>
      </c>
      <c r="AE175">
        <v>-0.35099999999999998</v>
      </c>
      <c r="AF175">
        <v>-0.38100000000000001</v>
      </c>
      <c r="AG175">
        <v>-0.434</v>
      </c>
      <c r="AH175">
        <v>-0.45100000000000001</v>
      </c>
      <c r="AI175">
        <v>-0.32</v>
      </c>
      <c r="AJ175">
        <v>6.7000000000000004E-2</v>
      </c>
      <c r="AK175">
        <v>0.30499999999999999</v>
      </c>
      <c r="AL175">
        <v>0.34799999999999998</v>
      </c>
      <c r="AM175">
        <v>0.38300000000000001</v>
      </c>
      <c r="AN175">
        <v>0.31</v>
      </c>
      <c r="AO175">
        <v>0.23300000000000001</v>
      </c>
      <c r="AP175">
        <v>0.192</v>
      </c>
      <c r="AQ175">
        <v>0.17499999999999999</v>
      </c>
      <c r="AR175">
        <v>0.13900000000000001</v>
      </c>
      <c r="AS175">
        <v>0.13600000000000001</v>
      </c>
      <c r="AT175">
        <v>0.16900000000000001</v>
      </c>
      <c r="AU175">
        <v>0.223</v>
      </c>
      <c r="AV175">
        <v>0.26700000000000002</v>
      </c>
      <c r="AW175">
        <v>0.4</v>
      </c>
      <c r="AX175">
        <v>0.45200000000000001</v>
      </c>
      <c r="AY175">
        <v>0.313</v>
      </c>
      <c r="AZ175">
        <v>0.23599999999999999</v>
      </c>
      <c r="BA175">
        <v>0.41899999999999998</v>
      </c>
      <c r="BB175">
        <v>0.54400000000000004</v>
      </c>
      <c r="BC175">
        <v>0.58499999999999996</v>
      </c>
      <c r="BD175">
        <v>0.44</v>
      </c>
      <c r="BE175">
        <v>0.30299999999999999</v>
      </c>
      <c r="BF175">
        <v>0.27</v>
      </c>
      <c r="BG175">
        <v>0.20699999999999999</v>
      </c>
      <c r="BH175">
        <v>0.23200000000000001</v>
      </c>
      <c r="BI175">
        <v>0.46400000000000002</v>
      </c>
      <c r="BJ175">
        <v>0.59599999999999997</v>
      </c>
      <c r="BK175">
        <v>0.44</v>
      </c>
      <c r="BL175">
        <v>0.307</v>
      </c>
    </row>
    <row r="176" spans="1:64" x14ac:dyDescent="0.25">
      <c r="A176">
        <v>0.81499999999999995</v>
      </c>
      <c r="B176">
        <v>0.80100000000000005</v>
      </c>
      <c r="C176">
        <v>0.76900000000000002</v>
      </c>
      <c r="D176">
        <v>0.71599999999999997</v>
      </c>
      <c r="E176">
        <v>0.66300000000000003</v>
      </c>
      <c r="F176">
        <v>0.65400000000000003</v>
      </c>
      <c r="G176">
        <v>0.747</v>
      </c>
      <c r="H176">
        <v>0.78400000000000003</v>
      </c>
      <c r="I176">
        <v>0.76400000000000001</v>
      </c>
      <c r="J176">
        <v>0.63800000000000001</v>
      </c>
      <c r="K176">
        <v>0.223</v>
      </c>
      <c r="L176">
        <v>6.4000000000000001E-2</v>
      </c>
      <c r="M176">
        <v>0.184</v>
      </c>
      <c r="N176">
        <v>4.1000000000000002E-2</v>
      </c>
      <c r="O176">
        <v>-0.187</v>
      </c>
      <c r="P176">
        <v>-0.151</v>
      </c>
      <c r="Q176">
        <v>6.5000000000000002E-2</v>
      </c>
      <c r="R176">
        <v>0.27500000000000002</v>
      </c>
      <c r="S176">
        <v>0.46100000000000002</v>
      </c>
      <c r="T176">
        <v>0.57399999999999995</v>
      </c>
      <c r="U176">
        <v>0.53700000000000003</v>
      </c>
      <c r="V176">
        <v>0.48499999999999999</v>
      </c>
      <c r="W176">
        <v>0.48499999999999999</v>
      </c>
      <c r="X176">
        <v>0.45100000000000001</v>
      </c>
      <c r="Y176">
        <v>0.41599999999999998</v>
      </c>
      <c r="Z176">
        <v>0.34499999999999997</v>
      </c>
      <c r="AA176">
        <v>0.19700000000000001</v>
      </c>
      <c r="AB176">
        <v>-8.2000000000000003E-2</v>
      </c>
      <c r="AC176">
        <v>-0.23699999999999999</v>
      </c>
      <c r="AD176">
        <v>-0.14899999999999999</v>
      </c>
      <c r="AE176">
        <v>-0.11600000000000001</v>
      </c>
      <c r="AF176">
        <v>-0.372</v>
      </c>
      <c r="AG176">
        <v>-0.66100000000000003</v>
      </c>
      <c r="AH176">
        <v>-0.60399999999999998</v>
      </c>
      <c r="AI176">
        <v>-0.187</v>
      </c>
      <c r="AJ176">
        <v>0.14399999999999999</v>
      </c>
      <c r="AK176">
        <v>0.38900000000000001</v>
      </c>
      <c r="AL176">
        <v>0.442</v>
      </c>
      <c r="AM176">
        <v>0.34499999999999997</v>
      </c>
      <c r="AN176">
        <v>0.221</v>
      </c>
      <c r="AO176">
        <v>6.5000000000000002E-2</v>
      </c>
      <c r="AP176">
        <v>0.215</v>
      </c>
      <c r="AQ176">
        <v>0.46</v>
      </c>
      <c r="AR176">
        <v>0.56599999999999995</v>
      </c>
      <c r="AS176">
        <v>0.53600000000000003</v>
      </c>
      <c r="AT176">
        <v>0.45600000000000002</v>
      </c>
      <c r="AU176">
        <v>0.36599999999999999</v>
      </c>
      <c r="AV176">
        <v>0.26800000000000002</v>
      </c>
      <c r="AW176">
        <v>0.28999999999999998</v>
      </c>
      <c r="AX176">
        <v>0.32400000000000001</v>
      </c>
      <c r="AY176">
        <v>0.30599999999999999</v>
      </c>
      <c r="AZ176">
        <v>0.57299999999999995</v>
      </c>
      <c r="BA176">
        <v>0.74399999999999999</v>
      </c>
      <c r="BB176">
        <v>0.72</v>
      </c>
      <c r="BC176">
        <v>0.63900000000000001</v>
      </c>
      <c r="BD176">
        <v>0.436</v>
      </c>
      <c r="BE176">
        <v>0.155</v>
      </c>
      <c r="BF176">
        <v>0.16600000000000001</v>
      </c>
      <c r="BG176">
        <v>0.21199999999999999</v>
      </c>
      <c r="BH176">
        <v>9.2999999999999999E-2</v>
      </c>
      <c r="BI176">
        <v>9.2999999999999999E-2</v>
      </c>
      <c r="BJ176">
        <v>0.39800000000000002</v>
      </c>
      <c r="BK176">
        <v>0.59499999999999997</v>
      </c>
      <c r="BL176">
        <v>0.54100000000000004</v>
      </c>
    </row>
    <row r="177" spans="1:64" x14ac:dyDescent="0.25">
      <c r="A177">
        <v>0.85</v>
      </c>
      <c r="B177">
        <v>0.81299999999999994</v>
      </c>
      <c r="C177">
        <v>0.72</v>
      </c>
      <c r="D177">
        <v>0.64</v>
      </c>
      <c r="E177">
        <v>0.629</v>
      </c>
      <c r="F177">
        <v>0.66300000000000003</v>
      </c>
      <c r="G177">
        <v>0.69</v>
      </c>
      <c r="H177">
        <v>0.69099999999999995</v>
      </c>
      <c r="I177">
        <v>0.67300000000000004</v>
      </c>
      <c r="J177">
        <v>0.52200000000000002</v>
      </c>
      <c r="K177">
        <v>0.316</v>
      </c>
      <c r="L177">
        <v>0.28499999999999998</v>
      </c>
      <c r="M177">
        <v>0.24</v>
      </c>
      <c r="N177">
        <v>0.19500000000000001</v>
      </c>
      <c r="O177">
        <v>0.27900000000000003</v>
      </c>
      <c r="P177">
        <v>0.3</v>
      </c>
      <c r="Q177">
        <v>0.29899999999999999</v>
      </c>
      <c r="R177">
        <v>0.42099999999999999</v>
      </c>
      <c r="S177">
        <v>0.51500000000000001</v>
      </c>
      <c r="T177">
        <v>0.63</v>
      </c>
      <c r="U177">
        <v>0.66300000000000003</v>
      </c>
      <c r="V177">
        <v>0.51700000000000002</v>
      </c>
      <c r="W177">
        <v>0.17499999999999999</v>
      </c>
      <c r="X177">
        <v>-0.113</v>
      </c>
      <c r="Y177">
        <v>-0.14699999999999999</v>
      </c>
      <c r="Z177">
        <v>-7.2999999999999995E-2</v>
      </c>
      <c r="AA177">
        <v>-6.2E-2</v>
      </c>
      <c r="AB177">
        <v>-0.11700000000000001</v>
      </c>
      <c r="AC177">
        <v>-0.21099999999999999</v>
      </c>
      <c r="AD177">
        <v>-0.16900000000000001</v>
      </c>
      <c r="AE177">
        <v>-0.151</v>
      </c>
      <c r="AF177">
        <v>-0.39400000000000002</v>
      </c>
      <c r="AG177">
        <v>-0.57799999999999996</v>
      </c>
      <c r="AH177">
        <v>-0.433</v>
      </c>
      <c r="AI177">
        <v>-0.104</v>
      </c>
      <c r="AJ177">
        <v>6.5000000000000002E-2</v>
      </c>
      <c r="AK177">
        <v>0.21</v>
      </c>
      <c r="AL177">
        <v>0.374</v>
      </c>
      <c r="AM177">
        <v>0.28899999999999998</v>
      </c>
      <c r="AN177">
        <v>0.19400000000000001</v>
      </c>
      <c r="AO177">
        <v>0.20399999999999999</v>
      </c>
      <c r="AP177">
        <v>0.32400000000000001</v>
      </c>
      <c r="AQ177">
        <v>0.46600000000000003</v>
      </c>
      <c r="AR177">
        <v>0.53800000000000003</v>
      </c>
      <c r="AS177">
        <v>0.55700000000000005</v>
      </c>
      <c r="AT177">
        <v>0.58399999999999996</v>
      </c>
      <c r="AU177">
        <v>0.57899999999999996</v>
      </c>
      <c r="AV177">
        <v>0.49299999999999999</v>
      </c>
      <c r="AW177">
        <v>0.38900000000000001</v>
      </c>
      <c r="AX177">
        <v>0.38200000000000001</v>
      </c>
      <c r="AY177">
        <v>0.48199999999999998</v>
      </c>
      <c r="AZ177">
        <v>0.53100000000000003</v>
      </c>
      <c r="BA177">
        <v>0.56100000000000005</v>
      </c>
      <c r="BB177">
        <v>0.55300000000000005</v>
      </c>
      <c r="BC177">
        <v>0.53800000000000003</v>
      </c>
      <c r="BD177">
        <v>0.504</v>
      </c>
      <c r="BE177">
        <v>0.36299999999999999</v>
      </c>
      <c r="BF177">
        <v>0.192</v>
      </c>
      <c r="BG177">
        <v>0.107</v>
      </c>
      <c r="BH177">
        <v>6.2E-2</v>
      </c>
      <c r="BI177">
        <v>0.104</v>
      </c>
      <c r="BJ177">
        <v>0.253</v>
      </c>
      <c r="BK177">
        <v>0.42599999999999999</v>
      </c>
      <c r="BL177">
        <v>0.48399999999999999</v>
      </c>
    </row>
    <row r="178" spans="1:64" x14ac:dyDescent="0.25">
      <c r="A178">
        <v>0.79400000000000004</v>
      </c>
      <c r="B178">
        <v>0.77400000000000002</v>
      </c>
      <c r="C178">
        <v>0.66200000000000003</v>
      </c>
      <c r="D178">
        <v>0.52800000000000002</v>
      </c>
      <c r="E178">
        <v>0.39100000000000001</v>
      </c>
      <c r="F178">
        <v>0.307</v>
      </c>
      <c r="G178">
        <v>0.36299999999999999</v>
      </c>
      <c r="H178">
        <v>0.51900000000000002</v>
      </c>
      <c r="I178">
        <v>0.46100000000000002</v>
      </c>
      <c r="J178">
        <v>0.29199999999999998</v>
      </c>
      <c r="K178">
        <v>0.34599999999999997</v>
      </c>
      <c r="L178">
        <v>0.46100000000000002</v>
      </c>
      <c r="M178">
        <v>0.46</v>
      </c>
      <c r="N178">
        <v>0.61099999999999999</v>
      </c>
      <c r="O178">
        <v>0.68500000000000005</v>
      </c>
      <c r="P178">
        <v>0.55600000000000005</v>
      </c>
      <c r="Q178">
        <v>0.52100000000000002</v>
      </c>
      <c r="R178">
        <v>0.55500000000000005</v>
      </c>
      <c r="S178">
        <v>0.48699999999999999</v>
      </c>
      <c r="T178">
        <v>0.47599999999999998</v>
      </c>
      <c r="U178">
        <v>0.60399999999999998</v>
      </c>
      <c r="V178">
        <v>0.44500000000000001</v>
      </c>
      <c r="W178">
        <v>-8.4000000000000005E-2</v>
      </c>
      <c r="X178">
        <v>-0.40300000000000002</v>
      </c>
      <c r="Y178">
        <v>-0.47099999999999997</v>
      </c>
      <c r="Z178">
        <v>-0.435</v>
      </c>
      <c r="AA178">
        <v>-0.29599999999999999</v>
      </c>
      <c r="AB178">
        <v>-8.2000000000000003E-2</v>
      </c>
      <c r="AC178">
        <v>-4.8000000000000001E-2</v>
      </c>
      <c r="AD178">
        <v>-0.11</v>
      </c>
      <c r="AE178">
        <v>-0.17599999999999999</v>
      </c>
      <c r="AF178">
        <v>-0.34</v>
      </c>
      <c r="AG178">
        <v>-0.38500000000000001</v>
      </c>
      <c r="AH178">
        <v>-0.17499999999999999</v>
      </c>
      <c r="AI178">
        <v>-5.1999999999999998E-2</v>
      </c>
      <c r="AJ178">
        <v>0.01</v>
      </c>
      <c r="AK178">
        <v>0.14599999999999999</v>
      </c>
      <c r="AL178">
        <v>0.42</v>
      </c>
      <c r="AM178">
        <v>0.51</v>
      </c>
      <c r="AN178">
        <v>0.54100000000000004</v>
      </c>
      <c r="AO178">
        <v>0.56299999999999994</v>
      </c>
      <c r="AP178">
        <v>0.56299999999999994</v>
      </c>
      <c r="AQ178">
        <v>0.56299999999999994</v>
      </c>
      <c r="AR178">
        <v>0.55200000000000005</v>
      </c>
      <c r="AS178">
        <v>0.54400000000000004</v>
      </c>
      <c r="AT178">
        <v>0.65100000000000002</v>
      </c>
      <c r="AU178">
        <v>0.72899999999999998</v>
      </c>
      <c r="AV178">
        <v>0.66200000000000003</v>
      </c>
      <c r="AW178">
        <v>0.54400000000000004</v>
      </c>
      <c r="AX178">
        <v>0.501</v>
      </c>
      <c r="AY178">
        <v>0.46600000000000003</v>
      </c>
      <c r="AZ178">
        <v>0.39900000000000002</v>
      </c>
      <c r="BA178">
        <v>0.432</v>
      </c>
      <c r="BB178">
        <v>0.46600000000000003</v>
      </c>
      <c r="BC178">
        <v>0.48899999999999999</v>
      </c>
      <c r="BD178">
        <v>0.52100000000000002</v>
      </c>
      <c r="BE178">
        <v>0.48799999999999999</v>
      </c>
      <c r="BF178">
        <v>0.32600000000000001</v>
      </c>
      <c r="BG178">
        <v>0.17199999999999999</v>
      </c>
      <c r="BH178">
        <v>0.11</v>
      </c>
      <c r="BI178">
        <v>0.14199999999999999</v>
      </c>
      <c r="BJ178">
        <v>0.17199999999999999</v>
      </c>
      <c r="BK178">
        <v>0.19</v>
      </c>
      <c r="BL178">
        <v>0.25800000000000001</v>
      </c>
    </row>
    <row r="179" spans="1:64" x14ac:dyDescent="0.25">
      <c r="A179">
        <v>0.27800000000000002</v>
      </c>
      <c r="B179">
        <v>0.373</v>
      </c>
      <c r="C179">
        <v>0.48099999999999998</v>
      </c>
      <c r="D179">
        <v>0.51700000000000002</v>
      </c>
      <c r="E179">
        <v>0.41299999999999998</v>
      </c>
      <c r="F179">
        <v>0.33300000000000002</v>
      </c>
      <c r="G179">
        <v>0.4</v>
      </c>
      <c r="H179">
        <v>0.47799999999999998</v>
      </c>
      <c r="I179">
        <v>0.39900000000000002</v>
      </c>
      <c r="J179">
        <v>0.39200000000000002</v>
      </c>
      <c r="K179">
        <v>0.52600000000000002</v>
      </c>
      <c r="L179">
        <v>0.61399999999999999</v>
      </c>
      <c r="M179">
        <v>0.67600000000000005</v>
      </c>
      <c r="N179">
        <v>0.72499999999999998</v>
      </c>
      <c r="O179">
        <v>0.68100000000000005</v>
      </c>
      <c r="P179">
        <v>0.63500000000000001</v>
      </c>
      <c r="Q179">
        <v>0.72199999999999998</v>
      </c>
      <c r="R179">
        <v>0.68500000000000005</v>
      </c>
      <c r="S179">
        <v>0.61299999999999999</v>
      </c>
      <c r="T179">
        <v>0.503</v>
      </c>
      <c r="U179">
        <v>0.51600000000000001</v>
      </c>
      <c r="V179">
        <v>0.42299999999999999</v>
      </c>
      <c r="W179">
        <v>0.36399999999999999</v>
      </c>
      <c r="X179">
        <v>0.27</v>
      </c>
      <c r="Y179">
        <v>7.1999999999999995E-2</v>
      </c>
      <c r="Z179">
        <v>0.11899999999999999</v>
      </c>
      <c r="AA179">
        <v>0.30399999999999999</v>
      </c>
      <c r="AB179">
        <v>0.39900000000000002</v>
      </c>
      <c r="AC179">
        <v>0.39400000000000002</v>
      </c>
      <c r="AD179">
        <v>0.221</v>
      </c>
      <c r="AE179">
        <v>0.125</v>
      </c>
      <c r="AF179">
        <v>0.318</v>
      </c>
      <c r="AG179">
        <v>0.48099999999999998</v>
      </c>
      <c r="AH179">
        <v>0.374</v>
      </c>
      <c r="AI179">
        <v>0.22800000000000001</v>
      </c>
      <c r="AJ179">
        <v>0.16300000000000001</v>
      </c>
      <c r="AK179">
        <v>0.183</v>
      </c>
      <c r="AL179">
        <v>0.29899999999999999</v>
      </c>
      <c r="AM179">
        <v>0.47299999999999998</v>
      </c>
      <c r="AN179">
        <v>0.627</v>
      </c>
      <c r="AO179">
        <v>0.68200000000000005</v>
      </c>
      <c r="AP179">
        <v>0.65500000000000003</v>
      </c>
      <c r="AQ179">
        <v>0.57499999999999996</v>
      </c>
      <c r="AR179">
        <v>0.53400000000000003</v>
      </c>
      <c r="AS179">
        <v>0.505</v>
      </c>
      <c r="AT179">
        <v>0.56799999999999995</v>
      </c>
      <c r="AU179">
        <v>0.71599999999999997</v>
      </c>
      <c r="AV179">
        <v>0.73799999999999999</v>
      </c>
      <c r="AW179">
        <v>0.65</v>
      </c>
      <c r="AX179">
        <v>0.57299999999999995</v>
      </c>
      <c r="AY179">
        <v>0.59299999999999997</v>
      </c>
      <c r="AZ179">
        <v>0.56000000000000005</v>
      </c>
      <c r="BA179">
        <v>0.622</v>
      </c>
      <c r="BB179">
        <v>0.66600000000000004</v>
      </c>
      <c r="BC179">
        <v>0.621</v>
      </c>
      <c r="BD179">
        <v>0.68899999999999995</v>
      </c>
      <c r="BE179">
        <v>0.69499999999999995</v>
      </c>
      <c r="BF179">
        <v>0.53900000000000003</v>
      </c>
      <c r="BG179">
        <v>0.378</v>
      </c>
      <c r="BH179">
        <v>0.23899999999999999</v>
      </c>
      <c r="BI179">
        <v>0.16</v>
      </c>
      <c r="BJ179">
        <v>0.13900000000000001</v>
      </c>
      <c r="BK179">
        <v>9.0999999999999998E-2</v>
      </c>
      <c r="BL179">
        <v>-4.7E-2</v>
      </c>
    </row>
    <row r="180" spans="1:64" x14ac:dyDescent="0.25">
      <c r="A180">
        <v>-0.377</v>
      </c>
      <c r="B180">
        <v>-0.17799999999999999</v>
      </c>
      <c r="C180">
        <v>0.23499999999999999</v>
      </c>
      <c r="D180">
        <v>0.38200000000000001</v>
      </c>
      <c r="E180">
        <v>0.42</v>
      </c>
      <c r="F180">
        <v>0.57899999999999996</v>
      </c>
      <c r="G180">
        <v>0.628</v>
      </c>
      <c r="H180">
        <v>0.52500000000000002</v>
      </c>
      <c r="I180">
        <v>0.50800000000000001</v>
      </c>
      <c r="J180">
        <v>0.68500000000000005</v>
      </c>
      <c r="K180">
        <v>0.73899999999999999</v>
      </c>
      <c r="L180">
        <v>0.746</v>
      </c>
      <c r="M180">
        <v>0.77900000000000003</v>
      </c>
      <c r="N180">
        <v>0.73399999999999999</v>
      </c>
      <c r="O180">
        <v>0.68600000000000005</v>
      </c>
      <c r="P180">
        <v>0.747</v>
      </c>
      <c r="Q180">
        <v>0.81499999999999995</v>
      </c>
      <c r="R180">
        <v>0.81299999999999994</v>
      </c>
      <c r="S180">
        <v>0.78500000000000003</v>
      </c>
      <c r="T180">
        <v>0.68400000000000005</v>
      </c>
      <c r="U180">
        <v>0.59199999999999997</v>
      </c>
      <c r="V180">
        <v>0.40200000000000002</v>
      </c>
      <c r="W180">
        <v>0.53800000000000003</v>
      </c>
      <c r="X180">
        <v>0.65400000000000003</v>
      </c>
      <c r="Y180">
        <v>0.70299999999999996</v>
      </c>
      <c r="Z180">
        <v>0.70199999999999996</v>
      </c>
      <c r="AA180">
        <v>0.69599999999999995</v>
      </c>
      <c r="AB180">
        <v>0.68200000000000005</v>
      </c>
      <c r="AC180">
        <v>0.623</v>
      </c>
      <c r="AD180">
        <v>0.48599999999999999</v>
      </c>
      <c r="AE180">
        <v>0.38800000000000001</v>
      </c>
      <c r="AF180">
        <v>0.61</v>
      </c>
      <c r="AG180">
        <v>0.71699999999999997</v>
      </c>
      <c r="AH180">
        <v>0.67400000000000004</v>
      </c>
      <c r="AI180">
        <v>0.56699999999999995</v>
      </c>
      <c r="AJ180">
        <v>0.35</v>
      </c>
      <c r="AK180">
        <v>0.24</v>
      </c>
      <c r="AL180">
        <v>0.34100000000000003</v>
      </c>
      <c r="AM180">
        <v>0.40699999999999997</v>
      </c>
      <c r="AN180">
        <v>0.46800000000000003</v>
      </c>
      <c r="AO180">
        <v>0.58299999999999996</v>
      </c>
      <c r="AP180">
        <v>0.624</v>
      </c>
      <c r="AQ180">
        <v>0.56899999999999995</v>
      </c>
      <c r="AR180">
        <v>0.54400000000000004</v>
      </c>
      <c r="AS180">
        <v>0.54200000000000004</v>
      </c>
      <c r="AT180">
        <v>0.52900000000000003</v>
      </c>
      <c r="AU180">
        <v>0.61399999999999999</v>
      </c>
      <c r="AV180">
        <v>0.747</v>
      </c>
      <c r="AW180">
        <v>0.79600000000000004</v>
      </c>
      <c r="AX180">
        <v>0.79400000000000004</v>
      </c>
      <c r="AY180">
        <v>0.78700000000000003</v>
      </c>
      <c r="AZ180">
        <v>0.72</v>
      </c>
      <c r="BA180">
        <v>0.64600000000000002</v>
      </c>
      <c r="BB180">
        <v>0.55700000000000005</v>
      </c>
      <c r="BC180">
        <v>0.438</v>
      </c>
      <c r="BD180">
        <v>0.496</v>
      </c>
      <c r="BE180">
        <v>0.64100000000000001</v>
      </c>
      <c r="BF180">
        <v>0.63200000000000001</v>
      </c>
      <c r="BG180">
        <v>0.45900000000000002</v>
      </c>
      <c r="BH180">
        <v>0.193</v>
      </c>
      <c r="BI180">
        <v>-3.0000000000000001E-3</v>
      </c>
      <c r="BJ180">
        <v>-4.8000000000000001E-2</v>
      </c>
      <c r="BK180">
        <v>-6.0000000000000001E-3</v>
      </c>
      <c r="BL180">
        <v>-0.104</v>
      </c>
    </row>
    <row r="181" spans="1:64" x14ac:dyDescent="0.25">
      <c r="A181">
        <v>8.5000000000000006E-2</v>
      </c>
      <c r="B181">
        <v>0.191</v>
      </c>
      <c r="C181">
        <v>0.38500000000000001</v>
      </c>
      <c r="D181">
        <v>0.47599999999999998</v>
      </c>
      <c r="E181">
        <v>0.58399999999999996</v>
      </c>
      <c r="F181">
        <v>0.67400000000000004</v>
      </c>
      <c r="G181">
        <v>0.72099999999999997</v>
      </c>
      <c r="H181">
        <v>0.628</v>
      </c>
      <c r="I181">
        <v>0.61499999999999999</v>
      </c>
      <c r="J181">
        <v>0.71499999999999997</v>
      </c>
      <c r="K181">
        <v>0.71699999999999997</v>
      </c>
      <c r="L181">
        <v>0.69</v>
      </c>
      <c r="M181">
        <v>0.70599999999999996</v>
      </c>
      <c r="N181">
        <v>0.71199999999999997</v>
      </c>
      <c r="O181">
        <v>0.76200000000000001</v>
      </c>
      <c r="P181">
        <v>0.79700000000000004</v>
      </c>
      <c r="Q181">
        <v>0.81200000000000006</v>
      </c>
      <c r="R181">
        <v>0.79700000000000004</v>
      </c>
      <c r="S181">
        <v>0.77700000000000002</v>
      </c>
      <c r="T181">
        <v>0.66600000000000004</v>
      </c>
      <c r="U181">
        <v>0.53500000000000003</v>
      </c>
      <c r="V181">
        <v>0.59199999999999997</v>
      </c>
      <c r="W181">
        <v>0.73899999999999999</v>
      </c>
      <c r="X181">
        <v>0.77100000000000002</v>
      </c>
      <c r="Y181">
        <v>0.78900000000000003</v>
      </c>
      <c r="Z181">
        <v>0.75600000000000001</v>
      </c>
      <c r="AA181">
        <v>0.66500000000000004</v>
      </c>
      <c r="AB181">
        <v>0.629</v>
      </c>
      <c r="AC181">
        <v>0.63600000000000001</v>
      </c>
      <c r="AD181">
        <v>0.70899999999999996</v>
      </c>
      <c r="AE181">
        <v>0.7</v>
      </c>
      <c r="AF181">
        <v>0.68700000000000006</v>
      </c>
      <c r="AG181">
        <v>0.66700000000000004</v>
      </c>
      <c r="AH181">
        <v>0.63700000000000001</v>
      </c>
      <c r="AI181">
        <v>0.65800000000000003</v>
      </c>
      <c r="AJ181">
        <v>0.64500000000000002</v>
      </c>
      <c r="AK181">
        <v>0.56299999999999994</v>
      </c>
      <c r="AL181">
        <v>0.53100000000000003</v>
      </c>
      <c r="AM181">
        <v>0.46600000000000003</v>
      </c>
      <c r="AN181">
        <v>0.32400000000000001</v>
      </c>
      <c r="AO181">
        <v>0.39400000000000002</v>
      </c>
      <c r="AP181">
        <v>0.61</v>
      </c>
      <c r="AQ181">
        <v>0.67300000000000004</v>
      </c>
      <c r="AR181">
        <v>0.63300000000000001</v>
      </c>
      <c r="AS181">
        <v>0.59799999999999998</v>
      </c>
      <c r="AT181">
        <v>0.57399999999999995</v>
      </c>
      <c r="AU181">
        <v>0.59599999999999997</v>
      </c>
      <c r="AV181">
        <v>0.66200000000000003</v>
      </c>
      <c r="AW181">
        <v>0.76100000000000001</v>
      </c>
      <c r="AX181">
        <v>0.77200000000000002</v>
      </c>
      <c r="AY181">
        <v>0.73499999999999999</v>
      </c>
      <c r="AZ181">
        <v>0.68400000000000005</v>
      </c>
      <c r="BA181">
        <v>0.59699999999999998</v>
      </c>
      <c r="BB181">
        <v>0.50800000000000001</v>
      </c>
      <c r="BC181">
        <v>0.49399999999999999</v>
      </c>
      <c r="BD181">
        <v>0.38400000000000001</v>
      </c>
      <c r="BE181">
        <v>0.44400000000000001</v>
      </c>
      <c r="BF181">
        <v>0.56899999999999995</v>
      </c>
      <c r="BG181">
        <v>0.5</v>
      </c>
      <c r="BH181">
        <v>0.18099999999999999</v>
      </c>
      <c r="BI181">
        <v>-5.0999999999999997E-2</v>
      </c>
      <c r="BJ181">
        <v>-5.7000000000000002E-2</v>
      </c>
      <c r="BK181">
        <v>-5.0000000000000001E-3</v>
      </c>
      <c r="BL181">
        <v>9.5000000000000001E-2</v>
      </c>
    </row>
    <row r="182" spans="1:64" x14ac:dyDescent="0.25">
      <c r="A182">
        <v>0.52</v>
      </c>
      <c r="B182">
        <v>0.60499999999999998</v>
      </c>
      <c r="C182">
        <v>0.66900000000000004</v>
      </c>
      <c r="D182">
        <v>0.64900000000000002</v>
      </c>
      <c r="E182">
        <v>0.65700000000000003</v>
      </c>
      <c r="F182">
        <v>0.61899999999999999</v>
      </c>
      <c r="G182">
        <v>0.68899999999999995</v>
      </c>
      <c r="H182">
        <v>0.70299999999999996</v>
      </c>
      <c r="I182">
        <v>0.70199999999999996</v>
      </c>
      <c r="J182">
        <v>0.58799999999999997</v>
      </c>
      <c r="K182">
        <v>0.45600000000000002</v>
      </c>
      <c r="L182">
        <v>0.42399999999999999</v>
      </c>
      <c r="M182">
        <v>0.51500000000000001</v>
      </c>
      <c r="N182">
        <v>0.69499999999999995</v>
      </c>
      <c r="O182">
        <v>0.80200000000000005</v>
      </c>
      <c r="P182">
        <v>0.82899999999999996</v>
      </c>
      <c r="Q182">
        <v>0.81899999999999995</v>
      </c>
      <c r="R182">
        <v>0.78200000000000003</v>
      </c>
      <c r="S182">
        <v>0.746</v>
      </c>
      <c r="T182">
        <v>0.61799999999999999</v>
      </c>
      <c r="U182">
        <v>0.49099999999999999</v>
      </c>
      <c r="V182">
        <v>0.68899999999999995</v>
      </c>
      <c r="W182">
        <v>0.8</v>
      </c>
      <c r="X182">
        <v>0.82399999999999995</v>
      </c>
      <c r="Y182">
        <v>0.78600000000000003</v>
      </c>
      <c r="Z182">
        <v>0.64100000000000001</v>
      </c>
      <c r="AA182">
        <v>0.51500000000000001</v>
      </c>
      <c r="AB182">
        <v>0.53900000000000003</v>
      </c>
      <c r="AC182">
        <v>0.66800000000000004</v>
      </c>
      <c r="AD182">
        <v>0.78400000000000003</v>
      </c>
      <c r="AE182">
        <v>0.78900000000000003</v>
      </c>
      <c r="AF182">
        <v>0.751</v>
      </c>
      <c r="AG182">
        <v>0.71899999999999997</v>
      </c>
      <c r="AH182">
        <v>0.66400000000000003</v>
      </c>
      <c r="AI182">
        <v>0.621</v>
      </c>
      <c r="AJ182">
        <v>0.64700000000000002</v>
      </c>
      <c r="AK182">
        <v>0.63300000000000001</v>
      </c>
      <c r="AL182">
        <v>0.53400000000000003</v>
      </c>
      <c r="AM182">
        <v>0.316</v>
      </c>
      <c r="AN182">
        <v>0.20599999999999999</v>
      </c>
      <c r="AO182">
        <v>0.29499999999999998</v>
      </c>
      <c r="AP182">
        <v>0.52100000000000002</v>
      </c>
      <c r="AQ182">
        <v>0.67900000000000005</v>
      </c>
      <c r="AR182">
        <v>0.70599999999999996</v>
      </c>
      <c r="AS182">
        <v>0.75600000000000001</v>
      </c>
      <c r="AT182">
        <v>0.66900000000000004</v>
      </c>
      <c r="AU182">
        <v>0.59499999999999997</v>
      </c>
      <c r="AV182">
        <v>0.55300000000000005</v>
      </c>
      <c r="AW182">
        <v>0.498</v>
      </c>
      <c r="AX182">
        <v>0.41</v>
      </c>
      <c r="AY182">
        <v>0.39800000000000002</v>
      </c>
      <c r="AZ182">
        <v>0.48899999999999999</v>
      </c>
      <c r="BA182">
        <v>0.65600000000000003</v>
      </c>
      <c r="BB182">
        <v>0.72699999999999998</v>
      </c>
      <c r="BC182">
        <v>0.71599999999999997</v>
      </c>
      <c r="BD182">
        <v>0.54100000000000004</v>
      </c>
      <c r="BE182">
        <v>0.20499999999999999</v>
      </c>
      <c r="BF182">
        <v>8.4000000000000005E-2</v>
      </c>
      <c r="BG182">
        <v>0.23899999999999999</v>
      </c>
      <c r="BH182">
        <v>0.36699999999999999</v>
      </c>
      <c r="BI182">
        <v>0.20799999999999999</v>
      </c>
      <c r="BJ182">
        <v>7.3999999999999996E-2</v>
      </c>
      <c r="BK182">
        <v>2.5999999999999999E-2</v>
      </c>
      <c r="BL182">
        <v>5.2999999999999999E-2</v>
      </c>
    </row>
    <row r="183" spans="1:64" x14ac:dyDescent="0.25">
      <c r="A183">
        <v>0.66300000000000003</v>
      </c>
      <c r="B183">
        <v>0.67500000000000004</v>
      </c>
      <c r="C183">
        <v>0.622</v>
      </c>
      <c r="D183">
        <v>0.56999999999999995</v>
      </c>
      <c r="E183">
        <v>0.55800000000000005</v>
      </c>
      <c r="F183">
        <v>0.45600000000000002</v>
      </c>
      <c r="G183">
        <v>0.49199999999999999</v>
      </c>
      <c r="H183">
        <v>0.54200000000000004</v>
      </c>
      <c r="I183">
        <v>0.51800000000000002</v>
      </c>
      <c r="J183">
        <v>0.436</v>
      </c>
      <c r="K183">
        <v>0.30199999999999999</v>
      </c>
      <c r="L183">
        <v>0.314</v>
      </c>
      <c r="M183">
        <v>0.50600000000000001</v>
      </c>
      <c r="N183">
        <v>0.58699999999999997</v>
      </c>
      <c r="O183">
        <v>0.66100000000000003</v>
      </c>
      <c r="P183">
        <v>0.71399999999999997</v>
      </c>
      <c r="Q183">
        <v>0.70299999999999996</v>
      </c>
      <c r="R183">
        <v>0.67800000000000005</v>
      </c>
      <c r="S183">
        <v>0.69899999999999995</v>
      </c>
      <c r="T183">
        <v>0.73299999999999998</v>
      </c>
      <c r="U183">
        <v>0.81100000000000005</v>
      </c>
      <c r="V183">
        <v>0.80800000000000005</v>
      </c>
      <c r="W183">
        <v>0.82299999999999995</v>
      </c>
      <c r="X183">
        <v>0.80300000000000005</v>
      </c>
      <c r="Y183">
        <v>0.74299999999999999</v>
      </c>
      <c r="Z183">
        <v>0.70599999999999996</v>
      </c>
      <c r="AA183">
        <v>0.72499999999999998</v>
      </c>
      <c r="AB183">
        <v>0.70299999999999996</v>
      </c>
      <c r="AC183">
        <v>0.72699999999999998</v>
      </c>
      <c r="AD183">
        <v>0.73099999999999998</v>
      </c>
      <c r="AE183">
        <v>0.72299999999999998</v>
      </c>
      <c r="AF183">
        <v>0.73</v>
      </c>
      <c r="AG183">
        <v>0.73299999999999998</v>
      </c>
      <c r="AH183">
        <v>0.71799999999999997</v>
      </c>
      <c r="AI183">
        <v>0.68100000000000005</v>
      </c>
      <c r="AJ183">
        <v>0.63500000000000001</v>
      </c>
      <c r="AK183">
        <v>0.628</v>
      </c>
      <c r="AL183">
        <v>0.58799999999999997</v>
      </c>
      <c r="AM183">
        <v>0.439</v>
      </c>
      <c r="AN183">
        <v>0.39200000000000002</v>
      </c>
      <c r="AO183">
        <v>0.434</v>
      </c>
      <c r="AP183">
        <v>0.54700000000000004</v>
      </c>
      <c r="AQ183">
        <v>0.60599999999999998</v>
      </c>
      <c r="AR183">
        <v>0.57599999999999996</v>
      </c>
      <c r="AS183">
        <v>0.66800000000000004</v>
      </c>
      <c r="AT183">
        <v>0.64500000000000002</v>
      </c>
      <c r="AU183">
        <v>0.60199999999999998</v>
      </c>
      <c r="AV183">
        <v>0.57999999999999996</v>
      </c>
      <c r="AW183">
        <v>0.502</v>
      </c>
      <c r="AX183">
        <v>0.41799999999999998</v>
      </c>
      <c r="AY183">
        <v>0.46700000000000003</v>
      </c>
      <c r="AZ183">
        <v>0.52200000000000002</v>
      </c>
      <c r="BA183">
        <v>0.64</v>
      </c>
      <c r="BB183">
        <v>0.68200000000000005</v>
      </c>
      <c r="BC183">
        <v>0.66</v>
      </c>
      <c r="BD183">
        <v>0.56399999999999995</v>
      </c>
      <c r="BE183">
        <v>0.30399999999999999</v>
      </c>
      <c r="BF183">
        <v>6.8000000000000005E-2</v>
      </c>
      <c r="BG183">
        <v>7.1999999999999995E-2</v>
      </c>
      <c r="BH183">
        <v>0.19600000000000001</v>
      </c>
      <c r="BI183">
        <v>0.17599999999999999</v>
      </c>
      <c r="BJ183">
        <v>9.1999999999999998E-2</v>
      </c>
      <c r="BK183">
        <v>9.6000000000000002E-2</v>
      </c>
      <c r="BL183">
        <v>0.107</v>
      </c>
    </row>
    <row r="184" spans="1:64" x14ac:dyDescent="0.25">
      <c r="A184">
        <v>0.751</v>
      </c>
      <c r="B184">
        <v>0.64700000000000002</v>
      </c>
      <c r="C184">
        <v>0.45</v>
      </c>
      <c r="D184">
        <v>0.52100000000000002</v>
      </c>
      <c r="E184">
        <v>0.62</v>
      </c>
      <c r="F184">
        <v>0.39600000000000002</v>
      </c>
      <c r="G184">
        <v>-4.8000000000000001E-2</v>
      </c>
      <c r="H184">
        <v>-0.183</v>
      </c>
      <c r="I184">
        <v>-0.08</v>
      </c>
      <c r="J184">
        <v>0.16500000000000001</v>
      </c>
      <c r="K184">
        <v>0.35699999999999998</v>
      </c>
      <c r="L184">
        <v>0.436</v>
      </c>
      <c r="M184">
        <v>0.48799999999999999</v>
      </c>
      <c r="N184">
        <v>0.51200000000000001</v>
      </c>
      <c r="O184">
        <v>0.52600000000000002</v>
      </c>
      <c r="P184">
        <v>0.504</v>
      </c>
      <c r="Q184">
        <v>0.51700000000000002</v>
      </c>
      <c r="R184">
        <v>0.60699999999999998</v>
      </c>
      <c r="S184">
        <v>0.745</v>
      </c>
      <c r="T184">
        <v>0.84499999999999997</v>
      </c>
      <c r="U184">
        <v>0.89600000000000002</v>
      </c>
      <c r="V184">
        <v>0.874</v>
      </c>
      <c r="W184">
        <v>0.85899999999999999</v>
      </c>
      <c r="X184">
        <v>0.81599999999999995</v>
      </c>
      <c r="Y184">
        <v>0.76500000000000001</v>
      </c>
      <c r="Z184">
        <v>0.79400000000000004</v>
      </c>
      <c r="AA184">
        <v>0.80400000000000005</v>
      </c>
      <c r="AB184">
        <v>0.81100000000000005</v>
      </c>
      <c r="AC184">
        <v>0.81499999999999995</v>
      </c>
      <c r="AD184">
        <v>0.81200000000000006</v>
      </c>
      <c r="AE184">
        <v>0.79700000000000004</v>
      </c>
      <c r="AF184">
        <v>0.78900000000000003</v>
      </c>
      <c r="AG184">
        <v>0.78900000000000003</v>
      </c>
      <c r="AH184">
        <v>0.76900000000000002</v>
      </c>
      <c r="AI184">
        <v>0.73</v>
      </c>
      <c r="AJ184">
        <v>0.68899999999999995</v>
      </c>
      <c r="AK184">
        <v>0.68300000000000005</v>
      </c>
      <c r="AL184">
        <v>0.67200000000000004</v>
      </c>
      <c r="AM184">
        <v>0.61799999999999999</v>
      </c>
      <c r="AN184">
        <v>0.49</v>
      </c>
      <c r="AO184">
        <v>0.502</v>
      </c>
      <c r="AP184">
        <v>0.58499999999999996</v>
      </c>
      <c r="AQ184">
        <v>0.52100000000000002</v>
      </c>
      <c r="AR184">
        <v>0.4</v>
      </c>
      <c r="AS184">
        <v>0.34200000000000003</v>
      </c>
      <c r="AT184">
        <v>0.32700000000000001</v>
      </c>
      <c r="AU184">
        <v>0.36</v>
      </c>
      <c r="AV184">
        <v>0.376</v>
      </c>
      <c r="AW184">
        <v>0.41499999999999998</v>
      </c>
      <c r="AX184">
        <v>0.51400000000000001</v>
      </c>
      <c r="AY184">
        <v>0.53900000000000003</v>
      </c>
      <c r="AZ184">
        <v>0.47799999999999998</v>
      </c>
      <c r="BA184">
        <v>0.45900000000000002</v>
      </c>
      <c r="BB184">
        <v>0.34200000000000003</v>
      </c>
      <c r="BC184">
        <v>0.30099999999999999</v>
      </c>
      <c r="BD184">
        <v>0.40100000000000002</v>
      </c>
      <c r="BE184">
        <v>0.44500000000000001</v>
      </c>
      <c r="BF184">
        <v>0.31900000000000001</v>
      </c>
      <c r="BG184">
        <v>0.19400000000000001</v>
      </c>
      <c r="BH184">
        <v>0.34100000000000003</v>
      </c>
      <c r="BI184">
        <v>0.45100000000000001</v>
      </c>
      <c r="BJ184">
        <v>0.316</v>
      </c>
      <c r="BK184">
        <v>0.14699999999999999</v>
      </c>
      <c r="BL184">
        <v>0.10100000000000001</v>
      </c>
    </row>
    <row r="185" spans="1:64" x14ac:dyDescent="0.25">
      <c r="A185">
        <v>0.69599999999999995</v>
      </c>
      <c r="B185">
        <v>0.60799999999999998</v>
      </c>
      <c r="C185">
        <v>0.57399999999999995</v>
      </c>
      <c r="D185">
        <v>0.58599999999999997</v>
      </c>
      <c r="E185">
        <v>0.52400000000000002</v>
      </c>
      <c r="F185">
        <v>0.30599999999999999</v>
      </c>
      <c r="G185">
        <v>0.13500000000000001</v>
      </c>
      <c r="H185">
        <v>0.156</v>
      </c>
      <c r="I185">
        <v>0.255</v>
      </c>
      <c r="J185">
        <v>0.23599999999999999</v>
      </c>
      <c r="K185">
        <v>0.21299999999999999</v>
      </c>
      <c r="L185">
        <v>0.311</v>
      </c>
      <c r="M185">
        <v>0.45400000000000001</v>
      </c>
      <c r="N185">
        <v>0.56399999999999995</v>
      </c>
      <c r="O185">
        <v>0.627</v>
      </c>
      <c r="P185">
        <v>0.61099999999999999</v>
      </c>
      <c r="Q185">
        <v>0.59499999999999997</v>
      </c>
      <c r="R185">
        <v>0.65600000000000003</v>
      </c>
      <c r="S185">
        <v>0.75</v>
      </c>
      <c r="T185">
        <v>0.82699999999999996</v>
      </c>
      <c r="U185">
        <v>0.84899999999999998</v>
      </c>
      <c r="V185">
        <v>0.81299999999999994</v>
      </c>
      <c r="W185">
        <v>0.80500000000000005</v>
      </c>
      <c r="X185">
        <v>0.82</v>
      </c>
      <c r="Y185">
        <v>0.80900000000000005</v>
      </c>
      <c r="Z185">
        <v>0.81499999999999995</v>
      </c>
      <c r="AA185">
        <v>0.79700000000000004</v>
      </c>
      <c r="AB185">
        <v>0.78300000000000003</v>
      </c>
      <c r="AC185">
        <v>0.752</v>
      </c>
      <c r="AD185">
        <v>0.80100000000000005</v>
      </c>
      <c r="AE185">
        <v>0.82299999999999995</v>
      </c>
      <c r="AF185">
        <v>0.80700000000000005</v>
      </c>
      <c r="AG185">
        <v>0.81799999999999995</v>
      </c>
      <c r="AH185">
        <v>0.79400000000000004</v>
      </c>
      <c r="AI185">
        <v>0.69299999999999995</v>
      </c>
      <c r="AJ185">
        <v>0.58499999999999996</v>
      </c>
      <c r="AK185">
        <v>0.59399999999999997</v>
      </c>
      <c r="AL185">
        <v>0.73</v>
      </c>
      <c r="AM185">
        <v>0.753</v>
      </c>
      <c r="AN185">
        <v>0.58299999999999996</v>
      </c>
      <c r="AO185">
        <v>0.497</v>
      </c>
      <c r="AP185">
        <v>0.58799999999999997</v>
      </c>
      <c r="AQ185">
        <v>0.58899999999999997</v>
      </c>
      <c r="AR185">
        <v>0.49</v>
      </c>
      <c r="AS185">
        <v>0.307</v>
      </c>
      <c r="AT185">
        <v>0.14899999999999999</v>
      </c>
      <c r="AU185">
        <v>0.20899999999999999</v>
      </c>
      <c r="AV185">
        <v>0.31900000000000001</v>
      </c>
      <c r="AW185">
        <v>0.38300000000000001</v>
      </c>
      <c r="AX185">
        <v>0.36499999999999999</v>
      </c>
      <c r="AY185">
        <v>0.23899999999999999</v>
      </c>
      <c r="AZ185">
        <v>0.105</v>
      </c>
      <c r="BA185">
        <v>7.0000000000000001E-3</v>
      </c>
      <c r="BB185">
        <v>1.7000000000000001E-2</v>
      </c>
      <c r="BC185">
        <v>0.123</v>
      </c>
      <c r="BD185">
        <v>0.20399999999999999</v>
      </c>
      <c r="BE185">
        <v>0.33700000000000002</v>
      </c>
      <c r="BF185">
        <v>0.39500000000000002</v>
      </c>
      <c r="BG185">
        <v>0.29199999999999998</v>
      </c>
      <c r="BH185">
        <v>0.32200000000000001</v>
      </c>
      <c r="BI185">
        <v>0.42899999999999999</v>
      </c>
      <c r="BJ185">
        <v>0.38</v>
      </c>
      <c r="BK185">
        <v>0.23400000000000001</v>
      </c>
      <c r="BL185">
        <v>9.6000000000000002E-2</v>
      </c>
    </row>
    <row r="186" spans="1:64" x14ac:dyDescent="0.25">
      <c r="A186">
        <v>0.57899999999999996</v>
      </c>
      <c r="B186">
        <v>0.55900000000000005</v>
      </c>
      <c r="C186">
        <v>0.56799999999999995</v>
      </c>
      <c r="D186">
        <v>0.51300000000000001</v>
      </c>
      <c r="E186">
        <v>0.44400000000000001</v>
      </c>
      <c r="F186">
        <v>0.41099999999999998</v>
      </c>
      <c r="G186">
        <v>0.42299999999999999</v>
      </c>
      <c r="H186">
        <v>0.45300000000000001</v>
      </c>
      <c r="I186">
        <v>0.45600000000000002</v>
      </c>
      <c r="J186">
        <v>0.23899999999999999</v>
      </c>
      <c r="K186">
        <v>-3.3000000000000002E-2</v>
      </c>
      <c r="L186">
        <v>2.3E-2</v>
      </c>
      <c r="M186">
        <v>0.30099999999999999</v>
      </c>
      <c r="N186">
        <v>0.42199999999999999</v>
      </c>
      <c r="O186">
        <v>0.47099999999999997</v>
      </c>
      <c r="P186">
        <v>0.57299999999999995</v>
      </c>
      <c r="Q186">
        <v>0.69499999999999995</v>
      </c>
      <c r="R186">
        <v>0.71099999999999997</v>
      </c>
      <c r="S186">
        <v>0.69699999999999995</v>
      </c>
      <c r="T186">
        <v>0.70899999999999996</v>
      </c>
      <c r="U186">
        <v>0.73699999999999999</v>
      </c>
      <c r="V186">
        <v>0.78</v>
      </c>
      <c r="W186">
        <v>0.81299999999999994</v>
      </c>
      <c r="X186">
        <v>0.83599999999999997</v>
      </c>
      <c r="Y186">
        <v>0.80400000000000005</v>
      </c>
      <c r="Z186">
        <v>0.76600000000000001</v>
      </c>
      <c r="AA186">
        <v>0.72899999999999998</v>
      </c>
      <c r="AB186">
        <v>0.71899999999999997</v>
      </c>
      <c r="AC186">
        <v>0.68500000000000005</v>
      </c>
      <c r="AD186">
        <v>0.751</v>
      </c>
      <c r="AE186">
        <v>0.83599999999999997</v>
      </c>
      <c r="AF186">
        <v>0.82599999999999996</v>
      </c>
      <c r="AG186">
        <v>0.84</v>
      </c>
      <c r="AH186">
        <v>0.76800000000000002</v>
      </c>
      <c r="AI186">
        <v>0.61299999999999999</v>
      </c>
      <c r="AJ186">
        <v>0.48499999999999999</v>
      </c>
      <c r="AK186">
        <v>0.45600000000000002</v>
      </c>
      <c r="AL186">
        <v>0.67500000000000004</v>
      </c>
      <c r="AM186">
        <v>0.81</v>
      </c>
      <c r="AN186">
        <v>0.73899999999999999</v>
      </c>
      <c r="AO186">
        <v>0.61199999999999999</v>
      </c>
      <c r="AP186">
        <v>0.59499999999999997</v>
      </c>
      <c r="AQ186">
        <v>0.56799999999999995</v>
      </c>
      <c r="AR186">
        <v>0.35</v>
      </c>
      <c r="AS186">
        <v>0.14499999999999999</v>
      </c>
      <c r="AT186">
        <v>0.26800000000000002</v>
      </c>
      <c r="AU186">
        <v>0.37</v>
      </c>
      <c r="AV186">
        <v>0.47899999999999998</v>
      </c>
      <c r="AW186">
        <v>0.505</v>
      </c>
      <c r="AX186">
        <v>0.22500000000000001</v>
      </c>
      <c r="AY186">
        <v>8.0000000000000002E-3</v>
      </c>
      <c r="AZ186">
        <v>-4.2000000000000003E-2</v>
      </c>
      <c r="BA186">
        <v>-0.19600000000000001</v>
      </c>
      <c r="BB186">
        <v>-0.27400000000000002</v>
      </c>
      <c r="BC186">
        <v>-0.14000000000000001</v>
      </c>
      <c r="BD186">
        <v>0.109</v>
      </c>
      <c r="BE186">
        <v>0.311</v>
      </c>
      <c r="BF186">
        <v>0.438</v>
      </c>
      <c r="BG186">
        <v>0.33500000000000002</v>
      </c>
      <c r="BH186">
        <v>0.13300000000000001</v>
      </c>
      <c r="BI186">
        <v>9.1999999999999998E-2</v>
      </c>
      <c r="BJ186">
        <v>0.13800000000000001</v>
      </c>
      <c r="BK186">
        <v>0.153</v>
      </c>
      <c r="BL186">
        <v>0.28199999999999997</v>
      </c>
    </row>
    <row r="187" spans="1:64" x14ac:dyDescent="0.25">
      <c r="A187">
        <v>3.3000000000000002E-2</v>
      </c>
      <c r="B187">
        <v>0.17699999999999999</v>
      </c>
      <c r="C187">
        <v>0.33300000000000002</v>
      </c>
      <c r="D187">
        <v>0.36199999999999999</v>
      </c>
      <c r="E187">
        <v>0.40200000000000002</v>
      </c>
      <c r="F187">
        <v>0.35099999999999998</v>
      </c>
      <c r="G187">
        <v>0.28899999999999998</v>
      </c>
      <c r="H187">
        <v>0.159</v>
      </c>
      <c r="I187">
        <v>-3.5000000000000003E-2</v>
      </c>
      <c r="J187">
        <v>-8.9999999999999993E-3</v>
      </c>
      <c r="K187">
        <v>0.11700000000000001</v>
      </c>
      <c r="L187">
        <v>0.20100000000000001</v>
      </c>
      <c r="M187">
        <v>0.28399999999999997</v>
      </c>
      <c r="N187">
        <v>0.36599999999999999</v>
      </c>
      <c r="O187">
        <v>0.39</v>
      </c>
      <c r="P187">
        <v>0.40100000000000002</v>
      </c>
      <c r="Q187">
        <v>0.56699999999999995</v>
      </c>
      <c r="R187">
        <v>0.67700000000000005</v>
      </c>
      <c r="S187">
        <v>0.68200000000000005</v>
      </c>
      <c r="T187">
        <v>0.623</v>
      </c>
      <c r="U187">
        <v>0.64300000000000002</v>
      </c>
      <c r="V187">
        <v>0.71699999999999997</v>
      </c>
      <c r="W187">
        <v>0.77200000000000002</v>
      </c>
      <c r="X187">
        <v>0.79300000000000004</v>
      </c>
      <c r="Y187">
        <v>0.77700000000000002</v>
      </c>
      <c r="Z187">
        <v>0.72499999999999998</v>
      </c>
      <c r="AA187">
        <v>0.75800000000000001</v>
      </c>
      <c r="AB187">
        <v>0.81499999999999995</v>
      </c>
      <c r="AC187">
        <v>0.82</v>
      </c>
      <c r="AD187">
        <v>0.76900000000000002</v>
      </c>
      <c r="AE187">
        <v>0.78900000000000003</v>
      </c>
      <c r="AF187">
        <v>0.76200000000000001</v>
      </c>
      <c r="AG187">
        <v>0.78100000000000003</v>
      </c>
      <c r="AH187">
        <v>0.70299999999999996</v>
      </c>
      <c r="AI187">
        <v>0.66200000000000003</v>
      </c>
      <c r="AJ187">
        <v>0.61899999999999999</v>
      </c>
      <c r="AK187">
        <v>0.497</v>
      </c>
      <c r="AL187">
        <v>0.44500000000000001</v>
      </c>
      <c r="AM187">
        <v>0.65100000000000002</v>
      </c>
      <c r="AN187">
        <v>0.67900000000000005</v>
      </c>
      <c r="AO187">
        <v>0.60099999999999998</v>
      </c>
      <c r="AP187">
        <v>0.53100000000000003</v>
      </c>
      <c r="AQ187">
        <v>0.309</v>
      </c>
      <c r="AR187">
        <v>0.16700000000000001</v>
      </c>
      <c r="AS187">
        <v>0.33100000000000002</v>
      </c>
      <c r="AT187">
        <v>0.374</v>
      </c>
      <c r="AU187">
        <v>0.25700000000000001</v>
      </c>
      <c r="AV187">
        <v>0.14899999999999999</v>
      </c>
      <c r="AW187">
        <v>0.24099999999999999</v>
      </c>
      <c r="AX187">
        <v>0.32400000000000001</v>
      </c>
      <c r="AY187">
        <v>0.36099999999999999</v>
      </c>
      <c r="AZ187">
        <v>0.22900000000000001</v>
      </c>
      <c r="BA187">
        <v>0.253</v>
      </c>
      <c r="BB187">
        <v>0.32400000000000001</v>
      </c>
      <c r="BC187">
        <v>0.23499999999999999</v>
      </c>
      <c r="BD187">
        <v>0.17100000000000001</v>
      </c>
      <c r="BE187">
        <v>0.28199999999999997</v>
      </c>
      <c r="BF187">
        <v>0.44600000000000001</v>
      </c>
      <c r="BG187">
        <v>0.46800000000000003</v>
      </c>
      <c r="BH187">
        <v>0.42</v>
      </c>
      <c r="BI187">
        <v>0.46400000000000002</v>
      </c>
      <c r="BJ187">
        <v>0.49199999999999999</v>
      </c>
      <c r="BK187">
        <v>0.52800000000000002</v>
      </c>
      <c r="BL187">
        <v>0.54300000000000004</v>
      </c>
    </row>
    <row r="188" spans="1:64" x14ac:dyDescent="0.25">
      <c r="A188">
        <v>-0.51300000000000001</v>
      </c>
      <c r="B188">
        <v>-0.27600000000000002</v>
      </c>
      <c r="C188">
        <v>0.19</v>
      </c>
      <c r="D188">
        <v>0.311</v>
      </c>
      <c r="E188">
        <v>0.13</v>
      </c>
      <c r="F188">
        <v>-3.4000000000000002E-2</v>
      </c>
      <c r="G188">
        <v>-3.4000000000000002E-2</v>
      </c>
      <c r="H188">
        <v>-9.4E-2</v>
      </c>
      <c r="I188">
        <v>-0.20300000000000001</v>
      </c>
      <c r="J188">
        <v>-1.6E-2</v>
      </c>
      <c r="K188">
        <v>0.214</v>
      </c>
      <c r="L188">
        <v>0.216</v>
      </c>
      <c r="M188">
        <v>0.14699999999999999</v>
      </c>
      <c r="N188">
        <v>5.2999999999999999E-2</v>
      </c>
      <c r="O188">
        <v>-8.0000000000000002E-3</v>
      </c>
      <c r="P188">
        <v>0.106</v>
      </c>
      <c r="Q188">
        <v>0.28799999999999998</v>
      </c>
      <c r="R188">
        <v>0.59699999999999998</v>
      </c>
      <c r="S188">
        <v>0.71</v>
      </c>
      <c r="T188">
        <v>0.63200000000000001</v>
      </c>
      <c r="U188">
        <v>0.53700000000000003</v>
      </c>
      <c r="V188">
        <v>0.53</v>
      </c>
      <c r="W188">
        <v>0.64900000000000002</v>
      </c>
      <c r="X188">
        <v>0.73799999999999999</v>
      </c>
      <c r="Y188">
        <v>0.74299999999999999</v>
      </c>
      <c r="Z188">
        <v>0.70799999999999996</v>
      </c>
      <c r="AA188">
        <v>0.82599999999999996</v>
      </c>
      <c r="AB188">
        <v>0.82399999999999995</v>
      </c>
      <c r="AC188">
        <v>0.82499999999999996</v>
      </c>
      <c r="AD188">
        <v>0.74399999999999999</v>
      </c>
      <c r="AE188">
        <v>0.63900000000000001</v>
      </c>
      <c r="AF188">
        <v>0.59799999999999998</v>
      </c>
      <c r="AG188">
        <v>0.63</v>
      </c>
      <c r="AH188">
        <v>0.70099999999999996</v>
      </c>
      <c r="AI188">
        <v>0.78700000000000003</v>
      </c>
      <c r="AJ188">
        <v>0.77500000000000002</v>
      </c>
      <c r="AK188">
        <v>0.65200000000000002</v>
      </c>
      <c r="AL188">
        <v>0.36299999999999999</v>
      </c>
      <c r="AM188">
        <v>0.38400000000000001</v>
      </c>
      <c r="AN188">
        <v>0.433</v>
      </c>
      <c r="AO188">
        <v>0.39100000000000001</v>
      </c>
      <c r="AP188">
        <v>0.33800000000000002</v>
      </c>
      <c r="AQ188">
        <v>0.27400000000000002</v>
      </c>
      <c r="AR188">
        <v>0.47799999999999998</v>
      </c>
      <c r="AS188">
        <v>0.57599999999999996</v>
      </c>
      <c r="AT188">
        <v>0.51800000000000002</v>
      </c>
      <c r="AU188">
        <v>0.29399999999999998</v>
      </c>
      <c r="AV188">
        <v>-8.1000000000000003E-2</v>
      </c>
      <c r="AW188">
        <v>-0.13100000000000001</v>
      </c>
      <c r="AX188">
        <v>0.24</v>
      </c>
      <c r="AY188">
        <v>0.47199999999999998</v>
      </c>
      <c r="AZ188">
        <v>0.52600000000000002</v>
      </c>
      <c r="BA188">
        <v>0.622</v>
      </c>
      <c r="BB188">
        <v>0.67400000000000004</v>
      </c>
      <c r="BC188">
        <v>0.59899999999999998</v>
      </c>
      <c r="BD188">
        <v>0.38</v>
      </c>
      <c r="BE188">
        <v>0.217</v>
      </c>
      <c r="BF188">
        <v>0.377</v>
      </c>
      <c r="BG188">
        <v>0.54900000000000004</v>
      </c>
      <c r="BH188">
        <v>0.53400000000000003</v>
      </c>
      <c r="BI188">
        <v>0.53800000000000003</v>
      </c>
      <c r="BJ188">
        <v>0.63900000000000001</v>
      </c>
      <c r="BK188">
        <v>0.68200000000000005</v>
      </c>
      <c r="BL188">
        <v>0.63100000000000001</v>
      </c>
    </row>
    <row r="189" spans="1:64" x14ac:dyDescent="0.25">
      <c r="A189">
        <v>-0.14899999999999999</v>
      </c>
      <c r="B189">
        <v>-0.127</v>
      </c>
      <c r="C189">
        <v>-7.4999999999999997E-2</v>
      </c>
      <c r="D189">
        <v>-7.0999999999999994E-2</v>
      </c>
      <c r="E189">
        <v>-0.13900000000000001</v>
      </c>
      <c r="F189">
        <v>-0.14299999999999999</v>
      </c>
      <c r="G189">
        <v>-0.126</v>
      </c>
      <c r="H189">
        <v>-1.6E-2</v>
      </c>
      <c r="I189">
        <v>0.20699999999999999</v>
      </c>
      <c r="J189">
        <v>0.26500000000000001</v>
      </c>
      <c r="K189">
        <v>0.248</v>
      </c>
      <c r="L189">
        <v>0.378</v>
      </c>
      <c r="M189">
        <v>0.37</v>
      </c>
      <c r="N189">
        <v>0.214</v>
      </c>
      <c r="O189">
        <v>0.17899999999999999</v>
      </c>
      <c r="P189">
        <v>0.33200000000000002</v>
      </c>
      <c r="Q189">
        <v>0.42899999999999999</v>
      </c>
      <c r="R189">
        <v>0.46300000000000002</v>
      </c>
      <c r="S189">
        <v>0.52200000000000002</v>
      </c>
      <c r="T189">
        <v>0.57999999999999996</v>
      </c>
      <c r="U189">
        <v>0.59699999999999998</v>
      </c>
      <c r="V189">
        <v>0.51800000000000002</v>
      </c>
      <c r="W189">
        <v>0.503</v>
      </c>
      <c r="X189">
        <v>0.57599999999999996</v>
      </c>
      <c r="Y189">
        <v>0.61099999999999999</v>
      </c>
      <c r="Z189">
        <v>0.628</v>
      </c>
      <c r="AA189">
        <v>0.73199999999999998</v>
      </c>
      <c r="AB189">
        <v>0.64200000000000002</v>
      </c>
      <c r="AC189">
        <v>0.624</v>
      </c>
      <c r="AD189">
        <v>0.65800000000000003</v>
      </c>
      <c r="AE189">
        <v>0.621</v>
      </c>
      <c r="AF189">
        <v>0.58199999999999996</v>
      </c>
      <c r="AG189">
        <v>0.63400000000000001</v>
      </c>
      <c r="AH189">
        <v>0.64900000000000002</v>
      </c>
      <c r="AI189">
        <v>0.60299999999999998</v>
      </c>
      <c r="AJ189">
        <v>0.59799999999999998</v>
      </c>
      <c r="AK189">
        <v>0.64</v>
      </c>
      <c r="AL189">
        <v>0.435</v>
      </c>
      <c r="AM189">
        <v>0.28899999999999998</v>
      </c>
      <c r="AN189">
        <v>0.33300000000000002</v>
      </c>
      <c r="AO189">
        <v>0.32500000000000001</v>
      </c>
      <c r="AP189">
        <v>0.309</v>
      </c>
      <c r="AQ189">
        <v>0.434</v>
      </c>
      <c r="AR189">
        <v>0.53100000000000003</v>
      </c>
      <c r="AS189">
        <v>0.45600000000000002</v>
      </c>
      <c r="AT189">
        <v>0.28199999999999997</v>
      </c>
      <c r="AU189">
        <v>8.6999999999999994E-2</v>
      </c>
      <c r="AV189">
        <v>-3.0000000000000001E-3</v>
      </c>
      <c r="AW189">
        <v>-1.0999999999999999E-2</v>
      </c>
      <c r="AX189">
        <v>0.08</v>
      </c>
      <c r="AY189">
        <v>0.30099999999999999</v>
      </c>
      <c r="AZ189">
        <v>0.50700000000000001</v>
      </c>
      <c r="BA189">
        <v>0.57199999999999995</v>
      </c>
      <c r="BB189">
        <v>0.45500000000000002</v>
      </c>
      <c r="BC189">
        <v>0.38100000000000001</v>
      </c>
      <c r="BD189">
        <v>0.40500000000000003</v>
      </c>
      <c r="BE189">
        <v>0.34799999999999998</v>
      </c>
      <c r="BF189">
        <v>0.32300000000000001</v>
      </c>
      <c r="BG189">
        <v>0.35799999999999998</v>
      </c>
      <c r="BH189">
        <v>0.27600000000000002</v>
      </c>
      <c r="BI189">
        <v>0.192</v>
      </c>
      <c r="BJ189">
        <v>0.318</v>
      </c>
      <c r="BK189">
        <v>0.5</v>
      </c>
      <c r="BL189">
        <v>0.59199999999999997</v>
      </c>
    </row>
    <row r="190" spans="1:64" x14ac:dyDescent="0.25">
      <c r="A190">
        <v>2.7E-2</v>
      </c>
      <c r="B190">
        <v>-0.17899999999999999</v>
      </c>
      <c r="C190">
        <v>-0.42499999999999999</v>
      </c>
      <c r="D190">
        <v>-0.495</v>
      </c>
      <c r="E190">
        <v>-0.372</v>
      </c>
      <c r="F190">
        <v>-0.04</v>
      </c>
      <c r="G190">
        <v>0.185</v>
      </c>
      <c r="H190">
        <v>0.314</v>
      </c>
      <c r="I190">
        <v>0.42099999999999999</v>
      </c>
      <c r="J190">
        <v>0.41399999999999998</v>
      </c>
      <c r="K190">
        <v>0.48699999999999999</v>
      </c>
      <c r="L190">
        <v>0.58199999999999996</v>
      </c>
      <c r="M190">
        <v>0.61899999999999999</v>
      </c>
      <c r="N190">
        <v>0.59199999999999997</v>
      </c>
      <c r="O190">
        <v>0.54800000000000004</v>
      </c>
      <c r="P190">
        <v>0.52100000000000002</v>
      </c>
      <c r="Q190">
        <v>0.38</v>
      </c>
      <c r="R190">
        <v>0.19700000000000001</v>
      </c>
      <c r="S190">
        <v>0.28299999999999997</v>
      </c>
      <c r="T190">
        <v>0.56200000000000006</v>
      </c>
      <c r="U190">
        <v>0.68500000000000005</v>
      </c>
      <c r="V190">
        <v>0.64200000000000002</v>
      </c>
      <c r="W190">
        <v>0.56499999999999995</v>
      </c>
      <c r="X190">
        <v>0.54100000000000004</v>
      </c>
      <c r="Y190">
        <v>0.56899999999999995</v>
      </c>
      <c r="Z190">
        <v>0.54300000000000004</v>
      </c>
      <c r="AA190">
        <v>0.54700000000000004</v>
      </c>
      <c r="AB190">
        <v>0.504</v>
      </c>
      <c r="AC190">
        <v>0.56100000000000005</v>
      </c>
      <c r="AD190">
        <v>0.63700000000000001</v>
      </c>
      <c r="AE190">
        <v>0.64400000000000002</v>
      </c>
      <c r="AF190">
        <v>0.61199999999999999</v>
      </c>
      <c r="AG190">
        <v>0.63800000000000001</v>
      </c>
      <c r="AH190">
        <v>0.57199999999999995</v>
      </c>
      <c r="AI190">
        <v>0.42099999999999999</v>
      </c>
      <c r="AJ190">
        <v>0.34899999999999998</v>
      </c>
      <c r="AK190">
        <v>0.47799999999999998</v>
      </c>
      <c r="AL190">
        <v>0.42899999999999999</v>
      </c>
      <c r="AM190">
        <v>0.27600000000000002</v>
      </c>
      <c r="AN190">
        <v>0.33300000000000002</v>
      </c>
      <c r="AO190">
        <v>0.39700000000000002</v>
      </c>
      <c r="AP190">
        <v>0.26300000000000001</v>
      </c>
      <c r="AQ190">
        <v>0.20799999999999999</v>
      </c>
      <c r="AR190">
        <v>0.154</v>
      </c>
      <c r="AS190">
        <v>-4.5999999999999999E-2</v>
      </c>
      <c r="AT190">
        <v>-5.7000000000000002E-2</v>
      </c>
      <c r="AU190">
        <v>0.10199999999999999</v>
      </c>
      <c r="AV190">
        <v>0.17899999999999999</v>
      </c>
      <c r="AW190">
        <v>0.185</v>
      </c>
      <c r="AX190">
        <v>0.28399999999999997</v>
      </c>
      <c r="AY190">
        <v>0.38100000000000001</v>
      </c>
      <c r="AZ190">
        <v>0.40600000000000003</v>
      </c>
      <c r="BA190">
        <v>0.39900000000000002</v>
      </c>
      <c r="BB190">
        <v>0.39700000000000002</v>
      </c>
      <c r="BC190">
        <v>0.39300000000000002</v>
      </c>
      <c r="BD190">
        <v>0.434</v>
      </c>
      <c r="BE190">
        <v>0.42699999999999999</v>
      </c>
      <c r="BF190">
        <v>0.308</v>
      </c>
      <c r="BG190">
        <v>0.186</v>
      </c>
      <c r="BH190">
        <v>0.125</v>
      </c>
      <c r="BI190">
        <v>4.1000000000000002E-2</v>
      </c>
      <c r="BJ190">
        <v>0.125</v>
      </c>
      <c r="BK190">
        <v>0.34599999999999997</v>
      </c>
      <c r="BL190">
        <v>0.50600000000000001</v>
      </c>
    </row>
    <row r="191" spans="1:64" x14ac:dyDescent="0.25">
      <c r="A191">
        <v>2.5999999999999999E-2</v>
      </c>
      <c r="B191">
        <v>8.0000000000000002E-3</v>
      </c>
      <c r="C191">
        <v>-0.105</v>
      </c>
      <c r="D191">
        <v>-0.28199999999999997</v>
      </c>
      <c r="E191">
        <v>-0.30399999999999999</v>
      </c>
      <c r="F191">
        <v>-0.2</v>
      </c>
      <c r="G191">
        <v>-0.17899999999999999</v>
      </c>
      <c r="H191">
        <v>-0.223</v>
      </c>
      <c r="I191">
        <v>-0.26500000000000001</v>
      </c>
      <c r="J191">
        <v>-0.23400000000000001</v>
      </c>
      <c r="K191">
        <v>-0.156</v>
      </c>
      <c r="L191">
        <v>-8.4000000000000005E-2</v>
      </c>
      <c r="M191">
        <v>0.107</v>
      </c>
      <c r="N191">
        <v>0.308</v>
      </c>
      <c r="O191">
        <v>0.33600000000000002</v>
      </c>
      <c r="P191">
        <v>0.29699999999999999</v>
      </c>
      <c r="Q191">
        <v>0.21199999999999999</v>
      </c>
      <c r="R191">
        <v>0.15</v>
      </c>
      <c r="S191">
        <v>0.187</v>
      </c>
      <c r="T191">
        <v>0.31</v>
      </c>
      <c r="U191">
        <v>0.47299999999999998</v>
      </c>
      <c r="V191">
        <v>0.54</v>
      </c>
      <c r="W191">
        <v>0.53400000000000003</v>
      </c>
      <c r="X191">
        <v>0.495</v>
      </c>
      <c r="Y191">
        <v>0.50900000000000001</v>
      </c>
      <c r="Z191">
        <v>0.57199999999999995</v>
      </c>
      <c r="AA191">
        <v>0.70399999999999996</v>
      </c>
      <c r="AB191">
        <v>0.70699999999999996</v>
      </c>
      <c r="AC191">
        <v>0.70499999999999996</v>
      </c>
      <c r="AD191">
        <v>0.71099999999999997</v>
      </c>
      <c r="AE191">
        <v>0.71499999999999997</v>
      </c>
      <c r="AF191">
        <v>0.65600000000000003</v>
      </c>
      <c r="AG191">
        <v>0.56100000000000005</v>
      </c>
      <c r="AH191">
        <v>0.63800000000000001</v>
      </c>
      <c r="AI191">
        <v>0.73399999999999999</v>
      </c>
      <c r="AJ191">
        <v>0.67600000000000005</v>
      </c>
      <c r="AK191">
        <v>0.56699999999999995</v>
      </c>
      <c r="AL191">
        <v>0.58799999999999997</v>
      </c>
      <c r="AM191">
        <v>0.48399999999999999</v>
      </c>
      <c r="AN191">
        <v>0.20799999999999999</v>
      </c>
      <c r="AO191">
        <v>0.161</v>
      </c>
      <c r="AP191">
        <v>0.33100000000000002</v>
      </c>
      <c r="AQ191">
        <v>0.317</v>
      </c>
      <c r="AR191">
        <v>0.221</v>
      </c>
      <c r="AS191">
        <v>0.17100000000000001</v>
      </c>
      <c r="AT191">
        <v>0.16200000000000001</v>
      </c>
      <c r="AU191">
        <v>0.28499999999999998</v>
      </c>
      <c r="AV191">
        <v>0.42599999999999999</v>
      </c>
      <c r="AW191">
        <v>0.49299999999999999</v>
      </c>
      <c r="AX191">
        <v>0.52</v>
      </c>
      <c r="AY191">
        <v>0.44500000000000001</v>
      </c>
      <c r="AZ191">
        <v>0.32900000000000001</v>
      </c>
      <c r="BA191">
        <v>0.26200000000000001</v>
      </c>
      <c r="BB191">
        <v>0.33400000000000002</v>
      </c>
      <c r="BC191">
        <v>0.48</v>
      </c>
      <c r="BD191">
        <v>0.58599999999999997</v>
      </c>
      <c r="BE191">
        <v>0.51700000000000002</v>
      </c>
      <c r="BF191">
        <v>0.47</v>
      </c>
      <c r="BG191">
        <v>0.47199999999999998</v>
      </c>
      <c r="BH191">
        <v>0.41099999999999998</v>
      </c>
      <c r="BI191">
        <v>0.32500000000000001</v>
      </c>
      <c r="BJ191">
        <v>0.22700000000000001</v>
      </c>
      <c r="BK191">
        <v>0.17899999999999999</v>
      </c>
      <c r="BL191">
        <v>0.27</v>
      </c>
    </row>
    <row r="192" spans="1:64" x14ac:dyDescent="0.25">
      <c r="A192">
        <v>-0.189</v>
      </c>
      <c r="B192">
        <v>0.02</v>
      </c>
      <c r="C192">
        <v>5.6000000000000001E-2</v>
      </c>
      <c r="D192">
        <v>-0.26900000000000002</v>
      </c>
      <c r="E192">
        <v>-0.54300000000000004</v>
      </c>
      <c r="F192">
        <v>-0.6</v>
      </c>
      <c r="G192">
        <v>-0.61199999999999999</v>
      </c>
      <c r="H192">
        <v>-0.66400000000000003</v>
      </c>
      <c r="I192">
        <v>-0.63400000000000001</v>
      </c>
      <c r="J192">
        <v>-0.55800000000000005</v>
      </c>
      <c r="K192">
        <v>-0.499</v>
      </c>
      <c r="L192">
        <v>-0.374</v>
      </c>
      <c r="M192">
        <v>-0.32700000000000001</v>
      </c>
      <c r="N192">
        <v>-0.23300000000000001</v>
      </c>
      <c r="O192">
        <v>-9.6000000000000002E-2</v>
      </c>
      <c r="P192">
        <v>-0.13600000000000001</v>
      </c>
      <c r="Q192">
        <v>-5.3999999999999999E-2</v>
      </c>
      <c r="R192">
        <v>4.0000000000000001E-3</v>
      </c>
      <c r="S192">
        <v>-0.11899999999999999</v>
      </c>
      <c r="T192">
        <v>-6.7000000000000004E-2</v>
      </c>
      <c r="U192">
        <v>0.16700000000000001</v>
      </c>
      <c r="V192">
        <v>0.25900000000000001</v>
      </c>
      <c r="W192">
        <v>0.183</v>
      </c>
      <c r="X192">
        <v>0.34300000000000003</v>
      </c>
      <c r="Y192">
        <v>0.59699999999999998</v>
      </c>
      <c r="Z192">
        <v>0.67600000000000005</v>
      </c>
      <c r="AA192">
        <v>0.73</v>
      </c>
      <c r="AB192">
        <v>0.70099999999999996</v>
      </c>
      <c r="AC192">
        <v>0.70799999999999996</v>
      </c>
      <c r="AD192">
        <v>0.66900000000000004</v>
      </c>
      <c r="AE192">
        <v>0.57299999999999995</v>
      </c>
      <c r="AF192">
        <v>0.50800000000000001</v>
      </c>
      <c r="AG192">
        <v>0.56100000000000005</v>
      </c>
      <c r="AH192">
        <v>0.67</v>
      </c>
      <c r="AI192">
        <v>0.71299999999999997</v>
      </c>
      <c r="AJ192">
        <v>0.71299999999999997</v>
      </c>
      <c r="AK192">
        <v>0.65800000000000003</v>
      </c>
      <c r="AL192">
        <v>0.60299999999999998</v>
      </c>
      <c r="AM192">
        <v>0.51600000000000001</v>
      </c>
      <c r="AN192">
        <v>0.12</v>
      </c>
      <c r="AO192">
        <v>-0.113</v>
      </c>
      <c r="AP192">
        <v>0.16900000000000001</v>
      </c>
      <c r="AQ192">
        <v>0.38800000000000001</v>
      </c>
      <c r="AR192">
        <v>0.38600000000000001</v>
      </c>
      <c r="AS192">
        <v>0.42499999999999999</v>
      </c>
      <c r="AT192">
        <v>0.32100000000000001</v>
      </c>
      <c r="AU192">
        <v>0.14099999999999999</v>
      </c>
      <c r="AV192">
        <v>0.23400000000000001</v>
      </c>
      <c r="AW192">
        <v>0.36199999999999999</v>
      </c>
      <c r="AX192">
        <v>0.35199999999999998</v>
      </c>
      <c r="AY192">
        <v>0.20200000000000001</v>
      </c>
      <c r="AZ192">
        <v>3.6999999999999998E-2</v>
      </c>
      <c r="BA192">
        <v>3.9E-2</v>
      </c>
      <c r="BB192">
        <v>0.32100000000000001</v>
      </c>
      <c r="BC192">
        <v>0.627</v>
      </c>
      <c r="BD192">
        <v>0.71799999999999997</v>
      </c>
      <c r="BE192">
        <v>0.66100000000000003</v>
      </c>
      <c r="BF192">
        <v>0.57599999999999996</v>
      </c>
      <c r="BG192">
        <v>0.65100000000000002</v>
      </c>
      <c r="BH192">
        <v>0.69499999999999995</v>
      </c>
      <c r="BI192">
        <v>0.58199999999999996</v>
      </c>
      <c r="BJ192">
        <v>0.36799999999999999</v>
      </c>
      <c r="BK192">
        <v>0.17</v>
      </c>
      <c r="BL192">
        <v>0.183</v>
      </c>
    </row>
    <row r="193" spans="1:64" x14ac:dyDescent="0.25">
      <c r="A193">
        <v>-0.32100000000000001</v>
      </c>
      <c r="B193">
        <v>-0.40600000000000003</v>
      </c>
      <c r="C193">
        <v>-0.39500000000000002</v>
      </c>
      <c r="D193">
        <v>-0.39800000000000002</v>
      </c>
      <c r="E193">
        <v>-0.47799999999999998</v>
      </c>
      <c r="F193">
        <v>-0.499</v>
      </c>
      <c r="G193">
        <v>-0.52500000000000002</v>
      </c>
      <c r="H193">
        <v>-0.64700000000000002</v>
      </c>
      <c r="I193">
        <v>-0.65600000000000003</v>
      </c>
      <c r="J193">
        <v>-0.55000000000000004</v>
      </c>
      <c r="K193">
        <v>-0.40699999999999997</v>
      </c>
      <c r="L193">
        <v>-0.27</v>
      </c>
      <c r="M193">
        <v>-0.30499999999999999</v>
      </c>
      <c r="N193">
        <v>-0.47199999999999998</v>
      </c>
      <c r="O193">
        <v>-0.53600000000000003</v>
      </c>
      <c r="P193">
        <v>-0.51200000000000001</v>
      </c>
      <c r="Q193">
        <v>-0.44400000000000001</v>
      </c>
      <c r="R193">
        <v>-0.35799999999999998</v>
      </c>
      <c r="S193">
        <v>-0.20100000000000001</v>
      </c>
      <c r="T193">
        <v>-6.2E-2</v>
      </c>
      <c r="U193">
        <v>-2E-3</v>
      </c>
      <c r="V193">
        <v>0.105</v>
      </c>
      <c r="W193">
        <v>0.32100000000000001</v>
      </c>
      <c r="X193">
        <v>0.44</v>
      </c>
      <c r="Y193">
        <v>0.503</v>
      </c>
      <c r="Z193">
        <v>0.46500000000000002</v>
      </c>
      <c r="AA193">
        <v>0.45200000000000001</v>
      </c>
      <c r="AB193">
        <v>0.42299999999999999</v>
      </c>
      <c r="AC193">
        <v>0.54</v>
      </c>
      <c r="AD193">
        <v>0.61</v>
      </c>
      <c r="AE193">
        <v>0.55200000000000005</v>
      </c>
      <c r="AF193">
        <v>0.57899999999999996</v>
      </c>
      <c r="AG193">
        <v>0.60899999999999999</v>
      </c>
      <c r="AH193">
        <v>0.53600000000000003</v>
      </c>
      <c r="AI193">
        <v>0.47499999999999998</v>
      </c>
      <c r="AJ193">
        <v>0.50700000000000001</v>
      </c>
      <c r="AK193">
        <v>0.46899999999999997</v>
      </c>
      <c r="AL193">
        <v>0.29699999999999999</v>
      </c>
      <c r="AM193">
        <v>0.20100000000000001</v>
      </c>
      <c r="AN193">
        <v>0.27700000000000002</v>
      </c>
      <c r="AO193">
        <v>0.252</v>
      </c>
      <c r="AP193">
        <v>0.159</v>
      </c>
      <c r="AQ193">
        <v>0.129</v>
      </c>
      <c r="AR193">
        <v>4.2000000000000003E-2</v>
      </c>
      <c r="AS193">
        <v>2.1000000000000001E-2</v>
      </c>
      <c r="AT193">
        <v>0.13600000000000001</v>
      </c>
      <c r="AU193">
        <v>0.2</v>
      </c>
      <c r="AV193">
        <v>0.16800000000000001</v>
      </c>
      <c r="AW193">
        <v>8.5000000000000006E-2</v>
      </c>
      <c r="AX193">
        <v>-2.4E-2</v>
      </c>
      <c r="AY193">
        <v>3.0000000000000001E-3</v>
      </c>
      <c r="AZ193">
        <v>0.1</v>
      </c>
      <c r="BA193">
        <v>0.26300000000000001</v>
      </c>
      <c r="BB193">
        <v>0.437</v>
      </c>
      <c r="BC193">
        <v>0.56000000000000005</v>
      </c>
      <c r="BD193">
        <v>0.62</v>
      </c>
      <c r="BE193">
        <v>0.624</v>
      </c>
      <c r="BF193">
        <v>0.58199999999999996</v>
      </c>
      <c r="BG193">
        <v>0.61</v>
      </c>
      <c r="BH193">
        <v>0.69699999999999995</v>
      </c>
      <c r="BI193">
        <v>0.66800000000000004</v>
      </c>
      <c r="BJ193">
        <v>0.52400000000000002</v>
      </c>
      <c r="BK193">
        <v>0.31900000000000001</v>
      </c>
      <c r="BL193">
        <v>0.17599999999999999</v>
      </c>
    </row>
    <row r="194" spans="1:64" x14ac:dyDescent="0.25">
      <c r="A194">
        <v>0.126</v>
      </c>
      <c r="B194">
        <v>-0.23499999999999999</v>
      </c>
      <c r="C194">
        <v>-0.41899999999999998</v>
      </c>
      <c r="D194">
        <v>-0.314</v>
      </c>
      <c r="E194">
        <v>-0.30099999999999999</v>
      </c>
      <c r="F194">
        <v>-0.39800000000000002</v>
      </c>
      <c r="G194">
        <v>-0.38100000000000001</v>
      </c>
      <c r="H194">
        <v>-0.50800000000000001</v>
      </c>
      <c r="I194">
        <v>-0.72299999999999998</v>
      </c>
      <c r="J194">
        <v>-0.65</v>
      </c>
      <c r="K194">
        <v>-0.44600000000000001</v>
      </c>
      <c r="L194">
        <v>-0.40400000000000003</v>
      </c>
      <c r="M194">
        <v>-0.42499999999999999</v>
      </c>
      <c r="N194">
        <v>-0.51600000000000001</v>
      </c>
      <c r="O194">
        <v>-0.61599999999999999</v>
      </c>
      <c r="P194">
        <v>-0.64900000000000002</v>
      </c>
      <c r="Q194">
        <v>-0.622</v>
      </c>
      <c r="R194">
        <v>-0.32800000000000001</v>
      </c>
      <c r="S194">
        <v>0.156</v>
      </c>
      <c r="T194">
        <v>0.27</v>
      </c>
      <c r="U194">
        <v>0.21</v>
      </c>
      <c r="V194">
        <v>0.21299999999999999</v>
      </c>
      <c r="W194">
        <v>0.36</v>
      </c>
      <c r="X194">
        <v>0.39900000000000002</v>
      </c>
      <c r="Y194">
        <v>0.40799999999999997</v>
      </c>
      <c r="Z194">
        <v>0.39900000000000002</v>
      </c>
      <c r="AA194">
        <v>0.42799999999999999</v>
      </c>
      <c r="AB194">
        <v>0.374</v>
      </c>
      <c r="AC194">
        <v>0.36499999999999999</v>
      </c>
      <c r="AD194">
        <v>0.43099999999999999</v>
      </c>
      <c r="AE194">
        <v>0.56599999999999995</v>
      </c>
      <c r="AF194">
        <v>0.65</v>
      </c>
      <c r="AG194">
        <v>0.66</v>
      </c>
      <c r="AH194">
        <v>0.54700000000000004</v>
      </c>
      <c r="AI194">
        <v>0.376</v>
      </c>
      <c r="AJ194">
        <v>0.14399999999999999</v>
      </c>
      <c r="AK194">
        <v>5.7000000000000002E-2</v>
      </c>
      <c r="AL194">
        <v>5.2999999999999999E-2</v>
      </c>
      <c r="AM194">
        <v>0.13400000000000001</v>
      </c>
      <c r="AN194">
        <v>0.374</v>
      </c>
      <c r="AO194">
        <v>0.47299999999999998</v>
      </c>
      <c r="AP194">
        <v>0.33200000000000002</v>
      </c>
      <c r="AQ194">
        <v>0.14799999999999999</v>
      </c>
      <c r="AR194">
        <v>6.2E-2</v>
      </c>
      <c r="AS194">
        <v>-1.7000000000000001E-2</v>
      </c>
      <c r="AT194">
        <v>-3.5000000000000003E-2</v>
      </c>
      <c r="AU194">
        <v>0.127</v>
      </c>
      <c r="AV194">
        <v>0.28699999999999998</v>
      </c>
      <c r="AW194">
        <v>0.30399999999999999</v>
      </c>
      <c r="AX194">
        <v>0.11600000000000001</v>
      </c>
      <c r="AY194">
        <v>2.9000000000000001E-2</v>
      </c>
      <c r="AZ194">
        <v>6.3E-2</v>
      </c>
      <c r="BA194">
        <v>0.17799999999999999</v>
      </c>
      <c r="BB194">
        <v>0.28799999999999998</v>
      </c>
      <c r="BC194">
        <v>0.439</v>
      </c>
      <c r="BD194">
        <v>0.56799999999999995</v>
      </c>
      <c r="BE194">
        <v>0.55500000000000005</v>
      </c>
      <c r="BF194">
        <v>0.55500000000000005</v>
      </c>
      <c r="BG194">
        <v>0.54100000000000004</v>
      </c>
      <c r="BH194">
        <v>0.54200000000000004</v>
      </c>
      <c r="BI194">
        <v>0.59299999999999997</v>
      </c>
      <c r="BJ194">
        <v>0.46600000000000003</v>
      </c>
      <c r="BK194">
        <v>0.20300000000000001</v>
      </c>
      <c r="BL194">
        <v>8.5999999999999993E-2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Surface 06 01</vt:lpstr>
      <vt:lpstr>Surface Shader Good</vt:lpstr>
      <vt:lpstr>Surface Shader</vt:lpstr>
      <vt:lpstr>Shade &amp; Bitdepth</vt:lpstr>
      <vt:lpstr>Four Pass</vt:lpstr>
      <vt:lpstr>Two Pass</vt:lpstr>
      <vt:lpstr> Single Pass</vt:lpstr>
      <vt:lpstr>Spider with Data</vt:lpstr>
      <vt:lpstr>Surf</vt:lpstr>
      <vt:lpstr>Four</vt:lpstr>
      <vt:lpstr>Shade - 1</vt:lpstr>
      <vt:lpstr>Spider - Original</vt:lpstr>
      <vt:lpstr>Value</vt:lpstr>
      <vt:lpstr>Vertex</vt:lpstr>
      <vt:lpstr>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Edwards</dc:creator>
  <cp:lastModifiedBy>Gareth Edwards</cp:lastModifiedBy>
  <cp:lastPrinted>2019-12-26T07:44:47Z</cp:lastPrinted>
  <dcterms:created xsi:type="dcterms:W3CDTF">2019-12-09T09:05:04Z</dcterms:created>
  <dcterms:modified xsi:type="dcterms:W3CDTF">2020-01-08T11:27:35Z</dcterms:modified>
</cp:coreProperties>
</file>