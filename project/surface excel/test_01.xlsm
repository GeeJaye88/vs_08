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et\Desktop\"/>
    </mc:Choice>
  </mc:AlternateContent>
  <xr:revisionPtr revIDLastSave="0" documentId="13_ncr:1_{22224F5D-A6BE-445B-8CE2-8D23912801A4}" xr6:coauthVersionLast="41" xr6:coauthVersionMax="41" xr10:uidLastSave="{00000000-0000-0000-0000-000000000000}"/>
  <bookViews>
    <workbookView xWindow="-20610" yWindow="-120" windowWidth="20730" windowHeight="11760" activeTab="1" xr2:uid="{00000000-000D-0000-FFFF-FFFF00000000}"/>
  </bookViews>
  <sheets>
    <sheet name="Sheet1" sheetId="1" r:id="rId1"/>
    <sheet name="Rotate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2" l="1"/>
  <c r="E21" i="2"/>
  <c r="L12" i="3"/>
  <c r="L8" i="3"/>
  <c r="I23" i="2" l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F19" i="2"/>
  <c r="E19" i="2"/>
  <c r="E29" i="2" s="1"/>
  <c r="J22" i="2" s="1"/>
  <c r="F17" i="2"/>
  <c r="E17" i="2"/>
  <c r="F16" i="2"/>
  <c r="E16" i="2"/>
  <c r="E13" i="2"/>
  <c r="F14" i="2"/>
  <c r="E14" i="2"/>
  <c r="F13" i="2"/>
  <c r="E35" i="2"/>
  <c r="E27" i="2"/>
  <c r="F11" i="2"/>
  <c r="E11" i="2"/>
  <c r="E26" i="2" s="1"/>
  <c r="F8" i="2"/>
  <c r="E23" i="2" s="1"/>
  <c r="E8" i="2"/>
  <c r="E30" i="2" s="1"/>
  <c r="K22" i="2" s="1"/>
  <c r="L23" i="2" l="1"/>
  <c r="L27" i="2"/>
  <c r="L31" i="2"/>
  <c r="L35" i="2"/>
  <c r="L39" i="2"/>
  <c r="L24" i="2"/>
  <c r="L28" i="2"/>
  <c r="L32" i="2"/>
  <c r="L36" i="2"/>
  <c r="L40" i="2"/>
  <c r="L25" i="2"/>
  <c r="L29" i="2"/>
  <c r="L33" i="2"/>
  <c r="L37" i="2"/>
  <c r="L22" i="2"/>
  <c r="L26" i="2"/>
  <c r="L30" i="2"/>
  <c r="L34" i="2"/>
  <c r="L38" i="2"/>
  <c r="M26" i="2"/>
  <c r="M30" i="2"/>
  <c r="M34" i="2"/>
  <c r="M38" i="2"/>
  <c r="M23" i="2"/>
  <c r="M27" i="2"/>
  <c r="M31" i="2"/>
  <c r="M35" i="2"/>
  <c r="M39" i="2"/>
  <c r="M24" i="2"/>
  <c r="M28" i="2"/>
  <c r="M32" i="2"/>
  <c r="M36" i="2"/>
  <c r="M40" i="2"/>
  <c r="M25" i="2"/>
  <c r="M29" i="2"/>
  <c r="M33" i="2"/>
  <c r="M37" i="2"/>
  <c r="M22" i="2"/>
  <c r="E22" i="2"/>
  <c r="E25" i="2"/>
  <c r="E33" i="2" s="1"/>
  <c r="D28" i="3"/>
  <c r="K5" i="3"/>
  <c r="D21" i="3"/>
  <c r="K8" i="3" s="1"/>
  <c r="D20" i="3"/>
  <c r="D31" i="3"/>
  <c r="D32" i="3"/>
  <c r="D5" i="3"/>
  <c r="D11" i="3" s="1"/>
  <c r="E23" i="3"/>
  <c r="D23" i="3"/>
  <c r="E22" i="3"/>
  <c r="L11" i="3" s="1"/>
  <c r="D10" i="3"/>
  <c r="D22" i="3" s="1"/>
  <c r="N31" i="2" l="1"/>
  <c r="E36" i="2"/>
  <c r="F32" i="2"/>
  <c r="F33" i="2"/>
  <c r="E20" i="3"/>
  <c r="L9" i="3"/>
  <c r="L6" i="3"/>
  <c r="D33" i="3"/>
  <c r="D38" i="3"/>
  <c r="D37" i="3"/>
  <c r="K9" i="3"/>
  <c r="K6" i="3"/>
  <c r="K11" i="3"/>
  <c r="L15" i="3"/>
  <c r="K15" i="3"/>
  <c r="L14" i="3"/>
  <c r="K14" i="3"/>
  <c r="K12" i="3"/>
  <c r="E32" i="3"/>
  <c r="E31" i="3"/>
  <c r="E21" i="3"/>
  <c r="C21" i="1"/>
  <c r="D20" i="1"/>
  <c r="C20" i="1"/>
  <c r="C11" i="1"/>
  <c r="C15" i="1"/>
  <c r="C16" i="1"/>
  <c r="D12" i="1"/>
  <c r="F20" i="3"/>
  <c r="F21" i="3"/>
  <c r="F36" i="2" l="1"/>
  <c r="F31" i="3"/>
  <c r="E38" i="3"/>
  <c r="E37" i="3"/>
  <c r="L5" i="3"/>
  <c r="D40" i="3"/>
  <c r="E42" i="3" s="1"/>
  <c r="D39" i="3"/>
  <c r="E41" i="3" s="1"/>
  <c r="F32" i="3"/>
  <c r="D13" i="1"/>
  <c r="C13" i="1"/>
  <c r="D11" i="1"/>
  <c r="C5" i="1"/>
  <c r="C12" i="1" s="1"/>
  <c r="D42" i="3" l="1"/>
  <c r="D41" i="3"/>
  <c r="D18" i="1"/>
  <c r="C18" i="1"/>
  <c r="F38" i="3"/>
  <c r="F37" i="3"/>
  <c r="G31" i="3" l="1"/>
  <c r="G32" i="3"/>
</calcChain>
</file>

<file path=xl/sharedStrings.xml><?xml version="1.0" encoding="utf-8"?>
<sst xmlns="http://schemas.openxmlformats.org/spreadsheetml/2006/main" count="85" uniqueCount="58">
  <si>
    <t>Width</t>
  </si>
  <si>
    <t>Surface</t>
  </si>
  <si>
    <t>Cels</t>
  </si>
  <si>
    <t>Inc</t>
  </si>
  <si>
    <t>Base</t>
  </si>
  <si>
    <t>Cel</t>
  </si>
  <si>
    <t>X</t>
  </si>
  <si>
    <t>Y</t>
  </si>
  <si>
    <t>A</t>
  </si>
  <si>
    <t>B</t>
  </si>
  <si>
    <t>Theta</t>
  </si>
  <si>
    <t>P</t>
  </si>
  <si>
    <t>Item</t>
  </si>
  <si>
    <t>Min</t>
  </si>
  <si>
    <t>Max</t>
  </si>
  <si>
    <t>D</t>
  </si>
  <si>
    <t>L</t>
  </si>
  <si>
    <t>Cos</t>
  </si>
  <si>
    <t>=</t>
  </si>
  <si>
    <t>Point</t>
  </si>
  <si>
    <t>Y max</t>
  </si>
  <si>
    <t>Y min</t>
  </si>
  <si>
    <t>Rotation</t>
  </si>
  <si>
    <t>Intensity</t>
  </si>
  <si>
    <t>Light A</t>
  </si>
  <si>
    <t>Lights</t>
  </si>
  <si>
    <t>Light B</t>
  </si>
  <si>
    <t>Dif A</t>
  </si>
  <si>
    <t>Dif B</t>
  </si>
  <si>
    <t>L A</t>
  </si>
  <si>
    <t>L B</t>
  </si>
  <si>
    <t>Norm A</t>
  </si>
  <si>
    <t>Norm B</t>
  </si>
  <si>
    <t>Col at Y</t>
  </si>
  <si>
    <t>Image</t>
  </si>
  <si>
    <t>?</t>
  </si>
  <si>
    <t>Col at Y 0</t>
  </si>
  <si>
    <t>Normal to light</t>
  </si>
  <si>
    <t>Shader</t>
  </si>
  <si>
    <t>Surface Norm</t>
  </si>
  <si>
    <t>C</t>
  </si>
  <si>
    <t>c</t>
  </si>
  <si>
    <t>L1</t>
  </si>
  <si>
    <t>L2</t>
  </si>
  <si>
    <t>a</t>
  </si>
  <si>
    <t>xd</t>
  </si>
  <si>
    <t>yd</t>
  </si>
  <si>
    <t>b</t>
  </si>
  <si>
    <t>Height</t>
  </si>
  <si>
    <t>C inc a</t>
  </si>
  <si>
    <t>m</t>
  </si>
  <si>
    <t>L1 to m</t>
  </si>
  <si>
    <t>m to L2</t>
  </si>
  <si>
    <t>O1</t>
  </si>
  <si>
    <t>O2</t>
  </si>
  <si>
    <t>A1</t>
  </si>
  <si>
    <t>A2</t>
  </si>
  <si>
    <t>C inc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</si>
</sst>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1" fillId="0" borderId="4" xfId="0" applyFont="1" applyBorder="1"/>
    <xf numFmtId="0" fontId="0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/>
    <xf numFmtId="2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1" fillId="0" borderId="9" xfId="0" applyNumberFormat="1" applyFont="1" applyBorder="1" applyAlignment="1">
      <alignment horizontal="right" vertical="center"/>
    </xf>
    <xf numFmtId="2" fontId="1" fillId="0" borderId="11" xfId="0" applyNumberFormat="1" applyFont="1" applyBorder="1" applyAlignment="1">
      <alignment horizontal="right"/>
    </xf>
    <xf numFmtId="2" fontId="1" fillId="0" borderId="12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2" fontId="2" fillId="0" borderId="0" xfId="0" applyNumberFormat="1" applyFont="1" applyAlignment="1"/>
    <xf numFmtId="2" fontId="1" fillId="0" borderId="10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2270778652668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Sheet1!$C$11:$C$16</c:f>
              <c:numCache>
                <c:formatCode>General</c:formatCode>
                <c:ptCount val="6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4">
                  <c:v>-50</c:v>
                </c:pt>
                <c:pt idx="5">
                  <c:v>50</c:v>
                </c:pt>
              </c:numCache>
            </c:numRef>
          </c:xVal>
          <c:yVal>
            <c:numRef>
              <c:f>Sheet1!$D$11:$D$16</c:f>
              <c:numCache>
                <c:formatCode>General</c:formatCode>
                <c:ptCount val="6"/>
                <c:pt idx="0">
                  <c:v>100</c:v>
                </c:pt>
                <c:pt idx="1">
                  <c:v>0</c:v>
                </c:pt>
                <c:pt idx="2">
                  <c:v>100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3B-442C-897A-9CCB96F2E4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19074400"/>
        <c:axId val="519078992"/>
      </c:scatterChart>
      <c:valAx>
        <c:axId val="51907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78992"/>
        <c:crosses val="autoZero"/>
        <c:crossBetween val="midCat"/>
      </c:valAx>
      <c:valAx>
        <c:axId val="51907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7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Rotate!$E$7:$E$17</c:f>
              <c:numCache>
                <c:formatCode>0.00</c:formatCode>
                <c:ptCount val="11"/>
                <c:pt idx="0">
                  <c:v>-100</c:v>
                </c:pt>
                <c:pt idx="1">
                  <c:v>-50</c:v>
                </c:pt>
                <c:pt idx="3">
                  <c:v>100</c:v>
                </c:pt>
                <c:pt idx="4">
                  <c:v>-50</c:v>
                </c:pt>
                <c:pt idx="6">
                  <c:v>-50</c:v>
                </c:pt>
                <c:pt idx="7">
                  <c:v>-50</c:v>
                </c:pt>
                <c:pt idx="9">
                  <c:v>-100</c:v>
                </c:pt>
                <c:pt idx="10">
                  <c:v>100</c:v>
                </c:pt>
              </c:numCache>
            </c:numRef>
          </c:xVal>
          <c:yVal>
            <c:numRef>
              <c:f>Rotate!$F$7:$F$17</c:f>
              <c:numCache>
                <c:formatCode>0.00</c:formatCode>
                <c:ptCount val="11"/>
                <c:pt idx="0">
                  <c:v>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100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0-4E92-9865-E460792F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00848"/>
        <c:axId val="549001832"/>
      </c:scatterChart>
      <c:valAx>
        <c:axId val="549000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832"/>
        <c:crosses val="autoZero"/>
        <c:crossBetween val="midCat"/>
      </c:valAx>
      <c:valAx>
        <c:axId val="5490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Data!$K$5:$K$15</c:f>
              <c:numCache>
                <c:formatCode>General</c:formatCode>
                <c:ptCount val="11"/>
                <c:pt idx="0">
                  <c:v>-100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0</c:v>
                </c:pt>
                <c:pt idx="7" formatCode="0.000">
                  <c:v>-4.9999999999999991</c:v>
                </c:pt>
                <c:pt idx="9" formatCode="0.000">
                  <c:v>-8.6602540378443873</c:v>
                </c:pt>
                <c:pt idx="10" formatCode="0.000">
                  <c:v>8.6602540378443873</c:v>
                </c:pt>
              </c:numCache>
            </c:numRef>
          </c:xVal>
          <c:yVal>
            <c:numRef>
              <c:f>Data!$L$5:$L$15</c:f>
              <c:numCache>
                <c:formatCode>General</c:formatCode>
                <c:ptCount val="11"/>
                <c:pt idx="0">
                  <c:v>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0</c:v>
                </c:pt>
                <c:pt idx="7" formatCode="0.000">
                  <c:v>8.6602540378443873</c:v>
                </c:pt>
                <c:pt idx="9" formatCode="0.000">
                  <c:v>-4.9999999999999991</c:v>
                </c:pt>
                <c:pt idx="10" formatCode="0.000">
                  <c:v>4.9999999999999991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F-44C7-A63D-A7C6EAA46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90752"/>
        <c:axId val="320892064"/>
      </c:scatterChart>
      <c:valAx>
        <c:axId val="32089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2064"/>
        <c:crosses val="autoZero"/>
        <c:crossBetween val="midCat"/>
      </c:valAx>
      <c:valAx>
        <c:axId val="32089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490537</xdr:colOff>
      <xdr:row>4</xdr:row>
      <xdr:rowOff>0</xdr:rowOff>
    </xdr:from>
    <xdr:to>
      <xdr:col>20</xdr:col>
      <xdr:colOff>276225</xdr:colOff>
      <xdr:row>42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C485B3-9830-47F1-988C-73EA6C8A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9528</xdr:rowOff>
    </xdr:from>
    <xdr:to>
      <xdr:col>16</xdr:col>
      <xdr:colOff>123825</xdr:colOff>
      <xdr:row>16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F7B69C-D765-4F95-BA92-A092CEFAA8D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0.2295</cdr:x>
      <cdr:y>0.56985</cdr:y>
    </cdr:from>
    <cdr:to>
      <cdr:x>0.27645</cdr:x>
      <cdr:y>0.67279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DCC4271-ADBC-4C6F-96DD-31C545D8D198}"/>
            </a:ext>
          </a:extLst>
        </cdr:cNvPr>
        <cdr:cNvSpPr txBox="1"/>
      </cdr:nvSpPr>
      <cdr:spPr>
        <a:xfrm xmlns:a="http://schemas.openxmlformats.org/drawingml/2006/main">
          <a:off x="1257301" y="1476374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0.58825</cdr:x>
      <cdr:y>0.5674</cdr:y>
    </cdr:from>
    <cdr:to>
      <cdr:x>0.63519</cdr:x>
      <cdr:y>0.67034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4BA695-ED01-44C9-9020-0BE1287BB133}"/>
            </a:ext>
          </a:extLst>
        </cdr:cNvPr>
        <cdr:cNvSpPr txBox="1"/>
      </cdr:nvSpPr>
      <cdr:spPr>
        <a:xfrm xmlns:a="http://schemas.openxmlformats.org/drawingml/2006/main">
          <a:off x="3222625" y="14700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  <cdr:relSizeAnchor xmlns:cdr="http://schemas.openxmlformats.org/drawingml/2006/chartDrawing">
    <cdr:from>
      <cdr:x>0.33266</cdr:x>
      <cdr:y>0.0049</cdr:y>
    </cdr:from>
    <cdr:to>
      <cdr:x>0.37961</cdr:x>
      <cdr:y>0.10784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822450" y="1270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0.35527</cdr:x>
      <cdr:y>0.83824</cdr:y>
    </cdr:from>
    <cdr:to>
      <cdr:x>0.40221</cdr:x>
      <cdr:y>0.94118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946275" y="2171699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0.80384</cdr:x>
      <cdr:y>0.14093</cdr:y>
    </cdr:from>
    <cdr:to>
      <cdr:x>0.85079</cdr:x>
      <cdr:y>0.24387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6BB6F25-DF04-4105-A893-D64858359443}"/>
            </a:ext>
          </a:extLst>
        </cdr:cNvPr>
        <cdr:cNvSpPr txBox="1"/>
      </cdr:nvSpPr>
      <cdr:spPr>
        <a:xfrm xmlns:a="http://schemas.openxmlformats.org/drawingml/2006/main">
          <a:off x="4403725" y="3651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0.14837</cdr:x>
      <cdr:y>0.14461</cdr:y>
    </cdr:from>
    <cdr:to>
      <cdr:x>0.19531</cdr:x>
      <cdr:y>0.24755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67F28EC-D744-4130-B13C-4AB845E0D926}"/>
            </a:ext>
          </a:extLst>
        </cdr:cNvPr>
        <cdr:cNvSpPr txBox="1"/>
      </cdr:nvSpPr>
      <cdr:spPr>
        <a:xfrm xmlns:a="http://schemas.openxmlformats.org/drawingml/2006/main">
          <a:off x="812800" y="37465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</xdr:colOff>
      <xdr:row>19</xdr:row>
      <xdr:rowOff>19051</xdr:rowOff>
    </xdr:from>
    <xdr:to>
      <xdr:col>20</xdr:col>
      <xdr:colOff>571501</xdr:colOff>
      <xdr:row>39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ECE702-9A23-437C-9F3C-8044D4279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2"/>
  <sheetViews>
    <sheetView zoomScaleNormal="100" workbookViewId="0">
      <selection activeCell="F11" sqref="F11"/>
    </sheetView>
  </sheetViews>
  <sheetFormatPr defaultRowHeight="15" x14ac:dyDescent="0.25"/>
  <cols>
    <col min="2" max="2" width="9.42578125" customWidth="1"/>
    <col min="3" max="3" width="12" style="4" customWidth="1"/>
    <col min="4" max="4" width="13.5703125" style="4" customWidth="1"/>
    <col min="5" max="6" width="9.140625" style="3"/>
  </cols>
  <sheetData>
    <row r="2" spans="2:6" x14ac:dyDescent="0.25">
      <c r="B2" s="1" t="s">
        <v>1</v>
      </c>
    </row>
    <row r="3" spans="2:6" x14ac:dyDescent="0.25">
      <c r="B3" t="s">
        <v>0</v>
      </c>
      <c r="C3" s="4">
        <v>100</v>
      </c>
    </row>
    <row r="4" spans="2:6" x14ac:dyDescent="0.25">
      <c r="B4" t="s">
        <v>2</v>
      </c>
      <c r="C4" s="4">
        <v>100</v>
      </c>
    </row>
    <row r="5" spans="2:6" x14ac:dyDescent="0.25">
      <c r="B5" t="s">
        <v>3</v>
      </c>
      <c r="C5" s="4">
        <f>C3/C4</f>
        <v>1</v>
      </c>
    </row>
    <row r="7" spans="2:6" x14ac:dyDescent="0.25">
      <c r="B7" s="1" t="s">
        <v>4</v>
      </c>
    </row>
    <row r="8" spans="2:6" x14ac:dyDescent="0.25">
      <c r="B8" t="s">
        <v>5</v>
      </c>
      <c r="C8" s="4">
        <v>50</v>
      </c>
    </row>
    <row r="10" spans="2:6" s="1" customFormat="1" x14ac:dyDescent="0.25">
      <c r="B10" s="1" t="s">
        <v>12</v>
      </c>
      <c r="C10" s="2" t="s">
        <v>6</v>
      </c>
      <c r="D10" s="2" t="s">
        <v>7</v>
      </c>
      <c r="E10" s="2"/>
      <c r="F10" s="2"/>
    </row>
    <row r="11" spans="2:6" x14ac:dyDescent="0.25">
      <c r="B11" t="s">
        <v>8</v>
      </c>
      <c r="C11" s="3">
        <f>-C3</f>
        <v>-100</v>
      </c>
      <c r="D11" s="3">
        <f>C3</f>
        <v>100</v>
      </c>
    </row>
    <row r="12" spans="2:6" x14ac:dyDescent="0.25">
      <c r="B12" t="s">
        <v>11</v>
      </c>
      <c r="C12" s="3">
        <f xml:space="preserve"> (-C$3/2) + C$8*C$5</f>
        <v>0</v>
      </c>
      <c r="D12" s="3">
        <f xml:space="preserve"> (-D$3/2) + D$8*D$5</f>
        <v>0</v>
      </c>
    </row>
    <row r="13" spans="2:6" x14ac:dyDescent="0.25">
      <c r="B13" t="s">
        <v>9</v>
      </c>
      <c r="C13" s="3">
        <f>C3</f>
        <v>100</v>
      </c>
      <c r="D13" s="3">
        <f>C3</f>
        <v>100</v>
      </c>
    </row>
    <row r="14" spans="2:6" x14ac:dyDescent="0.25">
      <c r="C14" s="3"/>
      <c r="D14" s="3"/>
    </row>
    <row r="15" spans="2:6" x14ac:dyDescent="0.25">
      <c r="B15" t="s">
        <v>13</v>
      </c>
      <c r="C15" s="3">
        <f>-C3/2</f>
        <v>-50</v>
      </c>
      <c r="D15" s="3">
        <v>0</v>
      </c>
    </row>
    <row r="16" spans="2:6" x14ac:dyDescent="0.25">
      <c r="B16" t="s">
        <v>14</v>
      </c>
      <c r="C16" s="3">
        <f>C3/2</f>
        <v>50</v>
      </c>
      <c r="D16" s="3">
        <v>0</v>
      </c>
    </row>
    <row r="17" spans="2:4" x14ac:dyDescent="0.25">
      <c r="C17" s="3"/>
      <c r="D17" s="3"/>
    </row>
    <row r="18" spans="2:4" x14ac:dyDescent="0.25">
      <c r="B18" t="s">
        <v>10</v>
      </c>
      <c r="C18" s="3">
        <f>DEGREES(ATAN( (C11-$C$12)/(C13-$D$12)))</f>
        <v>-45</v>
      </c>
      <c r="D18" s="3">
        <f>DEGREES(ATAN( (D11-$C$12)/(D13-$D$12)))</f>
        <v>45</v>
      </c>
    </row>
    <row r="20" spans="2:4" x14ac:dyDescent="0.25">
      <c r="B20" t="s">
        <v>15</v>
      </c>
      <c r="C20" s="4">
        <f>C11-C12</f>
        <v>-100</v>
      </c>
      <c r="D20" s="4">
        <f>D11-D12</f>
        <v>100</v>
      </c>
    </row>
    <row r="21" spans="2:4" x14ac:dyDescent="0.25">
      <c r="B21" t="s">
        <v>16</v>
      </c>
      <c r="C21" s="4">
        <f>SQRT(C20*C20+D20*D20)</f>
        <v>141.42135623730951</v>
      </c>
    </row>
    <row r="22" spans="2:4" x14ac:dyDescent="0.25">
      <c r="B22" t="s">
        <v>17</v>
      </c>
      <c r="C22" s="4" t="s">
        <v>18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65AA-E960-413E-8C5A-5A84C6E44B96}">
  <sheetPr codeName="Sheet2"/>
  <dimension ref="C5:N41"/>
  <sheetViews>
    <sheetView tabSelected="1" topLeftCell="A13" zoomScaleNormal="100" workbookViewId="0">
      <selection activeCell="C33" sqref="C33"/>
    </sheetView>
  </sheetViews>
  <sheetFormatPr defaultRowHeight="15" x14ac:dyDescent="0.25"/>
  <cols>
    <col min="3" max="3" width="9.140625" style="5"/>
    <col min="4" max="4" width="4.42578125" customWidth="1"/>
    <col min="5" max="5" width="9.140625" style="37"/>
    <col min="6" max="6" width="9.140625" style="39"/>
    <col min="7" max="7" width="14.85546875" customWidth="1"/>
  </cols>
  <sheetData>
    <row r="5" spans="3:6" x14ac:dyDescent="0.25">
      <c r="C5" s="5" t="s">
        <v>11</v>
      </c>
      <c r="E5" s="45">
        <v>-50</v>
      </c>
      <c r="F5" s="46">
        <v>0</v>
      </c>
    </row>
    <row r="7" spans="3:6" x14ac:dyDescent="0.25">
      <c r="C7" s="5" t="s">
        <v>42</v>
      </c>
      <c r="E7" s="45">
        <v>-100</v>
      </c>
      <c r="F7" s="45">
        <v>100</v>
      </c>
    </row>
    <row r="8" spans="3:6" x14ac:dyDescent="0.25">
      <c r="C8" s="5" t="s">
        <v>11</v>
      </c>
      <c r="E8" s="37">
        <f>E5</f>
        <v>-50</v>
      </c>
      <c r="F8" s="39">
        <f>F5</f>
        <v>0</v>
      </c>
    </row>
    <row r="10" spans="3:6" s="1" customFormat="1" x14ac:dyDescent="0.25">
      <c r="C10" s="5" t="s">
        <v>43</v>
      </c>
      <c r="D10"/>
      <c r="E10" s="45">
        <v>100</v>
      </c>
      <c r="F10" s="45">
        <v>100</v>
      </c>
    </row>
    <row r="11" spans="3:6" x14ac:dyDescent="0.25">
      <c r="C11" s="5" t="s">
        <v>11</v>
      </c>
      <c r="E11" s="37">
        <f>E5</f>
        <v>-50</v>
      </c>
      <c r="F11" s="39">
        <f>F5</f>
        <v>0</v>
      </c>
    </row>
    <row r="13" spans="3:6" x14ac:dyDescent="0.25">
      <c r="C13" s="5" t="s">
        <v>48</v>
      </c>
      <c r="E13" s="37">
        <f>E5</f>
        <v>-50</v>
      </c>
      <c r="F13" s="39">
        <f>F7</f>
        <v>100</v>
      </c>
    </row>
    <row r="14" spans="3:6" x14ac:dyDescent="0.25">
      <c r="E14" s="37">
        <f>E5</f>
        <v>-50</v>
      </c>
      <c r="F14" s="39">
        <f>F5</f>
        <v>0</v>
      </c>
    </row>
    <row r="16" spans="3:6" x14ac:dyDescent="0.25">
      <c r="C16" s="5" t="s">
        <v>4</v>
      </c>
      <c r="E16" s="37">
        <f>E7</f>
        <v>-100</v>
      </c>
      <c r="F16" s="39">
        <f>F7</f>
        <v>100</v>
      </c>
    </row>
    <row r="17" spans="3:14" s="3" customFormat="1" x14ac:dyDescent="0.25">
      <c r="C17" s="2"/>
      <c r="E17" s="38">
        <f>E10</f>
        <v>100</v>
      </c>
      <c r="F17" s="40">
        <f>F10</f>
        <v>100</v>
      </c>
    </row>
    <row r="18" spans="3:14" s="3" customFormat="1" x14ac:dyDescent="0.25">
      <c r="C18" s="2"/>
      <c r="E18" s="41"/>
      <c r="F18" s="40"/>
    </row>
    <row r="19" spans="3:14" s="3" customFormat="1" x14ac:dyDescent="0.25">
      <c r="C19" s="2" t="s">
        <v>50</v>
      </c>
      <c r="E19" s="38">
        <f>E5</f>
        <v>-50</v>
      </c>
      <c r="F19" s="40">
        <f>F7</f>
        <v>100</v>
      </c>
    </row>
    <row r="20" spans="3:14" s="3" customFormat="1" x14ac:dyDescent="0.25">
      <c r="C20" s="2"/>
      <c r="E20" s="41"/>
      <c r="F20" s="40"/>
    </row>
    <row r="21" spans="3:14" s="3" customFormat="1" x14ac:dyDescent="0.25">
      <c r="C21" s="5" t="s">
        <v>44</v>
      </c>
      <c r="D21"/>
      <c r="E21" s="37">
        <f>SQRT(E23*E23+E22*E22)</f>
        <v>111.80339887498948</v>
      </c>
      <c r="F21" s="40"/>
      <c r="I21" s="2" t="s">
        <v>8</v>
      </c>
      <c r="J21" s="2" t="s">
        <v>53</v>
      </c>
      <c r="K21" s="2" t="s">
        <v>54</v>
      </c>
      <c r="L21" s="2" t="s">
        <v>55</v>
      </c>
      <c r="M21" s="2" t="s">
        <v>56</v>
      </c>
    </row>
    <row r="22" spans="3:14" s="3" customFormat="1" x14ac:dyDescent="0.25">
      <c r="C22" s="5" t="s">
        <v>45</v>
      </c>
      <c r="D22"/>
      <c r="E22" s="37">
        <f>E7-E8</f>
        <v>-50</v>
      </c>
      <c r="F22" s="40"/>
      <c r="I22" s="45">
        <v>10</v>
      </c>
      <c r="J22" s="37">
        <f>E29</f>
        <v>50</v>
      </c>
      <c r="K22" s="37">
        <f>E30</f>
        <v>150</v>
      </c>
      <c r="L22" s="37">
        <f>DEGREES(ATAN2(J$22,I22))</f>
        <v>11.309932474020215</v>
      </c>
      <c r="M22" s="37">
        <f>DEGREES(ATAN2(K$22,I22))</f>
        <v>3.8140748342903543</v>
      </c>
      <c r="N22" s="37"/>
    </row>
    <row r="23" spans="3:14" s="3" customFormat="1" x14ac:dyDescent="0.25">
      <c r="C23" s="5" t="s">
        <v>46</v>
      </c>
      <c r="D23"/>
      <c r="E23" s="37">
        <f>F7-F8</f>
        <v>100</v>
      </c>
      <c r="F23" s="40"/>
      <c r="I23" s="38">
        <f>I22+10</f>
        <v>20</v>
      </c>
      <c r="J23" s="37"/>
      <c r="K23" s="37"/>
      <c r="L23" s="37">
        <f t="shared" ref="L23:L40" si="0">DEGREES(ATAN2(J$22,I23))</f>
        <v>21.801409486351812</v>
      </c>
      <c r="M23" s="37">
        <f t="shared" ref="M23:M40" si="1">DEGREES(ATAN2(K$22,I23))</f>
        <v>7.594643368591445</v>
      </c>
      <c r="N23" s="37"/>
    </row>
    <row r="24" spans="3:14" s="3" customFormat="1" x14ac:dyDescent="0.25">
      <c r="C24" s="5"/>
      <c r="D24"/>
      <c r="E24" s="37"/>
      <c r="F24" s="40"/>
      <c r="I24" s="38">
        <f t="shared" ref="I24:I40" si="2">I23+10</f>
        <v>30</v>
      </c>
      <c r="J24" s="37"/>
      <c r="K24" s="37"/>
      <c r="L24" s="37">
        <f t="shared" si="0"/>
        <v>30.963756532073521</v>
      </c>
      <c r="M24" s="37">
        <f t="shared" si="1"/>
        <v>11.309932474020215</v>
      </c>
      <c r="N24" s="37"/>
    </row>
    <row r="25" spans="3:14" s="3" customFormat="1" x14ac:dyDescent="0.25">
      <c r="C25" s="5" t="s">
        <v>47</v>
      </c>
      <c r="D25"/>
      <c r="E25" s="37">
        <f>SQRT(E27*E27+E26*E26)</f>
        <v>180.27756377319946</v>
      </c>
      <c r="F25" s="40"/>
      <c r="I25" s="38">
        <f t="shared" si="2"/>
        <v>40</v>
      </c>
      <c r="J25" s="37"/>
      <c r="K25" s="37"/>
      <c r="L25" s="37">
        <f t="shared" si="0"/>
        <v>38.659808254090095</v>
      </c>
      <c r="M25" s="37">
        <f t="shared" si="1"/>
        <v>14.931417178137552</v>
      </c>
      <c r="N25" s="37"/>
    </row>
    <row r="26" spans="3:14" x14ac:dyDescent="0.25">
      <c r="C26" s="5" t="s">
        <v>45</v>
      </c>
      <c r="E26" s="37">
        <f>E10-E11</f>
        <v>150</v>
      </c>
      <c r="H26" s="3"/>
      <c r="I26" s="38">
        <f t="shared" si="2"/>
        <v>50</v>
      </c>
      <c r="J26" s="37"/>
      <c r="K26" s="37"/>
      <c r="L26" s="37">
        <f t="shared" si="0"/>
        <v>45</v>
      </c>
      <c r="M26" s="37">
        <f t="shared" si="1"/>
        <v>18.43494882292201</v>
      </c>
      <c r="N26" s="37"/>
    </row>
    <row r="27" spans="3:14" s="3" customFormat="1" x14ac:dyDescent="0.25">
      <c r="C27" s="5" t="s">
        <v>46</v>
      </c>
      <c r="D27"/>
      <c r="E27" s="37">
        <f>F10-F11</f>
        <v>100</v>
      </c>
      <c r="F27" s="40"/>
      <c r="I27" s="38">
        <f t="shared" si="2"/>
        <v>60</v>
      </c>
      <c r="J27" s="37"/>
      <c r="K27" s="37"/>
      <c r="L27" s="37">
        <f t="shared" si="0"/>
        <v>50.19442890773481</v>
      </c>
      <c r="M27" s="37">
        <f t="shared" si="1"/>
        <v>21.801409486351812</v>
      </c>
      <c r="N27" s="37"/>
    </row>
    <row r="28" spans="3:14" s="3" customFormat="1" x14ac:dyDescent="0.25">
      <c r="C28" s="2"/>
      <c r="E28" s="38"/>
      <c r="F28" s="40"/>
      <c r="I28" s="38">
        <f t="shared" si="2"/>
        <v>70</v>
      </c>
      <c r="J28" s="37"/>
      <c r="K28" s="37"/>
      <c r="L28" s="37">
        <f t="shared" si="0"/>
        <v>54.462322208025618</v>
      </c>
      <c r="M28" s="37">
        <f t="shared" si="1"/>
        <v>25.016893478100023</v>
      </c>
      <c r="N28" s="37"/>
    </row>
    <row r="29" spans="3:14" s="3" customFormat="1" x14ac:dyDescent="0.25">
      <c r="C29" s="2" t="s">
        <v>51</v>
      </c>
      <c r="E29" s="38">
        <f>E19-E7</f>
        <v>50</v>
      </c>
      <c r="F29" s="40"/>
      <c r="I29" s="38">
        <f t="shared" si="2"/>
        <v>80</v>
      </c>
      <c r="J29" s="37"/>
      <c r="K29" s="37"/>
      <c r="L29" s="37">
        <f t="shared" si="0"/>
        <v>57.994616791916499</v>
      </c>
      <c r="M29" s="37">
        <f t="shared" si="1"/>
        <v>28.072486935852957</v>
      </c>
      <c r="N29" s="37"/>
    </row>
    <row r="30" spans="3:14" x14ac:dyDescent="0.25">
      <c r="C30" s="5" t="s">
        <v>52</v>
      </c>
      <c r="E30" s="37">
        <f>E10-E8</f>
        <v>150</v>
      </c>
      <c r="H30" s="3"/>
      <c r="I30" s="38">
        <f t="shared" si="2"/>
        <v>90</v>
      </c>
      <c r="J30" s="37"/>
      <c r="K30" s="37"/>
      <c r="L30" s="37">
        <f t="shared" si="0"/>
        <v>60.945395900922861</v>
      </c>
      <c r="M30" s="37">
        <f t="shared" si="1"/>
        <v>30.963756532073521</v>
      </c>
      <c r="N30" s="37"/>
    </row>
    <row r="31" spans="3:14" x14ac:dyDescent="0.25">
      <c r="H31" s="3"/>
      <c r="I31" s="47">
        <f t="shared" si="2"/>
        <v>100</v>
      </c>
      <c r="J31" s="43"/>
      <c r="K31" s="43"/>
      <c r="L31" s="43">
        <f t="shared" si="0"/>
        <v>63.43494882292201</v>
      </c>
      <c r="M31" s="43">
        <f t="shared" si="1"/>
        <v>33.690067525979785</v>
      </c>
      <c r="N31" s="44">
        <f>L31+M31</f>
        <v>97.125016348901795</v>
      </c>
    </row>
    <row r="32" spans="3:14" x14ac:dyDescent="0.25">
      <c r="C32" s="5" t="s">
        <v>49</v>
      </c>
      <c r="E32" s="37">
        <f>DEGREES(ASIN(E29/E21))</f>
        <v>26.56505117707799</v>
      </c>
      <c r="F32" s="39">
        <f>DEGREES(ACOS(E29/E21))</f>
        <v>63.43494882292201</v>
      </c>
      <c r="H32" s="3"/>
      <c r="I32" s="38">
        <f t="shared" si="2"/>
        <v>110</v>
      </c>
      <c r="J32" s="37"/>
      <c r="K32" s="37"/>
      <c r="L32" s="37">
        <f t="shared" si="0"/>
        <v>65.556045219583467</v>
      </c>
      <c r="M32" s="37">
        <f t="shared" si="1"/>
        <v>36.25383773744479</v>
      </c>
      <c r="N32" s="37"/>
    </row>
    <row r="33" spans="3:14" x14ac:dyDescent="0.25">
      <c r="C33" s="5" t="s">
        <v>57</v>
      </c>
      <c r="E33" s="37">
        <f>DEGREES(ASIN(E30/E25))</f>
        <v>56.309932474020222</v>
      </c>
      <c r="F33" s="39">
        <f>DEGREES(ACOS(E30/E25))</f>
        <v>33.690067525979778</v>
      </c>
      <c r="H33" s="3"/>
      <c r="I33" s="38">
        <f t="shared" si="2"/>
        <v>120</v>
      </c>
      <c r="J33" s="37"/>
      <c r="K33" s="37"/>
      <c r="L33" s="37">
        <f t="shared" si="0"/>
        <v>67.38013505195957</v>
      </c>
      <c r="M33" s="37">
        <f t="shared" si="1"/>
        <v>38.659808254090095</v>
      </c>
      <c r="N33" s="37"/>
    </row>
    <row r="34" spans="3:14" x14ac:dyDescent="0.25">
      <c r="H34" s="3"/>
      <c r="I34" s="38">
        <f t="shared" si="2"/>
        <v>130</v>
      </c>
      <c r="J34" s="37"/>
      <c r="K34" s="37"/>
      <c r="L34" s="37">
        <f t="shared" si="0"/>
        <v>68.962488974578193</v>
      </c>
      <c r="M34" s="37">
        <f t="shared" si="1"/>
        <v>40.91438322002513</v>
      </c>
      <c r="N34" s="37"/>
    </row>
    <row r="35" spans="3:14" x14ac:dyDescent="0.25">
      <c r="C35" s="2" t="s">
        <v>41</v>
      </c>
      <c r="D35" s="3"/>
      <c r="E35" s="38">
        <f>E10-E7</f>
        <v>200</v>
      </c>
      <c r="H35" s="3"/>
      <c r="I35" s="38">
        <f t="shared" si="2"/>
        <v>140</v>
      </c>
      <c r="J35" s="37"/>
      <c r="K35" s="37"/>
      <c r="L35" s="37">
        <f t="shared" si="0"/>
        <v>70.346175941946697</v>
      </c>
      <c r="M35" s="37">
        <f t="shared" si="1"/>
        <v>43.025065989118026</v>
      </c>
      <c r="N35" s="37"/>
    </row>
    <row r="36" spans="3:14" x14ac:dyDescent="0.25">
      <c r="C36" s="2" t="s">
        <v>40</v>
      </c>
      <c r="D36" s="3"/>
      <c r="E36" s="38">
        <f>E32+E33</f>
        <v>82.874983651098205</v>
      </c>
      <c r="F36" s="42">
        <f>F32+F33</f>
        <v>97.125016348901795</v>
      </c>
      <c r="H36" s="3"/>
      <c r="I36" s="38">
        <f t="shared" si="2"/>
        <v>150</v>
      </c>
      <c r="J36" s="37"/>
      <c r="K36" s="37"/>
      <c r="L36" s="37">
        <f t="shared" si="0"/>
        <v>71.56505117707799</v>
      </c>
      <c r="M36" s="37">
        <f t="shared" si="1"/>
        <v>45</v>
      </c>
      <c r="N36" s="37"/>
    </row>
    <row r="37" spans="3:14" x14ac:dyDescent="0.25">
      <c r="H37" s="3"/>
      <c r="I37" s="38">
        <f t="shared" si="2"/>
        <v>160</v>
      </c>
      <c r="J37" s="37"/>
      <c r="K37" s="37"/>
      <c r="L37" s="37">
        <f t="shared" si="0"/>
        <v>72.645975363738671</v>
      </c>
      <c r="M37" s="37">
        <f t="shared" si="1"/>
        <v>46.847610265994597</v>
      </c>
      <c r="N37" s="37"/>
    </row>
    <row r="38" spans="3:14" x14ac:dyDescent="0.25">
      <c r="H38" s="3"/>
      <c r="I38" s="38">
        <f t="shared" si="2"/>
        <v>170</v>
      </c>
      <c r="J38" s="37"/>
      <c r="K38" s="37"/>
      <c r="L38" s="37">
        <f t="shared" si="0"/>
        <v>73.610459665965223</v>
      </c>
      <c r="M38" s="37">
        <f t="shared" si="1"/>
        <v>48.576334374997352</v>
      </c>
      <c r="N38" s="37"/>
    </row>
    <row r="39" spans="3:14" x14ac:dyDescent="0.25">
      <c r="H39" s="3"/>
      <c r="I39" s="38">
        <f t="shared" si="2"/>
        <v>180</v>
      </c>
      <c r="J39" s="37"/>
      <c r="K39" s="37"/>
      <c r="L39" s="37">
        <f t="shared" si="0"/>
        <v>74.47588900324574</v>
      </c>
      <c r="M39" s="37">
        <f t="shared" si="1"/>
        <v>50.19442890773481</v>
      </c>
      <c r="N39" s="37"/>
    </row>
    <row r="40" spans="3:14" x14ac:dyDescent="0.25">
      <c r="H40" s="3"/>
      <c r="I40" s="38">
        <f t="shared" si="2"/>
        <v>190</v>
      </c>
      <c r="J40" s="37"/>
      <c r="K40" s="37"/>
      <c r="L40" s="37">
        <f t="shared" si="0"/>
        <v>75.25643716352927</v>
      </c>
      <c r="M40" s="37">
        <f t="shared" si="1"/>
        <v>51.709836807756929</v>
      </c>
      <c r="N40" s="37"/>
    </row>
    <row r="41" spans="3:14" x14ac:dyDescent="0.25">
      <c r="I41" s="37"/>
      <c r="J41" s="3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429D-8FB8-44B0-BC84-1D2C5B603ECA}">
  <sheetPr codeName="Sheet3"/>
  <dimension ref="B1:O47"/>
  <sheetViews>
    <sheetView zoomScaleNormal="100" workbookViewId="0">
      <selection activeCell="D4" sqref="D4"/>
    </sheetView>
  </sheetViews>
  <sheetFormatPr defaultRowHeight="15" x14ac:dyDescent="0.25"/>
  <cols>
    <col min="2" max="2" width="2.7109375" customWidth="1"/>
    <col min="3" max="3" width="16.7109375" bestFit="1" customWidth="1"/>
    <col min="4" max="5" width="14.7109375" style="4" customWidth="1"/>
    <col min="6" max="6" width="14.7109375" style="7" customWidth="1"/>
    <col min="7" max="7" width="14.7109375" style="3" customWidth="1"/>
    <col min="8" max="8" width="14.7109375" style="4" customWidth="1"/>
    <col min="9" max="9" width="2.7109375" style="4" customWidth="1"/>
    <col min="10" max="10" width="14.7109375" customWidth="1"/>
    <col min="11" max="12" width="14.7109375" style="4" customWidth="1"/>
    <col min="13" max="13" width="14.7109375" customWidth="1"/>
  </cols>
  <sheetData>
    <row r="1" spans="2:12" ht="15.75" thickBot="1" x14ac:dyDescent="0.3"/>
    <row r="2" spans="2:12" ht="14.1" customHeight="1" x14ac:dyDescent="0.25">
      <c r="B2" s="21"/>
      <c r="C2" s="22"/>
      <c r="D2" s="23"/>
      <c r="E2" s="23"/>
      <c r="F2" s="24"/>
      <c r="G2" s="23"/>
      <c r="H2" s="23"/>
      <c r="I2" s="25"/>
    </row>
    <row r="3" spans="2:12" x14ac:dyDescent="0.25">
      <c r="B3" s="26"/>
      <c r="C3" s="14" t="s">
        <v>25</v>
      </c>
      <c r="D3" s="12"/>
      <c r="E3" s="12"/>
      <c r="F3" s="13"/>
      <c r="G3" s="12"/>
      <c r="H3" s="12"/>
      <c r="I3" s="27"/>
      <c r="K3" s="4" t="s">
        <v>6</v>
      </c>
      <c r="L3" s="4" t="s">
        <v>7</v>
      </c>
    </row>
    <row r="4" spans="2:12" x14ac:dyDescent="0.25">
      <c r="B4" s="26"/>
      <c r="C4" s="11" t="s">
        <v>23</v>
      </c>
      <c r="D4" s="12">
        <v>50</v>
      </c>
      <c r="E4" s="12"/>
      <c r="F4" s="13"/>
      <c r="G4" s="12"/>
      <c r="H4" s="12"/>
      <c r="I4" s="27"/>
    </row>
    <row r="5" spans="2:12" x14ac:dyDescent="0.25">
      <c r="B5" s="26"/>
      <c r="C5" s="11" t="s">
        <v>7</v>
      </c>
      <c r="D5" s="12">
        <f>D8</f>
        <v>100</v>
      </c>
      <c r="E5" s="12"/>
      <c r="F5" s="13"/>
      <c r="G5" s="15"/>
      <c r="H5" s="12"/>
      <c r="I5" s="27"/>
      <c r="K5" s="4">
        <f>D20</f>
        <v>-100</v>
      </c>
      <c r="L5" s="4">
        <f>E20</f>
        <v>100</v>
      </c>
    </row>
    <row r="6" spans="2:12" x14ac:dyDescent="0.25">
      <c r="B6" s="26"/>
      <c r="C6" s="11"/>
      <c r="D6" s="12"/>
      <c r="E6" s="12"/>
      <c r="F6" s="13"/>
      <c r="G6" s="15"/>
      <c r="H6" s="12"/>
      <c r="I6" s="27"/>
      <c r="K6" s="4">
        <f>D22</f>
        <v>0</v>
      </c>
      <c r="L6" s="4">
        <f>E22</f>
        <v>0</v>
      </c>
    </row>
    <row r="7" spans="2:12" x14ac:dyDescent="0.25">
      <c r="B7" s="26"/>
      <c r="C7" s="14" t="s">
        <v>1</v>
      </c>
      <c r="D7" s="12"/>
      <c r="E7" s="12"/>
      <c r="F7" s="13"/>
      <c r="G7" s="15"/>
      <c r="H7" s="12"/>
      <c r="I7" s="27"/>
    </row>
    <row r="8" spans="2:12" x14ac:dyDescent="0.25">
      <c r="B8" s="26"/>
      <c r="C8" s="11" t="s">
        <v>0</v>
      </c>
      <c r="D8" s="12">
        <v>100</v>
      </c>
      <c r="E8" s="12"/>
      <c r="F8" s="13"/>
      <c r="G8" s="15"/>
      <c r="H8" s="12"/>
      <c r="I8" s="27"/>
      <c r="K8" s="4">
        <f>D21</f>
        <v>100</v>
      </c>
      <c r="L8" s="4">
        <f>E21</f>
        <v>100</v>
      </c>
    </row>
    <row r="9" spans="2:12" x14ac:dyDescent="0.25">
      <c r="B9" s="26"/>
      <c r="C9" s="11" t="s">
        <v>2</v>
      </c>
      <c r="D9" s="12">
        <v>100</v>
      </c>
      <c r="E9" s="12"/>
      <c r="F9" s="13"/>
      <c r="G9" s="15"/>
      <c r="H9" s="12"/>
      <c r="I9" s="27"/>
      <c r="K9" s="4">
        <f>D22</f>
        <v>0</v>
      </c>
      <c r="L9" s="4">
        <f>E22</f>
        <v>0</v>
      </c>
    </row>
    <row r="10" spans="2:12" x14ac:dyDescent="0.25">
      <c r="B10" s="26"/>
      <c r="C10" s="11" t="s">
        <v>3</v>
      </c>
      <c r="D10" s="12">
        <f>D8/D9</f>
        <v>1</v>
      </c>
      <c r="E10" s="12"/>
      <c r="F10" s="13"/>
      <c r="G10" s="11"/>
      <c r="H10" s="12"/>
      <c r="I10" s="27"/>
    </row>
    <row r="11" spans="2:12" x14ac:dyDescent="0.25">
      <c r="B11" s="26"/>
      <c r="C11" s="11" t="s">
        <v>20</v>
      </c>
      <c r="D11" s="12">
        <f>D5</f>
        <v>100</v>
      </c>
      <c r="E11" s="12"/>
      <c r="F11" s="13"/>
      <c r="G11" s="15"/>
      <c r="H11" s="12"/>
      <c r="I11" s="27"/>
      <c r="K11" s="4">
        <f>D22</f>
        <v>0</v>
      </c>
      <c r="L11" s="4">
        <f>E22</f>
        <v>0</v>
      </c>
    </row>
    <row r="12" spans="2:12" x14ac:dyDescent="0.25">
      <c r="B12" s="26"/>
      <c r="C12" s="11" t="s">
        <v>21</v>
      </c>
      <c r="D12" s="12">
        <v>0</v>
      </c>
      <c r="E12" s="12"/>
      <c r="F12" s="13"/>
      <c r="G12" s="15"/>
      <c r="H12" s="12"/>
      <c r="I12" s="27"/>
      <c r="K12" s="7">
        <f>D22+(D23*10)</f>
        <v>-4.9999999999999991</v>
      </c>
      <c r="L12" s="7">
        <f>E22+(E23*10)</f>
        <v>8.6602540378443873</v>
      </c>
    </row>
    <row r="13" spans="2:12" x14ac:dyDescent="0.25">
      <c r="B13" s="26"/>
      <c r="C13" s="11"/>
      <c r="D13" s="12"/>
      <c r="E13" s="12"/>
      <c r="F13" s="13"/>
      <c r="G13" s="15"/>
      <c r="H13" s="12"/>
      <c r="I13" s="27"/>
    </row>
    <row r="14" spans="2:12" x14ac:dyDescent="0.25">
      <c r="B14" s="26"/>
      <c r="C14" s="14" t="s">
        <v>19</v>
      </c>
      <c r="D14" s="12"/>
      <c r="E14" s="12"/>
      <c r="F14" s="13"/>
      <c r="G14" s="15"/>
      <c r="H14" s="12"/>
      <c r="I14" s="27"/>
      <c r="K14" s="7">
        <f>-E23*10+D22</f>
        <v>-8.6602540378443873</v>
      </c>
      <c r="L14" s="7">
        <f>D23*10+E22</f>
        <v>-4.9999999999999991</v>
      </c>
    </row>
    <row r="15" spans="2:12" x14ac:dyDescent="0.25">
      <c r="B15" s="26"/>
      <c r="C15" s="11" t="s">
        <v>5</v>
      </c>
      <c r="D15" s="12">
        <v>50</v>
      </c>
      <c r="E15" s="12"/>
      <c r="F15" s="13"/>
      <c r="G15" s="15"/>
      <c r="H15" s="12"/>
      <c r="I15" s="27"/>
      <c r="K15" s="7">
        <f>E23*10+D22</f>
        <v>8.6602540378443873</v>
      </c>
      <c r="L15" s="7">
        <f>-D23*10+E22</f>
        <v>4.9999999999999991</v>
      </c>
    </row>
    <row r="16" spans="2:12" x14ac:dyDescent="0.25">
      <c r="B16" s="26"/>
      <c r="C16" s="18" t="s">
        <v>7</v>
      </c>
      <c r="D16" s="12">
        <v>0</v>
      </c>
      <c r="E16" s="12"/>
      <c r="F16" s="13"/>
      <c r="G16" s="15"/>
      <c r="H16" s="12"/>
      <c r="I16" s="27"/>
    </row>
    <row r="17" spans="2:12" x14ac:dyDescent="0.25">
      <c r="B17" s="26"/>
      <c r="C17" s="11" t="s">
        <v>22</v>
      </c>
      <c r="D17" s="12">
        <v>30</v>
      </c>
      <c r="E17" s="12"/>
      <c r="F17" s="13"/>
      <c r="G17" s="15"/>
      <c r="H17" s="12"/>
      <c r="I17" s="27"/>
    </row>
    <row r="18" spans="2:12" x14ac:dyDescent="0.25">
      <c r="B18" s="26"/>
      <c r="C18" s="11"/>
      <c r="D18" s="12"/>
      <c r="E18" s="12"/>
      <c r="F18" s="13"/>
      <c r="G18" s="15"/>
      <c r="H18" s="12"/>
      <c r="I18" s="27"/>
    </row>
    <row r="19" spans="2:12" s="1" customFormat="1" x14ac:dyDescent="0.25">
      <c r="B19" s="28"/>
      <c r="C19" s="14" t="s">
        <v>38</v>
      </c>
      <c r="D19" s="16" t="s">
        <v>6</v>
      </c>
      <c r="E19" s="16" t="s">
        <v>7</v>
      </c>
      <c r="F19" s="17" t="s">
        <v>33</v>
      </c>
      <c r="G19" s="15"/>
      <c r="H19" s="12"/>
      <c r="I19" s="27"/>
      <c r="J19"/>
      <c r="K19" s="4"/>
      <c r="L19" s="5"/>
    </row>
    <row r="20" spans="2:12" s="8" customFormat="1" x14ac:dyDescent="0.25">
      <c r="B20" s="29"/>
      <c r="C20" s="18" t="s">
        <v>24</v>
      </c>
      <c r="D20" s="19">
        <f>-D8</f>
        <v>-100</v>
      </c>
      <c r="E20" s="19">
        <f>D5</f>
        <v>100</v>
      </c>
      <c r="F20" s="20">
        <f>shade(D20,E20,D22,E22,D23,E23,D4)</f>
        <v>0.34150635094610959</v>
      </c>
      <c r="G20" s="15"/>
      <c r="H20" s="12"/>
      <c r="I20" s="27"/>
      <c r="J20"/>
      <c r="K20" s="4"/>
      <c r="L20" s="10"/>
    </row>
    <row r="21" spans="2:12" s="8" customFormat="1" x14ac:dyDescent="0.25">
      <c r="B21" s="29"/>
      <c r="C21" s="18" t="s">
        <v>26</v>
      </c>
      <c r="D21" s="19">
        <f>D8</f>
        <v>100</v>
      </c>
      <c r="E21" s="19">
        <f>D5</f>
        <v>100</v>
      </c>
      <c r="F21" s="20">
        <f>shade(D21,E21,D22,E22,D23,E23,D4)</f>
        <v>9.1506350946109677E-2</v>
      </c>
      <c r="G21" s="15"/>
      <c r="H21" s="12"/>
      <c r="I21" s="27"/>
      <c r="J21"/>
      <c r="K21" s="4"/>
      <c r="L21" s="10"/>
    </row>
    <row r="22" spans="2:12" s="8" customFormat="1" x14ac:dyDescent="0.25">
      <c r="B22" s="29"/>
      <c r="C22" s="18" t="s">
        <v>19</v>
      </c>
      <c r="D22" s="19">
        <f xml:space="preserve"> (-D$8/2) + D$15*D$10</f>
        <v>0</v>
      </c>
      <c r="E22" s="19">
        <f>D16</f>
        <v>0</v>
      </c>
      <c r="F22" s="20"/>
      <c r="G22" s="15"/>
      <c r="H22" s="12"/>
      <c r="I22" s="27"/>
      <c r="J22"/>
      <c r="K22" s="4"/>
      <c r="L22" s="10"/>
    </row>
    <row r="23" spans="2:12" x14ac:dyDescent="0.25">
      <c r="B23" s="26"/>
      <c r="C23" s="11" t="s">
        <v>39</v>
      </c>
      <c r="D23" s="20">
        <f>-SIN(RADIANS(D17))</f>
        <v>-0.49999999999999994</v>
      </c>
      <c r="E23" s="20">
        <f>COS(RADIANS(D17))</f>
        <v>0.86602540378443871</v>
      </c>
      <c r="F23" s="20"/>
      <c r="G23" s="15"/>
      <c r="H23" s="12"/>
      <c r="I23" s="27"/>
    </row>
    <row r="24" spans="2:12" s="3" customFormat="1" ht="15.75" thickBot="1" x14ac:dyDescent="0.3">
      <c r="B24" s="30"/>
      <c r="C24" s="31"/>
      <c r="D24" s="32"/>
      <c r="E24" s="32"/>
      <c r="F24" s="33"/>
      <c r="G24" s="34"/>
      <c r="H24" s="34"/>
      <c r="I24" s="35"/>
    </row>
    <row r="25" spans="2:12" s="3" customFormat="1" x14ac:dyDescent="0.25">
      <c r="C25"/>
      <c r="D25" s="4"/>
      <c r="E25" s="4"/>
      <c r="F25" s="7"/>
    </row>
    <row r="26" spans="2:12" s="3" customFormat="1" x14ac:dyDescent="0.25">
      <c r="C26"/>
      <c r="D26" s="4"/>
      <c r="E26" s="4"/>
      <c r="F26" s="7"/>
    </row>
    <row r="27" spans="2:12" s="3" customFormat="1" x14ac:dyDescent="0.25">
      <c r="C27" s="1" t="s">
        <v>34</v>
      </c>
      <c r="D27" s="4"/>
      <c r="E27" s="4"/>
      <c r="F27" s="7"/>
    </row>
    <row r="28" spans="2:12" s="3" customFormat="1" x14ac:dyDescent="0.25">
      <c r="C28" s="8" t="s">
        <v>5</v>
      </c>
      <c r="D28" s="3">
        <f>D15</f>
        <v>50</v>
      </c>
      <c r="F28" s="6"/>
    </row>
    <row r="29" spans="2:12" s="3" customFormat="1" x14ac:dyDescent="0.25">
      <c r="C29" s="8"/>
      <c r="F29" s="6"/>
    </row>
    <row r="30" spans="2:12" s="3" customFormat="1" x14ac:dyDescent="0.25">
      <c r="C30" s="1" t="s">
        <v>12</v>
      </c>
      <c r="D30" s="2" t="s">
        <v>6</v>
      </c>
      <c r="E30" s="2" t="s">
        <v>7</v>
      </c>
      <c r="F30" s="36" t="s">
        <v>33</v>
      </c>
      <c r="G30" s="7"/>
    </row>
    <row r="31" spans="2:12" x14ac:dyDescent="0.25">
      <c r="C31" s="8" t="s">
        <v>24</v>
      </c>
      <c r="D31" s="9">
        <f>-D8</f>
        <v>-100</v>
      </c>
      <c r="E31" s="9">
        <f>D5</f>
        <v>100</v>
      </c>
      <c r="F31" s="7">
        <f>F20</f>
        <v>0.34150635094610959</v>
      </c>
      <c r="G31" s="7">
        <f>F31/F37*90</f>
        <v>86.933324366016137</v>
      </c>
      <c r="H31" s="3"/>
    </row>
    <row r="32" spans="2:12" s="3" customFormat="1" x14ac:dyDescent="0.25">
      <c r="C32" s="8" t="s">
        <v>26</v>
      </c>
      <c r="D32" s="9">
        <f>D8</f>
        <v>100</v>
      </c>
      <c r="E32" s="9">
        <f>D5</f>
        <v>100</v>
      </c>
      <c r="F32" s="6">
        <f>F21</f>
        <v>9.1506350946109677E-2</v>
      </c>
      <c r="G32" s="7">
        <f>F32/F38*90</f>
        <v>23.293714059226875</v>
      </c>
    </row>
    <row r="33" spans="3:15" s="3" customFormat="1" x14ac:dyDescent="0.25">
      <c r="C33" s="8" t="s">
        <v>19</v>
      </c>
      <c r="D33" s="3">
        <f>D22</f>
        <v>0</v>
      </c>
      <c r="E33" s="3" t="s">
        <v>35</v>
      </c>
      <c r="F33" s="6"/>
    </row>
    <row r="34" spans="3:15" s="3" customFormat="1" x14ac:dyDescent="0.25">
      <c r="C34"/>
      <c r="F34" s="6"/>
    </row>
    <row r="35" spans="3:15" x14ac:dyDescent="0.25">
      <c r="D35" s="3"/>
      <c r="E35" s="3"/>
      <c r="K35" s="3"/>
      <c r="L35" s="3"/>
      <c r="M35" s="3"/>
      <c r="N35" s="3"/>
      <c r="O35" s="3"/>
    </row>
    <row r="36" spans="3:15" x14ac:dyDescent="0.25">
      <c r="C36" s="1" t="s">
        <v>37</v>
      </c>
      <c r="D36" s="3"/>
      <c r="E36" s="3"/>
      <c r="F36" s="17" t="s">
        <v>36</v>
      </c>
      <c r="G36" s="6"/>
      <c r="K36" s="3"/>
      <c r="L36" s="3"/>
      <c r="M36" s="3"/>
      <c r="N36" s="3"/>
      <c r="O36" s="3"/>
    </row>
    <row r="37" spans="3:15" x14ac:dyDescent="0.25">
      <c r="C37" s="11" t="s">
        <v>27</v>
      </c>
      <c r="D37" s="3">
        <f>D20-D22</f>
        <v>-100</v>
      </c>
      <c r="E37" s="3">
        <f>E20-0</f>
        <v>100</v>
      </c>
      <c r="F37" s="13">
        <f>shade(D37,E37,D33,0,D41,E41,D4)</f>
        <v>0.35355339059327373</v>
      </c>
      <c r="K37" s="3"/>
      <c r="L37" s="3"/>
      <c r="M37" s="3"/>
      <c r="N37" s="3"/>
      <c r="O37" s="3"/>
    </row>
    <row r="38" spans="3:15" x14ac:dyDescent="0.25">
      <c r="C38" s="11" t="s">
        <v>28</v>
      </c>
      <c r="D38" s="3">
        <f>D21-D22</f>
        <v>100</v>
      </c>
      <c r="E38" s="3">
        <f>E21-0</f>
        <v>100</v>
      </c>
      <c r="F38" s="13">
        <f>shade(D38,E38,D33,0,D42,E42,D4)</f>
        <v>0.35355339059327373</v>
      </c>
      <c r="K38" s="3"/>
      <c r="L38" s="3"/>
      <c r="M38" s="3"/>
      <c r="N38" s="3"/>
      <c r="O38" s="3"/>
    </row>
    <row r="39" spans="3:15" x14ac:dyDescent="0.25">
      <c r="C39" s="11" t="s">
        <v>29</v>
      </c>
      <c r="D39" s="20">
        <f>1/SQRT(D37*D37+E37*E37)</f>
        <v>7.0710678118654753E-3</v>
      </c>
      <c r="E39" s="3"/>
      <c r="K39" s="3"/>
      <c r="L39" s="3"/>
      <c r="M39" s="3"/>
      <c r="N39" s="3"/>
      <c r="O39" s="3"/>
    </row>
    <row r="40" spans="3:15" x14ac:dyDescent="0.25">
      <c r="C40" s="11" t="s">
        <v>30</v>
      </c>
      <c r="D40" s="20">
        <f>1/SQRT(D38*D38+E38*E38)</f>
        <v>7.0710678118654753E-3</v>
      </c>
      <c r="E40" s="3"/>
      <c r="K40" s="3"/>
      <c r="L40" s="3"/>
      <c r="M40" s="3"/>
      <c r="N40" s="3"/>
      <c r="O40" s="3"/>
    </row>
    <row r="41" spans="3:15" x14ac:dyDescent="0.25">
      <c r="C41" s="18" t="s">
        <v>31</v>
      </c>
      <c r="D41" s="20">
        <f>D37*D39</f>
        <v>-0.70710678118654757</v>
      </c>
      <c r="E41" s="20">
        <f>E37*D39</f>
        <v>0.70710678118654757</v>
      </c>
      <c r="K41" s="3"/>
      <c r="L41" s="3"/>
      <c r="M41" s="3"/>
      <c r="N41" s="3"/>
      <c r="O41" s="3"/>
    </row>
    <row r="42" spans="3:15" x14ac:dyDescent="0.25">
      <c r="C42" s="18" t="s">
        <v>32</v>
      </c>
      <c r="D42" s="20">
        <f>D38*D40</f>
        <v>0.70710678118654757</v>
      </c>
      <c r="E42" s="20">
        <f>E38*D40</f>
        <v>0.70710678118654757</v>
      </c>
      <c r="K42" s="3"/>
      <c r="L42" s="3"/>
      <c r="M42" s="3"/>
      <c r="N42" s="3"/>
      <c r="O42" s="3"/>
    </row>
    <row r="43" spans="3:15" x14ac:dyDescent="0.25">
      <c r="K43" s="3"/>
      <c r="L43" s="3"/>
      <c r="M43" s="3"/>
      <c r="N43" s="3"/>
      <c r="O43" s="3"/>
    </row>
    <row r="44" spans="3:15" x14ac:dyDescent="0.25">
      <c r="K44" s="3"/>
      <c r="L44" s="3"/>
      <c r="M44" s="3"/>
      <c r="N44" s="3"/>
      <c r="O44" s="3"/>
    </row>
    <row r="45" spans="3:15" x14ac:dyDescent="0.25">
      <c r="K45" s="3"/>
      <c r="L45" s="3"/>
      <c r="M45" s="3"/>
      <c r="N45" s="3"/>
      <c r="O45" s="3"/>
    </row>
    <row r="46" spans="3:15" x14ac:dyDescent="0.25">
      <c r="K46" s="3"/>
      <c r="L46" s="3"/>
      <c r="M46" s="3"/>
      <c r="N46" s="3"/>
      <c r="O46" s="3"/>
    </row>
    <row r="47" spans="3:15" x14ac:dyDescent="0.25">
      <c r="K47" s="3"/>
      <c r="L47" s="3"/>
      <c r="M47" s="3"/>
      <c r="N47" s="3"/>
      <c r="O47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Rotate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Edwards</dc:creator>
  <cp:lastModifiedBy>Gareth Edwards</cp:lastModifiedBy>
  <dcterms:created xsi:type="dcterms:W3CDTF">2019-12-09T09:05:04Z</dcterms:created>
  <dcterms:modified xsi:type="dcterms:W3CDTF">2019-12-19T07:41:10Z</dcterms:modified>
</cp:coreProperties>
</file>